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S1 calibration data" sheetId="1" r:id="rId5"/>
    <sheet state="visible" name="SS calibration data" sheetId="2" r:id="rId6"/>
    <sheet state="visible" name="VMCvsVolAdded" sheetId="3" r:id="rId7"/>
    <sheet state="visible" name="Battery1Discharge" sheetId="4" r:id="rId8"/>
    <sheet state="visible" name="Battery2Discharge" sheetId="5" r:id="rId9"/>
    <sheet state="visible" name="Batt1DischargeV2" sheetId="6" r:id="rId10"/>
    <sheet state="visible" name="Batt2DischargeV2" sheetId="7" r:id="rId11"/>
    <sheet state="visible" name="voltageData" sheetId="8" r:id="rId12"/>
    <sheet state="visible" name="soilCalibration" sheetId="9" r:id="rId13"/>
    <sheet state="visible" name="CumVolumePivot" sheetId="10" r:id="rId14"/>
    <sheet state="visible" name="ActualVMCPivot" sheetId="11" r:id="rId15"/>
    <sheet state="visible" name="plateauVMC" sheetId="12" r:id="rId16"/>
  </sheets>
  <definedNames>
    <definedName hidden="1" localSheetId="0" name="_xlnm._FilterDatabase">'SS1 calibration data'!$A$1:$D$2050</definedName>
    <definedName hidden="1" localSheetId="8" name="_xlnm._FilterDatabase">soilCalibration!$C$3:$G$170</definedName>
  </definedNames>
  <calcPr/>
  <pivotCaches>
    <pivotCache cacheId="0" r:id="rId17"/>
  </pivotCaches>
</workbook>
</file>

<file path=xl/sharedStrings.xml><?xml version="1.0" encoding="utf-8"?>
<sst xmlns="http://schemas.openxmlformats.org/spreadsheetml/2006/main" count="4314" uniqueCount="327">
  <si>
    <t>entity_id</t>
  </si>
  <si>
    <t>last_changed</t>
  </si>
  <si>
    <t>timeValue</t>
  </si>
  <si>
    <t>state</t>
  </si>
  <si>
    <t>Cumulative Vol Added</t>
  </si>
  <si>
    <t>Time</t>
  </si>
  <si>
    <t>rowIndex</t>
  </si>
  <si>
    <t>VMC</t>
  </si>
  <si>
    <t>sensor.soil_sensor_e136_moisture</t>
  </si>
  <si>
    <t>unavailable</t>
  </si>
  <si>
    <t>sensor.soil_sensor_e136_conductivity</t>
  </si>
  <si>
    <t>sensor.soil_sensor_e136_temperature</t>
  </si>
  <si>
    <t>Column 1</t>
  </si>
  <si>
    <t>Timevalue</t>
  </si>
  <si>
    <t>sensor.ss_e139_moisture</t>
  </si>
  <si>
    <t>sensor.ss_e139_voltage</t>
  </si>
  <si>
    <t>sensor.ss_e139_conductivity</t>
  </si>
  <si>
    <t>sensor.ss_e139_temperature</t>
  </si>
  <si>
    <t>volume soil initial</t>
  </si>
  <si>
    <t>vol water initial</t>
  </si>
  <si>
    <t>Cumulative Vol Added (mL)</t>
  </si>
  <si>
    <t>VMC measured</t>
  </si>
  <si>
    <t>VMC soil</t>
  </si>
  <si>
    <t>Status: DISCHARGE ENABLED</t>
  </si>
  <si>
    <t>Timestamp(ms)</t>
  </si>
  <si>
    <t>Current(mA)</t>
  </si>
  <si>
    <t>--- DISCHARGE CUTOFF REACHED ---</t>
  </si>
  <si>
    <t>Final Current: 0.00</t>
  </si>
  <si>
    <t>Vcutoff</t>
  </si>
  <si>
    <t>Icutoff (mA)</t>
  </si>
  <si>
    <t>Rload</t>
  </si>
  <si>
    <t>DISCHARGE</t>
  </si>
  <si>
    <t>Battery #2</t>
  </si>
  <si>
    <t>h</t>
  </si>
  <si>
    <t>i</t>
  </si>
  <si>
    <t>mAh</t>
  </si>
  <si>
    <t>Not logged</t>
  </si>
  <si>
    <t>Logged</t>
  </si>
  <si>
    <t>Index</t>
  </si>
  <si>
    <t>Current</t>
  </si>
  <si>
    <t>capacity (mAh)</t>
  </si>
  <si>
    <t>total capacity</t>
  </si>
  <si>
    <t>Battery #1</t>
  </si>
  <si>
    <t>Final Current: -0.10</t>
  </si>
  <si>
    <t>--- SHUTDOWN: LOW VOLTAGE ---</t>
  </si>
  <si>
    <t>Voltage (V)</t>
  </si>
  <si>
    <t>Time 1</t>
  </si>
  <si>
    <t>Time 2</t>
  </si>
  <si>
    <t>Batt#</t>
  </si>
  <si>
    <t>dischargeTime (h)</t>
  </si>
  <si>
    <t>avr current</t>
  </si>
  <si>
    <t>Batt2</t>
  </si>
  <si>
    <t>Batt1</t>
  </si>
  <si>
    <t>Voltage(V)</t>
  </si>
  <si>
    <t>2026-03-23T09:00:00.000Z</t>
  </si>
  <si>
    <t>Measured</t>
  </si>
  <si>
    <t>2026-03-23T09:00:34.658Z</t>
  </si>
  <si>
    <t>Average</t>
  </si>
  <si>
    <t>Stdev</t>
  </si>
  <si>
    <t>Actual</t>
  </si>
  <si>
    <t>2026-03-23T09:02:32.805Z</t>
  </si>
  <si>
    <t>2026-03-23T09:03:32.122Z</t>
  </si>
  <si>
    <t>2026-03-23T09:04:31.229Z</t>
  </si>
  <si>
    <t>2026-03-23T09:05:30.414Z</t>
  </si>
  <si>
    <t>2026-03-23T09:06:29.577Z</t>
  </si>
  <si>
    <t>2026-03-23T09:07:28.868Z</t>
  </si>
  <si>
    <t>2026-03-23T09:08:27.972Z</t>
  </si>
  <si>
    <t>2026-03-23T09:09:27.036Z</t>
  </si>
  <si>
    <t>2026-03-23T09:10:39.679Z</t>
  </si>
  <si>
    <t>2026-03-23T09:11:39.062Z</t>
  </si>
  <si>
    <t>2026-03-23T09:12:38.115Z</t>
  </si>
  <si>
    <t>2026-03-23T09:13:37.218Z</t>
  </si>
  <si>
    <t>2026-03-23T09:14:36.805Z</t>
  </si>
  <si>
    <t>2026-03-23T09:15:35.784Z</t>
  </si>
  <si>
    <t>2026-03-23T09:16:35.174Z</t>
  </si>
  <si>
    <t>2026-03-23T09:17:33.858Z</t>
  </si>
  <si>
    <t>2026-03-23T09:18:33.137Z</t>
  </si>
  <si>
    <t>2026-03-23T09:19:32.243Z</t>
  </si>
  <si>
    <t>2026-03-23T09:20:31.523Z</t>
  </si>
  <si>
    <t>2026-03-23T09:21:30.602Z</t>
  </si>
  <si>
    <t>2026-03-23T09:22:29.700Z</t>
  </si>
  <si>
    <t>2026-03-23T09:23:29.083Z</t>
  </si>
  <si>
    <t>2026-03-23T09:24:28.880Z</t>
  </si>
  <si>
    <t>2026-03-23T09:25:27.158Z</t>
  </si>
  <si>
    <t>2026-03-23T09:26:26.438Z</t>
  </si>
  <si>
    <t>2026-03-23T09:27:25.632Z</t>
  </si>
  <si>
    <t>2026-03-23T09:28:24.916Z</t>
  </si>
  <si>
    <t>2026-03-23T09:29:24.715Z</t>
  </si>
  <si>
    <t>2026-03-23T09:30:23.033Z</t>
  </si>
  <si>
    <t>2026-03-23T09:31:22.471Z</t>
  </si>
  <si>
    <t>2026-03-23T09:33:20.618Z</t>
  </si>
  <si>
    <t>2026-03-23T09:34:19.829Z</t>
  </si>
  <si>
    <t>2026-03-23T09:35:18.863Z</t>
  </si>
  <si>
    <t>2026-03-23T09:36:18.005Z</t>
  </si>
  <si>
    <t>2026-03-23T09:38:16.314Z</t>
  </si>
  <si>
    <t>2026-03-23T09:39:15.604Z</t>
  </si>
  <si>
    <t>2026-03-23T09:40:14.675Z</t>
  </si>
  <si>
    <t>2026-03-23T09:41:14.352Z</t>
  </si>
  <si>
    <t>2026-03-23T09:42:13.232Z</t>
  </si>
  <si>
    <t>2026-03-23T09:43:12.313Z</t>
  </si>
  <si>
    <t>2026-03-23T09:44:11.337Z</t>
  </si>
  <si>
    <t>2026-03-23T09:45:10.485Z</t>
  </si>
  <si>
    <t>2026-03-23T09:46:09.917Z</t>
  </si>
  <si>
    <t>2026-03-23T09:47:09.065Z</t>
  </si>
  <si>
    <t>2026-03-23T09:48:08.043Z</t>
  </si>
  <si>
    <t>2026-03-23T09:49:07.153Z</t>
  </si>
  <si>
    <t>2026-03-23T09:50:06.624Z</t>
  </si>
  <si>
    <t>2026-03-23T09:51:05.522Z</t>
  </si>
  <si>
    <t>2026-03-23T09:52:04.822Z</t>
  </si>
  <si>
    <t>2026-03-23T09:53:04.084Z</t>
  </si>
  <si>
    <t>2026-03-23T09:54:03.088Z</t>
  </si>
  <si>
    <t>2026-03-23T09:55:02.467Z</t>
  </si>
  <si>
    <t>2026-03-23T09:56:01.472Z</t>
  </si>
  <si>
    <t>2026-03-23T09:57:00.739Z</t>
  </si>
  <si>
    <t>2026-03-23T09:58:59.010Z</t>
  </si>
  <si>
    <t>2026-03-23T09:59:58.004Z</t>
  </si>
  <si>
    <t>2026-03-23T10:00:57.715Z</t>
  </si>
  <si>
    <t>2026-03-23T10:01:56.674Z</t>
  </si>
  <si>
    <t>2026-03-23T10:02:55.656Z</t>
  </si>
  <si>
    <t>2026-03-23T10:03:55.252Z</t>
  </si>
  <si>
    <t>2026-03-23T10:04:53.975Z</t>
  </si>
  <si>
    <t>2026-03-23T10:05:53.108Z</t>
  </si>
  <si>
    <t>2026-03-23T10:06:52.605Z</t>
  </si>
  <si>
    <t>2026-03-23T10:07:51.594Z</t>
  </si>
  <si>
    <t>2026-03-23T10:08:50.608Z</t>
  </si>
  <si>
    <t>2026-03-23T10:09:49.762Z</t>
  </si>
  <si>
    <t>2026-03-23T10:10:48.875Z</t>
  </si>
  <si>
    <t>2026-03-23T10:11:48.565Z</t>
  </si>
  <si>
    <t>2026-03-23T10:12:47.530Z</t>
  </si>
  <si>
    <t>2026-03-23T10:13:46.526Z</t>
  </si>
  <si>
    <t>2026-03-23T10:14:45.695Z</t>
  </si>
  <si>
    <t>2026-03-23T10:15:44.784Z</t>
  </si>
  <si>
    <t>2026-03-23T10:16:44.172Z</t>
  </si>
  <si>
    <t>2026-03-23T10:17:43.194Z</t>
  </si>
  <si>
    <t>2026-03-23T10:18:42.239Z</t>
  </si>
  <si>
    <t>2026-03-23T10:19:41.428Z</t>
  </si>
  <si>
    <t>2026-03-23T10:20:40.540Z</t>
  </si>
  <si>
    <t>2026-03-23T10:21:39.915Z</t>
  </si>
  <si>
    <t>2026-03-23T10:22:39.014Z</t>
  </si>
  <si>
    <t>2026-03-23T10:23:38.283Z</t>
  </si>
  <si>
    <t>2026-03-23T10:24:37.176Z</t>
  </si>
  <si>
    <t>2026-03-23T10:25:36.365Z</t>
  </si>
  <si>
    <t>2026-03-23T10:26:36.491Z</t>
  </si>
  <si>
    <t>2026-03-23T10:27:34.930Z</t>
  </si>
  <si>
    <t>2026-03-23T10:28:34.011Z</t>
  </si>
  <si>
    <t>2026-03-23T10:29:33.127Z</t>
  </si>
  <si>
    <t>2026-03-23T10:32:30.980Z</t>
  </si>
  <si>
    <t>2026-03-23T10:33:29.882Z</t>
  </si>
  <si>
    <t>2026-03-23T10:34:29.075Z</t>
  </si>
  <si>
    <t>2026-03-23T10:35:28.231Z</t>
  </si>
  <si>
    <t>2026-03-23T10:36:27.246Z</t>
  </si>
  <si>
    <t>2026-03-23T10:37:26.498Z</t>
  </si>
  <si>
    <t>2026-03-23T10:39:24.795Z</t>
  </si>
  <si>
    <t>2026-03-23T10:41:23.347Z</t>
  </si>
  <si>
    <t>2026-03-23T10:42:22.356Z</t>
  </si>
  <si>
    <t>2026-03-23T10:43:21.959Z</t>
  </si>
  <si>
    <t>2026-03-23T10:44:21.120Z</t>
  </si>
  <si>
    <t>2026-03-23T10:46:19.490Z</t>
  </si>
  <si>
    <t>2026-03-23T10:47:18.812Z</t>
  </si>
  <si>
    <t>2026-03-23T10:48:17.667Z</t>
  </si>
  <si>
    <t>2026-03-23T10:49:16.771Z</t>
  </si>
  <si>
    <t>2026-03-23T10:51:16.362Z</t>
  </si>
  <si>
    <t>2026-03-23T10:52:14.452Z</t>
  </si>
  <si>
    <t>2026-03-23T10:53:13.623Z</t>
  </si>
  <si>
    <t>2026-03-23T10:54:12.682Z</t>
  </si>
  <si>
    <t>2026-03-23T10:55:11.788Z</t>
  </si>
  <si>
    <t>2026-03-23T10:56:10.955Z</t>
  </si>
  <si>
    <t>2026-03-23T10:58:09.361Z</t>
  </si>
  <si>
    <t>2026-03-23T10:59:08.738Z</t>
  </si>
  <si>
    <t>2026-03-23T11:00:08.113Z</t>
  </si>
  <si>
    <t>2026-03-23T11:01:06.887Z</t>
  </si>
  <si>
    <t>2026-03-23T11:02:06.075Z</t>
  </si>
  <si>
    <t>2026-03-23T11:03:05.268Z</t>
  </si>
  <si>
    <t>2026-03-23T11:04:04.596Z</t>
  </si>
  <si>
    <t>2026-03-23T11:05:03.655Z</t>
  </si>
  <si>
    <t>2026-03-23T11:06:02.930Z</t>
  </si>
  <si>
    <t>2026-03-23T11:07:01.850Z</t>
  </si>
  <si>
    <t>2026-03-23T11:08:01.105Z</t>
  </si>
  <si>
    <t>2026-03-23T11:09:00.282Z</t>
  </si>
  <si>
    <t>2026-03-23T11:11:58.357Z</t>
  </si>
  <si>
    <t>2026-03-23T11:12:58.677Z</t>
  </si>
  <si>
    <t>2026-03-23T11:28:44.237Z</t>
  </si>
  <si>
    <t>2026-03-23T11:31:42.558Z</t>
  </si>
  <si>
    <t>2026-03-23T11:32:41.038Z</t>
  </si>
  <si>
    <t>cumulativeVolume</t>
  </si>
  <si>
    <t>VMC actual</t>
  </si>
  <si>
    <t>2026-03-21T10:00:31.230Z</t>
  </si>
  <si>
    <t>2026-03-21T10:11:04.944Z</t>
  </si>
  <si>
    <t>2026-03-21T10:21:39.518Z</t>
  </si>
  <si>
    <t>2026-03-21T10:42:46.315Z</t>
  </si>
  <si>
    <t>2026-03-21T10:53:20.083Z</t>
  </si>
  <si>
    <t>2026-03-21T11:03:54.129Z</t>
  </si>
  <si>
    <t>2026-03-21T11:46:09.287Z</t>
  </si>
  <si>
    <t>2026-03-21T11:56:43.317Z</t>
  </si>
  <si>
    <t>2026-03-21T12:17:51.261Z</t>
  </si>
  <si>
    <t>2026-03-21T13:52:56.681Z</t>
  </si>
  <si>
    <t>2026-03-21T14:03:30.640Z</t>
  </si>
  <si>
    <t>2026-03-21T14:14:04.533Z</t>
  </si>
  <si>
    <t>2026-03-21T14:24:38.485Z</t>
  </si>
  <si>
    <t>2026-03-21T14:35:12.521Z</t>
  </si>
  <si>
    <t>2026-03-21T14:45:46.507Z</t>
  </si>
  <si>
    <t>2026-03-21T14:56:20.389Z</t>
  </si>
  <si>
    <t>2026-03-21T15:06:54.416Z</t>
  </si>
  <si>
    <t>2026-03-21T15:17:28.775Z</t>
  </si>
  <si>
    <t>2026-03-21T15:38:36.220Z</t>
  </si>
  <si>
    <t>2026-03-21T15:59:44.130Z</t>
  </si>
  <si>
    <t>2026-03-21T16:10:18.395Z</t>
  </si>
  <si>
    <t>2026-03-21T16:42:00.272Z</t>
  </si>
  <si>
    <t>2026-03-21T16:52:34.117Z</t>
  </si>
  <si>
    <t>2026-03-21T17:03:08.210Z</t>
  </si>
  <si>
    <t>2026-03-21T17:13:42.239Z</t>
  </si>
  <si>
    <t>2026-03-21T17:24:16.214Z</t>
  </si>
  <si>
    <t>2026-03-21T17:34:49.904Z</t>
  </si>
  <si>
    <t>2026-03-21T17:45:23.843Z</t>
  </si>
  <si>
    <t>2026-03-21T18:06:31.649Z</t>
  </si>
  <si>
    <t>2026-03-21T18:17:05.597Z</t>
  </si>
  <si>
    <t>2026-03-21T18:27:39.455Z</t>
  </si>
  <si>
    <t>2026-03-21T18:38:13.952Z</t>
  </si>
  <si>
    <t>2026-03-21T18:48:47.168Z</t>
  </si>
  <si>
    <t>2026-03-21T18:59:21.135Z</t>
  </si>
  <si>
    <t>2026-03-21T19:09:54.791Z</t>
  </si>
  <si>
    <t>2026-03-21T19:20:28.770Z</t>
  </si>
  <si>
    <t>2026-03-21T19:31:02.496Z</t>
  </si>
  <si>
    <t>2026-03-21T19:41:36.199Z</t>
  </si>
  <si>
    <t>2026-03-21T20:02:43.660Z</t>
  </si>
  <si>
    <t>2026-03-21T20:13:17.336Z</t>
  </si>
  <si>
    <t>2026-03-21T20:34:24.929Z</t>
  </si>
  <si>
    <t>2026-03-21T20:44:58.400Z</t>
  </si>
  <si>
    <t>2026-03-21T20:55:33.292Z</t>
  </si>
  <si>
    <t>2026-03-21T21:06:06.841Z</t>
  </si>
  <si>
    <t>2026-03-21T21:16:39.664Z</t>
  </si>
  <si>
    <t>2026-03-21T21:48:20.956Z</t>
  </si>
  <si>
    <t>2026-03-21T21:58:54.874Z</t>
  </si>
  <si>
    <t>2026-03-21T22:09:28.508Z</t>
  </si>
  <si>
    <t>2026-03-21T22:20:02.416Z</t>
  </si>
  <si>
    <t>2026-03-21T22:41:10.072Z</t>
  </si>
  <si>
    <t>2026-03-21T23:02:18.074Z</t>
  </si>
  <si>
    <t>2026-03-21T23:12:52.084Z</t>
  </si>
  <si>
    <t>2026-03-21T23:23:25.893Z</t>
  </si>
  <si>
    <t>2026-03-21T23:33:59.641Z</t>
  </si>
  <si>
    <t>2026-03-21T23:55:07.073Z</t>
  </si>
  <si>
    <t>2026-03-22T00:05:41.729Z</t>
  </si>
  <si>
    <t>2026-03-22T00:16:14.865Z</t>
  </si>
  <si>
    <t>2026-03-22T00:26:48.530Z</t>
  </si>
  <si>
    <t>2026-03-22T01:30:10.623Z</t>
  </si>
  <si>
    <t>2026-03-22T02:01:51.369Z</t>
  </si>
  <si>
    <t>2026-03-22T04:29:39.434Z</t>
  </si>
  <si>
    <t>2026-03-22T04:40:12.677Z</t>
  </si>
  <si>
    <t>2026-03-22T04:50:45.920Z</t>
  </si>
  <si>
    <t>2026-03-22T05:01:19.266Z</t>
  </si>
  <si>
    <t>2026-03-22T06:04:39.353Z</t>
  </si>
  <si>
    <t>2026-03-22T07:39:39.800Z</t>
  </si>
  <si>
    <t>2026-03-22T07:50:13.317Z</t>
  </si>
  <si>
    <t>2026-03-22T08:00:46.887Z</t>
  </si>
  <si>
    <t>2026-03-22T08:11:20.444Z</t>
  </si>
  <si>
    <t>2026-03-22T08:21:54.006Z</t>
  </si>
  <si>
    <t>2026-03-22T08:32:28.043Z</t>
  </si>
  <si>
    <t>2026-03-22T08:53:34.935Z</t>
  </si>
  <si>
    <t>2026-03-22T09:14:42.753Z</t>
  </si>
  <si>
    <t>2026-03-22T09:35:49.665Z</t>
  </si>
  <si>
    <t>2026-03-22T09:46:23.528Z</t>
  </si>
  <si>
    <t>2026-03-22T10:07:31.127Z</t>
  </si>
  <si>
    <t>2026-03-22T10:18:04.900Z</t>
  </si>
  <si>
    <t>2026-03-22T10:28:39.140Z</t>
  </si>
  <si>
    <t>2026-03-22T11:10:53.689Z</t>
  </si>
  <si>
    <t>2026-03-22T11:21:27.653Z</t>
  </si>
  <si>
    <t>2026-03-22T12:24:51.015Z</t>
  </si>
  <si>
    <t>2026-03-22T12:45:58.785Z</t>
  </si>
  <si>
    <t>2026-03-22T12:56:32.763Z</t>
  </si>
  <si>
    <t>2026-03-22T13:38:48.615Z</t>
  </si>
  <si>
    <t>2026-03-22T13:49:22.446Z</t>
  </si>
  <si>
    <t>2026-03-22T13:59:56.831Z</t>
  </si>
  <si>
    <t>2026-03-22T14:10:30.493Z</t>
  </si>
  <si>
    <t>2026-03-22T14:21:04.328Z</t>
  </si>
  <si>
    <t>2026-03-22T15:56:10.791Z</t>
  </si>
  <si>
    <t>2026-03-22T16:06:44.981Z</t>
  </si>
  <si>
    <t>2026-03-22T16:27:53.498Z</t>
  </si>
  <si>
    <t>2026-03-22T16:38:29.093Z</t>
  </si>
  <si>
    <t>2026-03-22T16:49:02.132Z</t>
  </si>
  <si>
    <t>2026-03-22T17:52:26.697Z</t>
  </si>
  <si>
    <t>2026-03-22T18:13:34.944Z</t>
  </si>
  <si>
    <t>2026-03-22T18:24:09.023Z</t>
  </si>
  <si>
    <t>2026-03-22T18:34:43.105Z</t>
  </si>
  <si>
    <t>2026-03-22T18:45:17.284Z</t>
  </si>
  <si>
    <t>2026-03-22T18:55:51.635Z</t>
  </si>
  <si>
    <t>2026-03-22T19:06:25.618Z</t>
  </si>
  <si>
    <t>2026-03-22T19:27:34.415Z</t>
  </si>
  <si>
    <t>2026-03-22T19:38:08.315Z</t>
  </si>
  <si>
    <t>2026-03-22T19:48:42.468Z</t>
  </si>
  <si>
    <t>2026-03-22T20:09:51.002Z</t>
  </si>
  <si>
    <t>2026-03-22T20:30:58.789Z</t>
  </si>
  <si>
    <t>2026-03-22T20:41:33.162Z</t>
  </si>
  <si>
    <t>2026-03-22T20:52:06.809Z</t>
  </si>
  <si>
    <t>2026-03-22T21:02:41.184Z</t>
  </si>
  <si>
    <t>2026-03-22T21:13:14.731Z</t>
  </si>
  <si>
    <t>2026-03-22T21:23:48.709Z</t>
  </si>
  <si>
    <t>2026-03-22T21:34:22.498Z</t>
  </si>
  <si>
    <t>2026-03-22T21:44:56.510Z</t>
  </si>
  <si>
    <t>2026-03-22T21:55:30.099Z</t>
  </si>
  <si>
    <t>2026-03-22T22:16:37.693Z</t>
  </si>
  <si>
    <t>2026-03-22T22:27:11.569Z</t>
  </si>
  <si>
    <t>2026-03-22T22:37:45.514Z</t>
  </si>
  <si>
    <t>2026-03-22T22:48:19.152Z</t>
  </si>
  <si>
    <t>2026-03-22T23:09:26.506Z</t>
  </si>
  <si>
    <t>2026-03-23T06:43:24.950Z</t>
  </si>
  <si>
    <t>2026-03-23T06:53:58.522Z</t>
  </si>
  <si>
    <t>2026-03-23T07:04:31.847Z</t>
  </si>
  <si>
    <t>2026-03-23T07:15:05.541Z</t>
  </si>
  <si>
    <t>2026-03-23T07:25:38.880Z</t>
  </si>
  <si>
    <t>2026-03-23T07:36:12.497Z</t>
  </si>
  <si>
    <t>2026-03-23T07:46:45.971Z</t>
  </si>
  <si>
    <t>2026-03-23T07:57:19.701Z</t>
  </si>
  <si>
    <t>2026-03-23T08:07:53.289Z</t>
  </si>
  <si>
    <t>2026-03-23T08:39:33.825Z</t>
  </si>
  <si>
    <t>2026-03-23T08:52:41.203Z</t>
  </si>
  <si>
    <t>2026-03-23T08:53:40.876Z</t>
  </si>
  <si>
    <t>2026-03-23T10:31:31.786Z</t>
  </si>
  <si>
    <t>2026-03-23T10:48:17.668Z</t>
  </si>
  <si>
    <t>2026-03-23T10:50:15.932Z</t>
  </si>
  <si>
    <t>2026-03-23T11:04:04.597Z</t>
  </si>
  <si>
    <t>2026-03-23T11:08:01.106Z</t>
  </si>
  <si>
    <t>2026-03-23T11:19:51.858Z</t>
  </si>
  <si>
    <t>AVERAGE of state</t>
  </si>
  <si>
    <t>MAX of state</t>
  </si>
  <si>
    <t>MEDIAN of state</t>
  </si>
  <si>
    <t>Grand Total</t>
  </si>
  <si>
    <t>plateauState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</si>
</sst>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 H:mm:ss"/>
    <numFmt numFmtId="165" formatCode="yyyy-mm-dd h:mm:ss"/>
    <numFmt numFmtId="166" formatCode="0.0"/>
    <numFmt numFmtId="167" formatCode="0.000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'Noto Sans'"/>
    </font>
    <font>
      <color theme="1"/>
      <name val="Arial"/>
    </font>
    <font>
      <b/>
      <color theme="1"/>
      <name val="Arial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4" xfId="0" applyAlignment="1" applyFont="1" applyNumberFormat="1">
      <alignment readingOrder="0" shrinkToFit="0" vertical="center" wrapText="0"/>
    </xf>
    <xf borderId="0" fillId="0" fontId="1" numFmtId="0" xfId="0" applyFont="1"/>
    <xf borderId="0" fillId="0" fontId="1" numFmtId="4" xfId="0" applyAlignment="1" applyFont="1" applyNumberFormat="1">
      <alignment shrinkToFit="0" vertical="center" wrapText="0"/>
    </xf>
    <xf borderId="0" fillId="2" fontId="2" numFmtId="165" xfId="0" applyAlignment="1" applyFill="1" applyFont="1" applyNumberFormat="1">
      <alignment readingOrder="0" shrinkToFit="0" vertical="center" wrapText="0"/>
    </xf>
    <xf borderId="0" fillId="2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bottom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2" xfId="0" applyAlignment="1" applyFont="1" applyNumberFormat="1">
      <alignment shrinkToFit="0" vertical="center" wrapText="0"/>
    </xf>
    <xf borderId="0" fillId="0" fontId="1" numFmtId="2" xfId="0" applyFont="1" applyNumberFormat="1"/>
    <xf borderId="0" fillId="0" fontId="4" numFmtId="0" xfId="0" applyAlignment="1" applyFont="1">
      <alignment readingOrder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166" xfId="0" applyAlignment="1" applyFont="1" applyNumberFormat="1">
      <alignment shrinkToFit="0" vertical="center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" numFmtId="0" xfId="0" applyAlignment="1" applyFont="1">
      <alignment readingOrder="0"/>
    </xf>
    <xf borderId="0" fillId="0" fontId="5" numFmtId="167" xfId="0" applyAlignment="1" applyFont="1" applyNumberFormat="1">
      <alignment shrinkToFit="0" vertical="bottom" wrapText="0"/>
    </xf>
    <xf borderId="0" fillId="0" fontId="1" numFmtId="167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1">
    <tableStyle count="4" pivot="0" name="SS1 calibration d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S1 calibration data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S calibration d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MCvsVolAdde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attery2Discharg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att1DischargeV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att2DischargeV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att2DischargeV2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oltageD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oilCalibra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lateauVMC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pivotCacheDefinition" Target="pivotCache/pivotCacheDefinition1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state vs. last_changed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'SS1 calibration data'!$D$1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'SS1 calibration data'!$B$2:$B$2050</c:f>
            </c:strRef>
          </c:cat>
          <c:val>
            <c:numRef>
              <c:f>'SS1 calibration data'!$D$2:$D$2050</c:f>
              <c:numCache/>
            </c:numRef>
          </c:val>
          <c:smooth val="0"/>
        </c:ser>
        <c:axId val="2112246788"/>
        <c:axId val="1336757356"/>
      </c:lineChart>
      <c:catAx>
        <c:axId val="21122467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last_changed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6757356"/>
      </c:catAx>
      <c:valAx>
        <c:axId val="1336757356"/>
        <c:scaling>
          <c:orientation val="minMax"/>
          <c:max val="12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22467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VMC measured vs. Cumulative Vol Added (mL)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VMCvsVolAdded!$D$10:$D$18</c:f>
            </c:numRef>
          </c:xVal>
          <c:yVal>
            <c:numRef>
              <c:f>VMCvsVolAdded!$C$10:$C$18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VMCvsVolAdded!$D$10:$D$18</c:f>
            </c:numRef>
          </c:xVal>
          <c:yVal>
            <c:numRef>
              <c:f>VMCvsVolAdded!$D$10:$D$18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9544045"/>
        <c:axId val="560420789"/>
      </c:scatterChart>
      <c:valAx>
        <c:axId val="197954404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VMC  soil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0420789"/>
      </c:valAx>
      <c:valAx>
        <c:axId val="5604207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VMC measured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95440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VMC measured vs. Cumulative Vol Added (mL)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VMCvsVolAdded!$B$10:$B$18</c:f>
            </c:numRef>
          </c:xVal>
          <c:yVal>
            <c:numRef>
              <c:f>VMCvsVolAdded!$C$10:$C$18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7982169"/>
        <c:axId val="61948201"/>
      </c:scatterChart>
      <c:valAx>
        <c:axId val="107798216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Cumulative Vol Added (mL)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948201"/>
      </c:valAx>
      <c:valAx>
        <c:axId val="619482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VMC measured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79821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Voltage (V) and Current(mA)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Battery2Discharge!$C$3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Battery2Discharge!$B$4:$B$1124</c:f>
            </c:strRef>
          </c:cat>
          <c:val>
            <c:numRef>
              <c:f>Battery2Discharge!$C$4:$C$1124</c:f>
              <c:numCache/>
            </c:numRef>
          </c:val>
          <c:smooth val="0"/>
        </c:ser>
        <c:ser>
          <c:idx val="1"/>
          <c:order val="1"/>
          <c:tx>
            <c:strRef>
              <c:f>Battery2Discharge!$D$3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Battery2Discharge!$B$4:$B$1124</c:f>
            </c:strRef>
          </c:cat>
          <c:val>
            <c:numRef>
              <c:f>Battery2Discharge!$D$4:$D$1124</c:f>
              <c:numCache/>
            </c:numRef>
          </c:val>
          <c:smooth val="0"/>
        </c:ser>
        <c:axId val="468568756"/>
        <c:axId val="1038655497"/>
      </c:lineChart>
      <c:catAx>
        <c:axId val="4685687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Timestamp(ms)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8655497"/>
      </c:catAx>
      <c:valAx>
        <c:axId val="10386554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85687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Column 2, Voltage (V) and Current(mA)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Batt1DischargeV2!$E$4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Batt1DischargeV2!$D$5:$D$2062</c:f>
            </c:strRef>
          </c:cat>
          <c:val>
            <c:numRef>
              <c:f>Batt1DischargeV2!$E$5:$E$2062</c:f>
              <c:numCache/>
            </c:numRef>
          </c:val>
          <c:smooth val="0"/>
        </c:ser>
        <c:ser>
          <c:idx val="1"/>
          <c:order val="1"/>
          <c:tx>
            <c:strRef>
              <c:f>Batt1DischargeV2!$F$4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Batt1DischargeV2!$D$5:$D$2062</c:f>
            </c:strRef>
          </c:cat>
          <c:val>
            <c:numRef>
              <c:f>Batt1DischargeV2!$F$5:$F$2062</c:f>
              <c:numCache/>
            </c:numRef>
          </c:val>
          <c:smooth val="0"/>
        </c:ser>
        <c:axId val="1075299001"/>
        <c:axId val="1262163558"/>
      </c:lineChart>
      <c:catAx>
        <c:axId val="1075299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2163558"/>
      </c:catAx>
      <c:valAx>
        <c:axId val="12621635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52990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Voltage(V) and Current(mA)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Batt2DischargeV2!$B$7:$B$2057</c:f>
            </c:strRef>
          </c:cat>
          <c:val>
            <c:numRef>
              <c:f>Batt2DischargeV2!$C$7:$C$2057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Batt2DischargeV2!$B$7:$B$2057</c:f>
            </c:strRef>
          </c:cat>
          <c:val>
            <c:numRef>
              <c:f>Batt2DischargeV2!$D$7:$D$2057</c:f>
              <c:numCache/>
            </c:numRef>
          </c:val>
          <c:smooth val="0"/>
        </c:ser>
        <c:axId val="1836617406"/>
        <c:axId val="930021813"/>
      </c:lineChart>
      <c:catAx>
        <c:axId val="18366174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Timestamp(ms)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0021813"/>
      </c:catAx>
      <c:valAx>
        <c:axId val="9300218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66174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state vs. cumulativeVolume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CumVolumePivot!$C$2</c:f>
            </c:strRef>
          </c:tx>
          <c:spPr>
            <a:ln cmpd="sng">
              <a:solidFill>
                <a:srgbClr val="4285F4">
                  <a:alpha val="100000"/>
                </a:srgbClr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4285F4">
                  <a:alpha val="100000"/>
                </a:srgbClr>
              </a:solidFill>
              <a:ln cmpd="sng">
                <a:solidFill>
                  <a:srgbClr val="4285F4">
                    <a:alpha val="100000"/>
                  </a:srgbClr>
                </a:solidFill>
              </a:ln>
            </c:spPr>
          </c:marker>
          <c:cat>
            <c:strRef>
              <c:f>CumVolumePivot!$B$3:$B$9</c:f>
            </c:strRef>
          </c:cat>
          <c:val>
            <c:numRef>
              <c:f>CumVolumePivot!$C$3:$C$9</c:f>
              <c:numCache/>
            </c:numRef>
          </c:val>
          <c:smooth val="0"/>
        </c:ser>
        <c:axId val="448672002"/>
        <c:axId val="1389408805"/>
      </c:lineChart>
      <c:catAx>
        <c:axId val="4486720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cumulativeVolume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9408805"/>
      </c:catAx>
      <c:valAx>
        <c:axId val="13894088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state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86720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Plateau and Avr Measured VMC% vs VMC actual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plateauVMC!$G$3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plateauVMC!$C$4:$C$10</c:f>
            </c:strRef>
          </c:cat>
          <c:val>
            <c:numRef>
              <c:f>plateauVMC!$G$4:$G$10</c:f>
              <c:numCache/>
            </c:numRef>
          </c:val>
          <c:smooth val="0"/>
        </c:ser>
        <c:ser>
          <c:idx val="1"/>
          <c:order val="1"/>
          <c:tx>
            <c:strRef>
              <c:f>plateauVMC!$D$3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plateauVMC!$C$4:$C$10</c:f>
            </c:strRef>
          </c:cat>
          <c:val>
            <c:numRef>
              <c:f>plateauVMC!$D$4:$D$10</c:f>
              <c:numCache/>
            </c:numRef>
          </c:val>
          <c:smooth val="0"/>
        </c:ser>
        <c:axId val="863466979"/>
        <c:axId val="1490384609"/>
      </c:lineChart>
      <c:catAx>
        <c:axId val="863466979"/>
        <c:scaling>
          <c:orientation val="minMax"/>
          <c:max val="16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VMC actual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0384609"/>
      </c:catAx>
      <c:valAx>
        <c:axId val="1490384609"/>
        <c:scaling>
          <c:orientation val="minMax"/>
          <c:min val="8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34669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161925</xdr:colOff>
      <xdr:row>1</xdr:row>
      <xdr:rowOff>0</xdr:rowOff>
    </xdr:from>
    <xdr:ext cx="12658725" cy="55816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76200</xdr:colOff>
      <xdr:row>0</xdr:row>
      <xdr:rowOff>47625</xdr:rowOff>
    </xdr:from>
    <xdr:ext cx="5715000" cy="37052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257175</xdr:colOff>
      <xdr:row>16</xdr:row>
      <xdr:rowOff>114300</xdr:rowOff>
    </xdr:from>
    <xdr:ext cx="5715000" cy="37052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876300</xdr:colOff>
      <xdr:row>6</xdr:row>
      <xdr:rowOff>104775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876300</xdr:colOff>
      <xdr:row>4</xdr:row>
      <xdr:rowOff>285750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152400</xdr:colOff>
      <xdr:row>9</xdr:row>
      <xdr:rowOff>190500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266700</xdr:colOff>
      <xdr:row>0</xdr:row>
      <xdr:rowOff>28575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457200</xdr:colOff>
      <xdr:row>0</xdr:row>
      <xdr:rowOff>171450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C3:G170" sheet="soilCalibration"/>
  </cacheSource>
  <cacheFields>
    <cacheField name="entity_id" numFmtId="0">
      <sharedItems>
        <s v="sensor.ss_e139_moisture"/>
      </sharedItems>
    </cacheField>
    <cacheField name="state" numFmtId="0">
      <sharedItems containsSemiMixedTypes="0" containsString="0" containsNumber="1">
        <n v="9.43"/>
        <n v="9.55"/>
        <n v="9.6"/>
        <n v="9.66"/>
        <n v="9.72"/>
        <n v="9.76"/>
        <n v="9.82"/>
        <n v="9.92"/>
        <n v="9.97"/>
        <n v="10.09"/>
        <n v="10.26"/>
        <n v="10.13"/>
        <n v="10.3"/>
        <n v="10.46"/>
        <n v="10.37"/>
        <n v="10.54"/>
        <n v="10.63"/>
        <n v="10.74"/>
        <n v="10.79"/>
        <n v="10.86"/>
        <n v="10.58"/>
        <n v="11.06"/>
        <n v="11.11"/>
        <n v="11.38"/>
        <n v="11.49"/>
        <n v="11.58"/>
        <n v="11.65"/>
        <n v="11.69"/>
        <n v="11.74"/>
        <n v="11.81"/>
        <n v="11.9"/>
        <n v="11.96"/>
        <n v="12.05"/>
        <n v="12.12"/>
        <n v="12.17"/>
        <n v="12.21"/>
        <n v="12.28"/>
        <n v="12.37"/>
        <n v="12.48"/>
        <n v="12.59"/>
        <n v="12.63"/>
        <n v="12.74"/>
        <n v="12.79"/>
        <n v="13.0"/>
        <n v="13.04"/>
        <n v="13.16"/>
        <n v="13.2"/>
        <n v="13.31"/>
        <n v="13.46"/>
        <n v="13.5"/>
        <n v="13.57"/>
        <n v="13.62"/>
        <n v="13.66"/>
        <n v="13.73"/>
        <n v="13.77"/>
        <n v="13.83"/>
        <n v="13.88"/>
        <n v="13.92"/>
        <n v="13.99"/>
        <n v="14.03"/>
        <n v="14.17"/>
        <n v="14.39"/>
        <n v="14.44"/>
        <n v="14.54"/>
        <n v="14.69"/>
        <n v="14.35"/>
        <n v="14.65"/>
        <n v="14.5"/>
        <n v="14.61"/>
        <n v="14.75"/>
        <n v="14.79"/>
        <n v="15.04"/>
        <n v="14.95"/>
        <n v="15.21"/>
        <n v="15.25"/>
        <n v="15.29"/>
        <n v="15.71"/>
        <n v="15.87"/>
        <n v="16.24"/>
        <n v="16.44"/>
        <n v="16.49"/>
        <n v="16.59"/>
        <n v="16.69"/>
        <n v="15.67"/>
        <n v="15.92"/>
        <n v="15.58"/>
        <n v="15.62"/>
        <n v="15.46"/>
        <n v="15.75"/>
        <n v="15.83"/>
      </sharedItems>
    </cacheField>
    <cacheField name="last_changed" numFmtId="0">
      <sharedItems>
        <s v="2026-03-21T10:00:31.230Z"/>
        <s v="2026-03-21T10:11:04.944Z"/>
        <s v="2026-03-21T10:21:39.518Z"/>
        <s v="2026-03-21T10:42:46.315Z"/>
        <s v="2026-03-21T10:53:20.083Z"/>
        <s v="2026-03-21T11:03:54.129Z"/>
        <s v="2026-03-21T11:46:09.287Z"/>
        <s v="2026-03-21T11:56:43.317Z"/>
        <s v="2026-03-21T12:17:51.261Z"/>
        <s v="2026-03-21T13:52:56.681Z"/>
        <s v="2026-03-21T14:03:30.640Z"/>
        <s v="2026-03-21T14:14:04.533Z"/>
        <s v="2026-03-21T14:24:38.485Z"/>
        <s v="2026-03-21T14:35:12.521Z"/>
        <s v="2026-03-21T14:45:46.507Z"/>
        <s v="2026-03-21T14:56:20.389Z"/>
        <s v="2026-03-21T15:06:54.416Z"/>
        <s v="2026-03-21T15:17:28.775Z"/>
        <s v="2026-03-21T15:38:36.220Z"/>
        <s v="2026-03-21T15:59:44.130Z"/>
        <s v="2026-03-21T16:10:18.395Z"/>
        <s v="2026-03-21T16:42:00.272Z"/>
        <s v="2026-03-21T16:52:34.117Z"/>
        <s v="2026-03-21T17:03:08.210Z"/>
        <s v="2026-03-21T17:13:42.239Z"/>
        <s v="2026-03-21T17:24:16.214Z"/>
        <s v="2026-03-21T17:34:49.904Z"/>
        <s v="2026-03-21T17:45:23.843Z"/>
        <s v="2026-03-21T18:06:31.649Z"/>
        <s v="2026-03-21T18:17:05.597Z"/>
        <s v="2026-03-21T18:27:39.455Z"/>
        <s v="2026-03-21T18:38:13.952Z"/>
        <s v="2026-03-21T18:48:47.168Z"/>
        <s v="2026-03-21T18:59:21.135Z"/>
        <s v="2026-03-21T19:09:54.791Z"/>
        <s v="2026-03-21T19:20:28.770Z"/>
        <s v="2026-03-21T19:31:02.496Z"/>
        <s v="2026-03-21T19:41:36.199Z"/>
        <s v="2026-03-21T20:02:43.660Z"/>
        <s v="2026-03-21T20:13:17.336Z"/>
        <s v="2026-03-21T20:34:24.929Z"/>
        <s v="2026-03-21T20:44:58.400Z"/>
        <s v="2026-03-21T20:55:33.292Z"/>
        <s v="2026-03-21T21:06:06.841Z"/>
        <s v="2026-03-21T21:16:39.664Z"/>
        <s v="2026-03-21T21:48:20.956Z"/>
        <s v="2026-03-21T21:58:54.874Z"/>
        <s v="2026-03-21T22:09:28.508Z"/>
        <s v="2026-03-21T22:20:02.416Z"/>
        <s v="2026-03-21T22:41:10.072Z"/>
        <s v="2026-03-21T23:02:18.074Z"/>
        <s v="2026-03-21T23:12:52.084Z"/>
        <s v="2026-03-21T23:23:25.893Z"/>
        <s v="2026-03-21T23:33:59.641Z"/>
        <s v="2026-03-21T23:55:07.073Z"/>
        <s v="2026-03-22T00:05:41.729Z"/>
        <s v="2026-03-22T00:16:14.865Z"/>
        <s v="2026-03-22T00:26:48.530Z"/>
        <s v="2026-03-22T01:30:10.623Z"/>
        <s v="2026-03-22T02:01:51.369Z"/>
        <s v="2026-03-22T04:29:39.434Z"/>
        <s v="2026-03-22T04:40:12.677Z"/>
        <s v="2026-03-22T04:50:45.920Z"/>
        <s v="2026-03-22T05:01:19.266Z"/>
        <s v="2026-03-22T06:04:39.353Z"/>
        <s v="2026-03-22T07:39:39.800Z"/>
        <s v="2026-03-22T07:50:13.317Z"/>
        <s v="2026-03-22T08:00:46.887Z"/>
        <s v="2026-03-22T08:11:20.444Z"/>
        <s v="2026-03-22T08:21:54.006Z"/>
        <s v="2026-03-22T08:32:28.043Z"/>
        <s v="2026-03-22T08:53:34.935Z"/>
        <s v="2026-03-22T09:14:42.753Z"/>
        <s v="2026-03-22T09:35:49.665Z"/>
        <s v="2026-03-22T09:46:23.528Z"/>
        <s v="2026-03-22T10:07:31.127Z"/>
        <s v="2026-03-22T10:18:04.900Z"/>
        <s v="2026-03-22T10:28:39.140Z"/>
        <s v="2026-03-22T11:10:53.689Z"/>
        <s v="2026-03-22T11:21:27.653Z"/>
        <s v="2026-03-22T12:24:51.015Z"/>
        <s v="2026-03-22T12:45:58.785Z"/>
        <s v="2026-03-22T12:56:32.763Z"/>
        <s v="2026-03-22T13:38:48.615Z"/>
        <s v="2026-03-22T13:49:22.446Z"/>
        <s v="2026-03-22T13:59:56.831Z"/>
        <s v="2026-03-22T14:10:30.493Z"/>
        <s v="2026-03-22T14:21:04.328Z"/>
        <s v="2026-03-22T15:56:10.791Z"/>
        <s v="2026-03-22T16:06:44.981Z"/>
        <s v="2026-03-22T16:27:53.498Z"/>
        <s v="2026-03-22T16:38:29.093Z"/>
        <s v="2026-03-22T16:49:02.132Z"/>
        <s v="2026-03-22T17:52:26.697Z"/>
        <s v="2026-03-22T18:13:34.944Z"/>
        <s v="2026-03-22T18:24:09.023Z"/>
        <s v="2026-03-22T18:34:43.105Z"/>
        <s v="2026-03-22T18:45:17.284Z"/>
        <s v="2026-03-22T18:55:51.635Z"/>
        <s v="2026-03-22T19:06:25.618Z"/>
        <s v="2026-03-22T19:27:34.415Z"/>
        <s v="2026-03-22T19:38:08.315Z"/>
        <s v="2026-03-22T19:48:42.468Z"/>
        <s v="2026-03-22T20:09:51.002Z"/>
        <s v="2026-03-22T20:30:58.789Z"/>
        <s v="2026-03-22T20:41:33.162Z"/>
        <s v="2026-03-22T20:52:06.809Z"/>
        <s v="2026-03-22T21:02:41.184Z"/>
        <s v="2026-03-22T21:13:14.731Z"/>
        <s v="2026-03-22T21:23:48.709Z"/>
        <s v="2026-03-22T21:34:22.498Z"/>
        <s v="2026-03-22T21:44:56.510Z"/>
        <s v="2026-03-22T21:55:30.099Z"/>
        <s v="2026-03-22T22:16:37.693Z"/>
        <s v="2026-03-22T22:27:11.569Z"/>
        <s v="2026-03-22T22:37:45.514Z"/>
        <s v="2026-03-22T22:48:19.152Z"/>
        <s v="2026-03-22T23:09:26.506Z"/>
        <s v="2026-03-23T06:43:24.950Z"/>
        <s v="2026-03-23T06:53:58.522Z"/>
        <s v="2026-03-23T07:04:31.847Z"/>
        <s v="2026-03-23T07:15:05.541Z"/>
        <s v="2026-03-23T07:25:38.880Z"/>
        <s v="2026-03-23T07:36:12.497Z"/>
        <s v="2026-03-23T07:46:45.971Z"/>
        <s v="2026-03-23T07:57:19.701Z"/>
        <s v="2026-03-23T08:07:53.289Z"/>
        <s v="2026-03-23T08:39:33.825Z"/>
        <s v="2026-03-23T08:52:41.203Z"/>
        <s v="2026-03-23T08:53:40.876Z"/>
        <s v="2026-03-23T09:07:28.868Z"/>
        <s v="2026-03-23T09:10:39.679Z"/>
        <s v="2026-03-23T09:12:38.115Z"/>
        <s v="2026-03-23T09:14:36.805Z"/>
        <s v="2026-03-23T09:15:35.784Z"/>
        <s v="2026-03-23T09:17:33.858Z"/>
        <s v="2026-03-23T09:18:33.137Z"/>
        <s v="2026-03-23T09:19:32.243Z"/>
        <s v="2026-03-23T09:20:31.523Z"/>
        <s v="2026-03-23T09:24:28.880Z"/>
        <s v="2026-03-23T09:25:27.158Z"/>
        <s v="2026-03-23T09:26:26.438Z"/>
        <s v="2026-03-23T09:27:25.632Z"/>
        <s v="2026-03-23T09:29:24.715Z"/>
        <s v="2026-03-23T09:34:19.829Z"/>
        <s v="2026-03-23T09:35:18.863Z"/>
        <s v="2026-03-23T09:36:18.005Z"/>
        <s v="2026-03-23T09:43:12.313Z"/>
        <s v="2026-03-23T09:45:10.485Z"/>
        <s v="2026-03-23T09:46:09.917Z"/>
        <s v="2026-03-23T10:31:31.786Z"/>
        <s v="2026-03-23T10:36:27.246Z"/>
        <s v="2026-03-23T10:39:24.795Z"/>
        <s v="2026-03-23T10:43:21.959Z"/>
        <s v="2026-03-23T10:44:21.120Z"/>
        <s v="2026-03-23T10:48:17.668Z"/>
        <s v="2026-03-23T10:50:15.932Z"/>
        <s v="2026-03-23T10:51:16.362Z"/>
        <s v="2026-03-23T10:52:14.452Z"/>
        <s v="2026-03-23T10:55:11.788Z"/>
        <s v="2026-03-23T10:56:10.955Z"/>
        <s v="2026-03-23T11:03:05.268Z"/>
        <s v="2026-03-23T11:04:04.597Z"/>
        <s v="2026-03-23T11:05:03.655Z"/>
        <s v="2026-03-23T11:08:01.106Z"/>
        <s v="2026-03-23T11:09:00.282Z"/>
        <s v="2026-03-23T11:19:51.858Z"/>
      </sharedItems>
    </cacheField>
    <cacheField name="cumulativeVolume" numFmtId="0">
      <sharedItems containsSemiMixedTypes="0" containsString="0" containsNumber="1" containsInteger="1">
        <n v="0.0"/>
        <n v="11.0"/>
        <n v="22.0"/>
        <n v="32.0"/>
        <n v="42.0"/>
        <n v="52.0"/>
        <n v="66.0"/>
      </sharedItems>
    </cacheField>
    <cacheField name="VMC actual" numFmtId="0">
      <sharedItems containsSemiMixedTypes="0" containsString="0" containsNumber="1">
        <n v="9.0"/>
        <n v="10.098792535675083"/>
        <n v="11.171366594360087"/>
        <n v="12.124463519313304"/>
        <n v="13.05732484076433"/>
        <n v="13.970588235294118"/>
        <n v="15.217391304347828"/>
      </sharedItems>
    </cacheField>
  </cacheFields>
</pivotCacheDefinition>
</file>

<file path=xl/tables/table1.xml><?xml version="1.0" encoding="utf-8"?>
<table xmlns="http://schemas.openxmlformats.org/spreadsheetml/2006/main" ref="A1:D2050" displayName="Table1" name="Table1" id="1">
  <autoFilter ref="$A$1:$D$2050">
    <filterColumn colId="0">
      <filters>
        <filter val="sensor.soil_sensor_e136_moisture"/>
      </filters>
    </filterColumn>
  </autoFilter>
  <tableColumns count="4">
    <tableColumn name="entity_id" id="1"/>
    <tableColumn name="last_changed" id="2"/>
    <tableColumn name="timeValue" id="3"/>
    <tableColumn name="state" id="4"/>
  </tableColumns>
  <tableStyleInfo name="SS1 calibration data-style" showColumnStripes="0" showFirstColumn="1" showLastColumn="1" showRowStripes="1"/>
</table>
</file>

<file path=xl/tables/table2.xml><?xml version="1.0" encoding="utf-8"?>
<table xmlns="http://schemas.openxmlformats.org/spreadsheetml/2006/main" ref="B2054:F2983" displayName="Table5" name="Table5" id="2">
  <tableColumns count="5">
    <tableColumn name="entity_id" id="1"/>
    <tableColumn name="last_changed" id="2"/>
    <tableColumn name="Column 1" id="3"/>
    <tableColumn name="Timevalue" id="4"/>
    <tableColumn name="VMC" id="5"/>
  </tableColumns>
  <tableStyleInfo name="SS1 calibration data-style 2" showColumnStripes="0" showFirstColumn="1" showLastColumn="1" showRowStripes="1"/>
</table>
</file>

<file path=xl/tables/table3.xml><?xml version="1.0" encoding="utf-8"?>
<table xmlns="http://schemas.openxmlformats.org/spreadsheetml/2006/main" ref="B2:D584" displayName="Table2" name="Table2" id="3">
  <tableColumns count="3">
    <tableColumn name="entity_id" id="1"/>
    <tableColumn name="state" id="2"/>
    <tableColumn name="last_changed" id="3"/>
  </tableColumns>
  <tableStyleInfo name="SS calibration data-style" showColumnStripes="0" showFirstColumn="1" showLastColumn="1" showRowStripes="1"/>
</table>
</file>

<file path=xl/tables/table4.xml><?xml version="1.0" encoding="utf-8"?>
<table xmlns="http://schemas.openxmlformats.org/spreadsheetml/2006/main" ref="B9:D18" displayName="Table6" name="Table6" id="4">
  <tableColumns count="3">
    <tableColumn name="Cumulative Vol Added (mL)" id="1"/>
    <tableColumn name="VMC measured" id="2"/>
    <tableColumn name="VMC soil" id="3"/>
  </tableColumns>
  <tableStyleInfo name="VMCvsVolAdded-style" showColumnStripes="0" showFirstColumn="1" showLastColumn="1" showRowStripes="1"/>
</table>
</file>

<file path=xl/tables/table5.xml><?xml version="1.0" encoding="utf-8"?>
<table xmlns="http://schemas.openxmlformats.org/spreadsheetml/2006/main" ref="B3:D1124" displayName="Table3" name="Table3" id="5">
  <tableColumns count="3">
    <tableColumn name="Timestamp(ms)" id="1"/>
    <tableColumn name="Voltage (V)" id="2"/>
    <tableColumn name="Current(mA)" id="3"/>
  </tableColumns>
  <tableStyleInfo name="Battery2Discharge-style" showColumnStripes="0" showFirstColumn="1" showLastColumn="1" showRowStripes="1"/>
</table>
</file>

<file path=xl/tables/table6.xml><?xml version="1.0" encoding="utf-8"?>
<table xmlns="http://schemas.openxmlformats.org/spreadsheetml/2006/main" ref="B4:F2062" displayName="Table4" name="Table4" id="6">
  <tableColumns count="5">
    <tableColumn name="Timestamp(ms)" id="1"/>
    <tableColumn name="Time 1" id="2"/>
    <tableColumn name="Time 2" id="3"/>
    <tableColumn name="Voltage (V)" id="4"/>
    <tableColumn name="Current(mA)" id="5"/>
  </tableColumns>
  <tableStyleInfo name="Batt1DischargeV2-style" showColumnStripes="0" showFirstColumn="1" showLastColumn="1" showRowStripes="1"/>
</table>
</file>

<file path=xl/tables/table7.xml><?xml version="1.0" encoding="utf-8"?>
<table xmlns="http://schemas.openxmlformats.org/spreadsheetml/2006/main" ref="G4:J6" displayName="Table8" name="Table8" id="7">
  <tableColumns count="4">
    <tableColumn name="Batt#" id="1"/>
    <tableColumn name="dischargeTime (h)" id="2"/>
    <tableColumn name="avr current" id="3"/>
    <tableColumn name="mAh" id="4"/>
  </tableColumns>
  <tableStyleInfo name="Batt2DischargeV2-style" showColumnStripes="0" showFirstColumn="1" showLastColumn="1" showRowStripes="1"/>
</table>
</file>

<file path=xl/tables/table8.xml><?xml version="1.0" encoding="utf-8"?>
<table xmlns="http://schemas.openxmlformats.org/spreadsheetml/2006/main" ref="B7:D2057" displayName="Table7" name="Table7" id="8">
  <tableColumns count="3">
    <tableColumn name="Timestamp(ms)" id="1"/>
    <tableColumn name="Voltage(V)" id="2"/>
    <tableColumn name="Current(mA)" id="3"/>
  </tableColumns>
  <tableStyleInfo name="Batt2DischargeV2-style 2" showColumnStripes="0" showFirstColumn="1" showLastColumn="1" showRowStripes="1"/>
</table>
</file>

<file path=xl/tables/table9.xml><?xml version="1.0" encoding="utf-8"?>
<table xmlns="http://schemas.openxmlformats.org/spreadsheetml/2006/main" ref="E4:G11" displayName="Table9" name="Table9" id="9">
  <tableColumns count="3">
    <tableColumn name="Average" id="1"/>
    <tableColumn name="Stdev" id="2"/>
    <tableColumn name="Actual" id="3"/>
  </tableColumns>
  <tableStyleInfo name="voltageData-style" showColumnStripes="0" showFirstColumn="1" showLastColumn="1" showRowStripes="1"/>
</table>
</file>

<file path=xl/tables/table10.xml><?xml version="1.0" encoding="utf-8"?>
<table xmlns="http://schemas.openxmlformats.org/spreadsheetml/2006/main" ref="C3:G170" displayName="Table10" name="Table10" id="10">
  <autoFilter ref="$C$3:$G$170"/>
  <tableColumns count="5">
    <tableColumn name="entity_id" id="1"/>
    <tableColumn name="state" id="2"/>
    <tableColumn name="last_changed" id="3"/>
    <tableColumn name="cumulativeVolume" id="4"/>
    <tableColumn name="VMC actual" id="5"/>
  </tableColumns>
  <tableStyleInfo name="soilCalibration-style" showColumnStripes="0" showFirstColumn="1" showLastColumn="1" showRowStripes="1"/>
</table>
</file>

<file path=xl/tables/table11.xml><?xml version="1.0" encoding="utf-8"?>
<table xmlns="http://schemas.openxmlformats.org/spreadsheetml/2006/main" ref="B3:G10" displayName="Table11" name="Table11" id="11">
  <tableColumns count="6">
    <tableColumn name="cumulativeVolume" id="1"/>
    <tableColumn name="VMC actual" id="2"/>
    <tableColumn name="AVERAGE of state" id="3"/>
    <tableColumn name="MAX of state" id="4"/>
    <tableColumn name="MEDIAN of state" id="5"/>
    <tableColumn name="plateauState" id="6"/>
  </tableColumns>
  <tableStyleInfo name="plateauVMC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4" Type="http://schemas.openxmlformats.org/officeDocument/2006/relationships/table" Target="../tables/table7.xml"/><Relationship Id="rId5" Type="http://schemas.openxmlformats.org/officeDocument/2006/relationships/table" Target="../tables/table8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9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0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63"/>
    <col customWidth="1" min="2" max="3" width="22.38"/>
    <col customWidth="1" min="4" max="4" width="20.38"/>
    <col customWidth="1" min="6" max="6" width="18.75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ht="22.5" customHeight="1">
      <c r="A2" s="4" t="s">
        <v>8</v>
      </c>
      <c r="B2" s="5">
        <v>46097.0</v>
      </c>
      <c r="C2" s="6">
        <f t="shared" ref="C2:C673" si="1">DATEVALUE(B2) + timevalue(B2)</f>
        <v>46097</v>
      </c>
      <c r="D2" s="4">
        <v>3.36</v>
      </c>
      <c r="G2" s="7" t="str">
        <f>"3/16/2026 19:02:00"</f>
        <v>3/16/2026 19:02:00</v>
      </c>
      <c r="H2" s="7">
        <f>match(datevalue(G2)+timevalue(G2),Table1[timeValue], 1)</f>
        <v>87</v>
      </c>
    </row>
    <row r="3" ht="22.5" customHeight="1">
      <c r="A3" s="4" t="s">
        <v>8</v>
      </c>
      <c r="B3" s="5">
        <v>46097.00042894676</v>
      </c>
      <c r="C3" s="6">
        <f t="shared" si="1"/>
        <v>46097.00043</v>
      </c>
      <c r="D3" s="4">
        <v>3.39</v>
      </c>
      <c r="F3" s="3">
        <v>0.0</v>
      </c>
      <c r="G3" s="7" t="str">
        <f>"3/17/2026 12:05:00"</f>
        <v>3/17/2026 12:05:00</v>
      </c>
      <c r="H3" s="7">
        <f>match(datevalue(G3)+timevalue(G3),Table1[timeValue], 1)</f>
        <v>195</v>
      </c>
      <c r="I3" s="7">
        <f t="array" ref="I3">AVERAGE(INDEX(Table1[state], H2):INDEX(Table1[state], H3))</f>
        <v>6.261834862</v>
      </c>
    </row>
    <row r="4" ht="22.5" customHeight="1">
      <c r="A4" s="4" t="s">
        <v>8</v>
      </c>
      <c r="B4" s="5">
        <v>46097.00111189815</v>
      </c>
      <c r="C4" s="6">
        <f t="shared" si="1"/>
        <v>46097.00111</v>
      </c>
      <c r="D4" s="4">
        <v>3.36</v>
      </c>
      <c r="G4" s="7" t="str">
        <f>"3/17/2026 12:07"</f>
        <v>3/17/2026 12:07</v>
      </c>
      <c r="H4" s="7">
        <f>match(datevalue(G4)+timevalue(G4),Table1[timeValue], 1)</f>
        <v>195</v>
      </c>
    </row>
    <row r="5" ht="22.5" customHeight="1">
      <c r="A5" s="4" t="s">
        <v>8</v>
      </c>
      <c r="B5" s="5">
        <v>46097.001798425925</v>
      </c>
      <c r="C5" s="6">
        <f t="shared" si="1"/>
        <v>46097.00179</v>
      </c>
      <c r="D5" s="4">
        <v>3.39</v>
      </c>
      <c r="F5" s="3">
        <v>10.0</v>
      </c>
      <c r="G5" s="7" t="str">
        <f>"3/17/2026 16:00"</f>
        <v>3/17/2026 16:00</v>
      </c>
      <c r="H5" s="7">
        <f>match(datevalue(G5)+timevalue(G5),Table1[timeValue], 1)</f>
        <v>208</v>
      </c>
      <c r="I5" s="7">
        <f t="array" ref="I5">AVERAGE(INDEX(Table1[state], H4):INDEX(Table1[state], H5))</f>
        <v>5.531428571</v>
      </c>
    </row>
    <row r="6" ht="22.5" customHeight="1">
      <c r="A6" s="4" t="s">
        <v>8</v>
      </c>
      <c r="B6" s="5">
        <v>46097.00248137731</v>
      </c>
      <c r="C6" s="6">
        <f t="shared" si="1"/>
        <v>46097.00248</v>
      </c>
      <c r="D6" s="4">
        <v>3.36</v>
      </c>
      <c r="G6" s="7" t="str">
        <f>"3/17/2026 19:00"</f>
        <v>3/17/2026 19:00</v>
      </c>
      <c r="H6" s="7">
        <f>match(datevalue(G6)+timevalue(G6),Table1[timeValue], 1)</f>
        <v>217</v>
      </c>
      <c r="I6" s="7">
        <f t="array" ref="I6">AVERAGE(INDEX(Table1[state], H5):INDEX(Table1[state], H6))</f>
        <v>6.048888889</v>
      </c>
    </row>
    <row r="7" ht="22.5" customHeight="1">
      <c r="A7" s="4" t="s">
        <v>8</v>
      </c>
      <c r="B7" s="5">
        <v>46097.003166284725</v>
      </c>
      <c r="C7" s="6">
        <f t="shared" si="1"/>
        <v>46097.00317</v>
      </c>
      <c r="D7" s="4">
        <v>3.39</v>
      </c>
      <c r="F7" s="3">
        <v>20.0</v>
      </c>
      <c r="G7" s="7" t="str">
        <f>"3/18/2026 06:42"</f>
        <v>3/18/2026 06:42</v>
      </c>
      <c r="H7" s="7">
        <f>match(datevalue(G7)+timevalue(G7),Table1[timeValue], 1)</f>
        <v>341</v>
      </c>
      <c r="I7" s="7">
        <f t="array" ref="I7">AVERAGE(INDEX(Table1[state], H6):INDEX(Table1[state], H7))</f>
        <v>7.122113821</v>
      </c>
    </row>
    <row r="8" ht="22.5" customHeight="1">
      <c r="A8" s="4" t="s">
        <v>8</v>
      </c>
      <c r="B8" s="5">
        <v>46097.00522009259</v>
      </c>
      <c r="C8" s="6">
        <f t="shared" si="1"/>
        <v>46097.00522</v>
      </c>
      <c r="D8" s="4">
        <v>3.36</v>
      </c>
      <c r="F8" s="3">
        <v>32.0</v>
      </c>
      <c r="G8" s="7" t="str">
        <f>"3/19/2026 07:30"</f>
        <v>3/19/2026 07:30</v>
      </c>
      <c r="H8" s="7">
        <f>match(datevalue(G8)+timevalue(G8),Table1[timeValue], 1)</f>
        <v>648</v>
      </c>
      <c r="I8" s="7">
        <f t="array" ref="I8">AVERAGE(INDEX(Table1[state], H7):INDEX(Table1[state], H8))</f>
        <v>10.27413194</v>
      </c>
    </row>
    <row r="9" ht="22.5" customHeight="1">
      <c r="A9" s="4" t="s">
        <v>8</v>
      </c>
      <c r="B9" s="5">
        <v>46097.00864525463</v>
      </c>
      <c r="C9" s="6">
        <f t="shared" si="1"/>
        <v>46097.00865</v>
      </c>
      <c r="D9" s="4">
        <v>3.39</v>
      </c>
      <c r="F9" s="3">
        <v>43.0</v>
      </c>
      <c r="G9" s="7" t="str">
        <f>"3/19/2026 08:48"</f>
        <v>3/19/2026 08:48</v>
      </c>
      <c r="H9" s="7">
        <f>match(datevalue(G9)+timevalue(G9),Table1[timeValue], 1)</f>
        <v>672</v>
      </c>
      <c r="I9" s="7">
        <f t="array" ref="I9">AVERAGE(INDEX(Table1[state], H8):INDEX(Table1[state], H9))</f>
        <v>11.9652</v>
      </c>
    </row>
    <row r="10" ht="22.5" customHeight="1">
      <c r="A10" s="4" t="s">
        <v>8</v>
      </c>
      <c r="B10" s="5">
        <v>46097.009332581016</v>
      </c>
      <c r="C10" s="6">
        <f t="shared" si="1"/>
        <v>46097.00933</v>
      </c>
      <c r="D10" s="4">
        <v>3.36</v>
      </c>
      <c r="F10" s="3"/>
    </row>
    <row r="11" ht="22.5" customHeight="1">
      <c r="A11" s="4" t="s">
        <v>8</v>
      </c>
      <c r="B11" s="5">
        <v>46097.03876880787</v>
      </c>
      <c r="C11" s="6">
        <f t="shared" si="1"/>
        <v>46097.03877</v>
      </c>
      <c r="D11" s="4">
        <v>3.39</v>
      </c>
      <c r="F11" s="3">
        <v>32.0</v>
      </c>
      <c r="G11" s="7" t="str">
        <f>"3/19/2026 07:30"</f>
        <v>3/19/2026 07:30</v>
      </c>
      <c r="H11" s="7">
        <f>match(datevalue(G11)+timevalue(G11),Table5[Timevalue], 1)</f>
        <v>781</v>
      </c>
    </row>
    <row r="12" ht="22.5" customHeight="1">
      <c r="A12" s="4" t="s">
        <v>8</v>
      </c>
      <c r="B12" s="5">
        <v>46097.039451585646</v>
      </c>
      <c r="C12" s="6">
        <f t="shared" si="1"/>
        <v>46097.03946</v>
      </c>
      <c r="D12" s="4">
        <v>3.36</v>
      </c>
      <c r="F12" s="3">
        <v>43.0</v>
      </c>
      <c r="G12" s="7" t="str">
        <f>"3-19-2026 15:20:00"</f>
        <v>3-19-2026 15:20:00</v>
      </c>
      <c r="H12" s="7">
        <f>match(datevalue(G12)+timevalue(G12),Table5[Timevalue], 1)</f>
        <v>902</v>
      </c>
      <c r="I12" s="7">
        <f t="array" ref="I12">AVERAGE(INDEX(Table5[VMC], H11):INDEX(Table5[VMC], H12))</f>
        <v>12.3207377</v>
      </c>
    </row>
    <row r="13" ht="22.5" customHeight="1">
      <c r="A13" s="4" t="s">
        <v>8</v>
      </c>
      <c r="B13" s="5">
        <v>46097.32898789352</v>
      </c>
      <c r="C13" s="6">
        <f t="shared" si="1"/>
        <v>46097.32899</v>
      </c>
      <c r="D13" s="4">
        <v>3.39</v>
      </c>
      <c r="G13" s="7" t="str">
        <f>"3/19/2026 15:40"</f>
        <v>3/19/2026 15:40</v>
      </c>
      <c r="H13" s="7">
        <f>match(datevalue(G13)+timevalue(G13),Table5[Timevalue], 1)</f>
        <v>907</v>
      </c>
      <c r="I13" s="7">
        <f t="array" ref="I13">AVERAGE(INDEX(Table5[VMC], H12):INDEX(Table5[VMC], H13))</f>
        <v>12.51833333</v>
      </c>
    </row>
    <row r="14" ht="22.5" customHeight="1">
      <c r="A14" s="4" t="s">
        <v>8</v>
      </c>
      <c r="B14" s="5">
        <v>46097.340628460646</v>
      </c>
      <c r="C14" s="6">
        <f t="shared" si="1"/>
        <v>46097.34063</v>
      </c>
      <c r="D14" s="4">
        <v>3.36</v>
      </c>
      <c r="F14" s="3">
        <v>54.0</v>
      </c>
      <c r="G14" s="7" t="str">
        <f>"3/19/2026 16:30"</f>
        <v>3/19/2026 16:30</v>
      </c>
      <c r="H14" s="7">
        <f>match(datevalue(G14)+timevalue(G14),Table5[Timevalue], 1)</f>
        <v>924</v>
      </c>
      <c r="I14" s="7">
        <f t="array" ref="I14">AVERAGE(INDEX(Table5[VMC], H13):INDEX(Table5[VMC], H14))</f>
        <v>13.135</v>
      </c>
    </row>
    <row r="15" ht="22.5" customHeight="1">
      <c r="A15" s="4" t="s">
        <v>8</v>
      </c>
      <c r="B15" s="5">
        <v>46097.341318032406</v>
      </c>
      <c r="C15" s="6">
        <f t="shared" si="1"/>
        <v>46097.34132</v>
      </c>
      <c r="D15" s="4">
        <v>3.43</v>
      </c>
    </row>
    <row r="16" ht="22.5" customHeight="1">
      <c r="A16" s="4" t="s">
        <v>8</v>
      </c>
      <c r="B16" s="5">
        <v>46097.34200069444</v>
      </c>
      <c r="C16" s="6">
        <f t="shared" si="1"/>
        <v>46097.342</v>
      </c>
      <c r="D16" s="4">
        <v>3.36</v>
      </c>
    </row>
    <row r="17" ht="22.5" customHeight="1">
      <c r="A17" s="4" t="s">
        <v>8</v>
      </c>
      <c r="B17" s="5">
        <v>46097.3433665162</v>
      </c>
      <c r="C17" s="6">
        <f t="shared" si="1"/>
        <v>46097.34337</v>
      </c>
      <c r="D17" s="4">
        <v>3.39</v>
      </c>
      <c r="G17" s="7" t="str">
        <f>"3/19/2026 18:21"</f>
        <v>3/19/2026 18:21</v>
      </c>
      <c r="H17" s="7">
        <f>match(datevalue(G17)+timevalue(G17),'SS calibration data'!D$3:D$80, 1)</f>
        <v>1</v>
      </c>
    </row>
    <row r="18" ht="22.5" customHeight="1">
      <c r="A18" s="4" t="s">
        <v>8</v>
      </c>
      <c r="B18" s="5">
        <v>46097.34405125</v>
      </c>
      <c r="C18" s="6">
        <f t="shared" si="1"/>
        <v>46097.34405</v>
      </c>
      <c r="D18" s="4">
        <v>3.43</v>
      </c>
      <c r="F18" s="3">
        <v>54.0</v>
      </c>
      <c r="G18" s="7" t="str">
        <f>"3/20/2026 09:30"</f>
        <v>3/20/2026 09:30</v>
      </c>
      <c r="H18" s="7">
        <f>match(datevalue(G18)+timevalue(G18),'SS calibration data'!D$3:D$80, 1)</f>
        <v>25</v>
      </c>
      <c r="I18" s="7">
        <f t="array" ref="I18">AVERAGE(INDEX(Table2[state], H17):INDEX(Table2[state], H18))</f>
        <v>13.74041667</v>
      </c>
    </row>
    <row r="19" ht="22.5" customHeight="1">
      <c r="A19" s="4" t="s">
        <v>8</v>
      </c>
      <c r="B19" s="5">
        <v>46097.34473587963</v>
      </c>
      <c r="C19" s="6">
        <f t="shared" si="1"/>
        <v>46097.34473</v>
      </c>
      <c r="D19" s="4">
        <v>3.39</v>
      </c>
      <c r="G19" s="7" t="str">
        <f>"3/20/2026 09:40"</f>
        <v>3/20/2026 09:40</v>
      </c>
      <c r="H19" s="7">
        <f>match(datevalue(G19)+timevalue(G19),'SS calibration data'!D$3:D$80, 1)</f>
        <v>25</v>
      </c>
    </row>
    <row r="20" ht="22.5" customHeight="1">
      <c r="A20" s="4" t="s">
        <v>8</v>
      </c>
      <c r="B20" s="5">
        <v>46097.34610534722</v>
      </c>
      <c r="C20" s="6">
        <f t="shared" si="1"/>
        <v>46097.34611</v>
      </c>
      <c r="D20" s="4">
        <v>3.36</v>
      </c>
      <c r="F20" s="3">
        <v>66.0</v>
      </c>
      <c r="G20" s="7" t="str">
        <f>"3/21/2026 6:30"</f>
        <v>3/21/2026 6:30</v>
      </c>
      <c r="H20" s="7">
        <f>match(datevalue(G20)+timevalue(G20),'SS calibration data'!D$3:D$80, 1)</f>
        <v>77</v>
      </c>
      <c r="I20" s="7">
        <f t="array" ref="I20">AVERAGE(INDEX(Table2[state], H19):INDEX(Table2[state], H20))</f>
        <v>15.39603774</v>
      </c>
    </row>
    <row r="21" ht="22.5" customHeight="1">
      <c r="A21" s="4" t="s">
        <v>8</v>
      </c>
      <c r="B21" s="5">
        <v>46097.34679222222</v>
      </c>
      <c r="C21" s="6">
        <f t="shared" si="1"/>
        <v>46097.34679</v>
      </c>
      <c r="D21" s="4">
        <v>3.43</v>
      </c>
    </row>
    <row r="22" ht="22.5" customHeight="1">
      <c r="A22" s="4" t="s">
        <v>8</v>
      </c>
      <c r="B22" s="5">
        <v>46097.347475243056</v>
      </c>
      <c r="C22" s="6">
        <f t="shared" si="1"/>
        <v>46097.34748</v>
      </c>
      <c r="D22" s="4">
        <v>3.36</v>
      </c>
    </row>
    <row r="23" ht="22.5" customHeight="1">
      <c r="A23" s="4" t="s">
        <v>8</v>
      </c>
      <c r="B23" s="5">
        <v>46097.349529722225</v>
      </c>
      <c r="C23" s="6">
        <f t="shared" si="1"/>
        <v>46097.34953</v>
      </c>
      <c r="D23" s="4">
        <v>3.43</v>
      </c>
    </row>
    <row r="24" ht="22.5" customHeight="1">
      <c r="A24" s="4" t="s">
        <v>8</v>
      </c>
      <c r="B24" s="5">
        <v>46097.35954351852</v>
      </c>
      <c r="C24" s="6">
        <f t="shared" si="1"/>
        <v>46097.35955</v>
      </c>
      <c r="D24" s="4" t="s">
        <v>9</v>
      </c>
    </row>
    <row r="25" ht="22.5" customHeight="1">
      <c r="A25" s="4" t="s">
        <v>8</v>
      </c>
      <c r="B25" s="5">
        <v>46097.36962243055</v>
      </c>
      <c r="C25" s="6">
        <f t="shared" si="1"/>
        <v>46097.36962</v>
      </c>
      <c r="D25" s="4">
        <v>3.43</v>
      </c>
    </row>
    <row r="26" ht="22.5" customHeight="1">
      <c r="A26" s="4" t="s">
        <v>8</v>
      </c>
      <c r="B26" s="5">
        <v>46097.37099565972</v>
      </c>
      <c r="C26" s="6">
        <f t="shared" si="1"/>
        <v>46097.371</v>
      </c>
      <c r="D26" s="4">
        <v>4.06</v>
      </c>
    </row>
    <row r="27" ht="22.5" customHeight="1">
      <c r="A27" s="4" t="s">
        <v>8</v>
      </c>
      <c r="B27" s="5">
        <v>46097.37168065972</v>
      </c>
      <c r="C27" s="6">
        <f t="shared" si="1"/>
        <v>46097.37168</v>
      </c>
      <c r="D27" s="4">
        <v>4.13</v>
      </c>
    </row>
    <row r="28" ht="22.5" customHeight="1">
      <c r="A28" s="4" t="s">
        <v>8</v>
      </c>
      <c r="B28" s="5">
        <v>46097.3723646412</v>
      </c>
      <c r="C28" s="6">
        <f t="shared" si="1"/>
        <v>46097.37236</v>
      </c>
      <c r="D28" s="4">
        <v>4.08</v>
      </c>
    </row>
    <row r="29" ht="22.5" customHeight="1">
      <c r="A29" s="4" t="s">
        <v>8</v>
      </c>
      <c r="B29" s="5">
        <v>46097.3744165625</v>
      </c>
      <c r="C29" s="6">
        <f t="shared" si="1"/>
        <v>46097.37442</v>
      </c>
      <c r="D29" s="4">
        <v>4.13</v>
      </c>
    </row>
    <row r="30" ht="22.5" customHeight="1">
      <c r="A30" s="4" t="s">
        <v>8</v>
      </c>
      <c r="B30" s="5">
        <v>46097.38674607639</v>
      </c>
      <c r="C30" s="6">
        <f t="shared" si="1"/>
        <v>46097.38675</v>
      </c>
      <c r="D30" s="4">
        <v>11.49</v>
      </c>
    </row>
    <row r="31" ht="22.5" customHeight="1">
      <c r="A31" s="4" t="s">
        <v>8</v>
      </c>
      <c r="B31" s="5">
        <v>46097.390170416664</v>
      </c>
      <c r="C31" s="6">
        <f t="shared" si="1"/>
        <v>46097.39017</v>
      </c>
      <c r="D31" s="4">
        <v>11.21</v>
      </c>
    </row>
    <row r="32" ht="22.5" customHeight="1">
      <c r="A32" s="4" t="s">
        <v>8</v>
      </c>
      <c r="B32" s="5">
        <v>46097.39291047454</v>
      </c>
      <c r="C32" s="6">
        <f t="shared" si="1"/>
        <v>46097.39291</v>
      </c>
      <c r="D32" s="4">
        <v>11.17</v>
      </c>
    </row>
    <row r="33" ht="22.5" customHeight="1">
      <c r="A33" s="4" t="s">
        <v>8</v>
      </c>
      <c r="B33" s="5">
        <v>46097.394279837965</v>
      </c>
      <c r="C33" s="6">
        <f t="shared" si="1"/>
        <v>46097.39428</v>
      </c>
      <c r="D33" s="4">
        <v>11.11</v>
      </c>
    </row>
    <row r="34" ht="22.5" customHeight="1">
      <c r="A34" s="4" t="s">
        <v>8</v>
      </c>
      <c r="B34" s="5">
        <v>46097.39633633102</v>
      </c>
      <c r="C34" s="6">
        <f t="shared" si="1"/>
        <v>46097.39633</v>
      </c>
      <c r="D34" s="4">
        <v>11.06</v>
      </c>
    </row>
    <row r="35" ht="22.5" customHeight="1">
      <c r="A35" s="4" t="s">
        <v>8</v>
      </c>
      <c r="B35" s="5">
        <v>46097.40866223379</v>
      </c>
      <c r="C35" s="6">
        <f t="shared" si="1"/>
        <v>46097.40866</v>
      </c>
      <c r="D35" s="4">
        <v>10.86</v>
      </c>
    </row>
    <row r="36" ht="22.5" customHeight="1">
      <c r="A36" s="4" t="s">
        <v>8</v>
      </c>
      <c r="B36" s="5">
        <v>46097.413458194445</v>
      </c>
      <c r="C36" s="6">
        <f t="shared" si="1"/>
        <v>46097.41346</v>
      </c>
      <c r="D36" s="4">
        <v>10.7</v>
      </c>
    </row>
    <row r="37" ht="22.5" customHeight="1">
      <c r="A37" s="4" t="s">
        <v>8</v>
      </c>
      <c r="B37" s="5">
        <v>46097.436056631945</v>
      </c>
      <c r="C37" s="6">
        <f t="shared" si="1"/>
        <v>46097.43605</v>
      </c>
      <c r="D37" s="4">
        <v>10.54</v>
      </c>
    </row>
    <row r="38" ht="22.5" customHeight="1">
      <c r="A38" s="4" t="s">
        <v>8</v>
      </c>
      <c r="B38" s="5">
        <v>46097.45180811342</v>
      </c>
      <c r="C38" s="6">
        <f t="shared" si="1"/>
        <v>46097.45181</v>
      </c>
      <c r="D38" s="4">
        <v>10.42</v>
      </c>
    </row>
    <row r="39" ht="22.5" customHeight="1">
      <c r="A39" s="4" t="s">
        <v>8</v>
      </c>
      <c r="B39" s="5">
        <v>46097.4531778125</v>
      </c>
      <c r="C39" s="6">
        <f t="shared" si="1"/>
        <v>46097.45318</v>
      </c>
      <c r="D39" s="4">
        <v>10.37</v>
      </c>
    </row>
    <row r="40" ht="22.5" customHeight="1">
      <c r="A40" s="4" t="s">
        <v>8</v>
      </c>
      <c r="B40" s="5">
        <v>46097.45454730324</v>
      </c>
      <c r="C40" s="6">
        <f t="shared" si="1"/>
        <v>46097.45455</v>
      </c>
      <c r="D40" s="4">
        <v>10.3</v>
      </c>
    </row>
    <row r="41" ht="22.5" customHeight="1">
      <c r="A41" s="4" t="s">
        <v>8</v>
      </c>
      <c r="B41" s="5">
        <v>46097.46550511574</v>
      </c>
      <c r="C41" s="6">
        <f t="shared" si="1"/>
        <v>46097.46551</v>
      </c>
      <c r="D41" s="4">
        <v>10.46</v>
      </c>
    </row>
    <row r="42" ht="22.5" customHeight="1">
      <c r="A42" s="4" t="s">
        <v>8</v>
      </c>
      <c r="B42" s="5">
        <v>46097.46687494213</v>
      </c>
      <c r="C42" s="6">
        <f t="shared" si="1"/>
        <v>46097.46688</v>
      </c>
      <c r="D42" s="4">
        <v>10.37</v>
      </c>
    </row>
    <row r="43" ht="22.5" customHeight="1">
      <c r="A43" s="4" t="s">
        <v>8</v>
      </c>
      <c r="B43" s="5">
        <v>46097.46961449074</v>
      </c>
      <c r="C43" s="6">
        <f t="shared" si="1"/>
        <v>46097.46962</v>
      </c>
      <c r="D43" s="4">
        <v>10.3</v>
      </c>
    </row>
    <row r="44" ht="22.5" customHeight="1">
      <c r="A44" s="4" t="s">
        <v>8</v>
      </c>
      <c r="B44" s="5">
        <v>46097.479202835646</v>
      </c>
      <c r="C44" s="6">
        <f t="shared" si="1"/>
        <v>46097.4792</v>
      </c>
      <c r="D44" s="4">
        <v>10.26</v>
      </c>
    </row>
    <row r="45" ht="22.5" customHeight="1">
      <c r="A45" s="4" t="s">
        <v>8</v>
      </c>
      <c r="B45" s="5">
        <v>46097.4853683912</v>
      </c>
      <c r="C45" s="6">
        <f t="shared" si="1"/>
        <v>46097.48537</v>
      </c>
      <c r="D45" s="4">
        <v>10.21</v>
      </c>
    </row>
    <row r="46" ht="22.5" customHeight="1">
      <c r="A46" s="4" t="s">
        <v>8</v>
      </c>
      <c r="B46" s="5">
        <v>46097.48673636574</v>
      </c>
      <c r="C46" s="6">
        <f t="shared" si="1"/>
        <v>46097.48674</v>
      </c>
      <c r="D46" s="4">
        <v>10.26</v>
      </c>
    </row>
    <row r="47" ht="22.5" customHeight="1">
      <c r="A47" s="4" t="s">
        <v>8</v>
      </c>
      <c r="B47" s="5">
        <v>46097.48879101852</v>
      </c>
      <c r="C47" s="6">
        <f t="shared" si="1"/>
        <v>46097.4888</v>
      </c>
      <c r="D47" s="4">
        <v>10.21</v>
      </c>
    </row>
    <row r="48" ht="22.5" customHeight="1">
      <c r="A48" s="4" t="s">
        <v>8</v>
      </c>
      <c r="B48" s="5">
        <v>46097.50248851852</v>
      </c>
      <c r="C48" s="6">
        <f t="shared" si="1"/>
        <v>46097.50249</v>
      </c>
      <c r="D48" s="4">
        <v>10.13</v>
      </c>
    </row>
    <row r="49" ht="22.5" customHeight="1">
      <c r="A49" s="4" t="s">
        <v>8</v>
      </c>
      <c r="B49" s="5">
        <v>46097.516190497685</v>
      </c>
      <c r="C49" s="6">
        <f t="shared" si="1"/>
        <v>46097.51619</v>
      </c>
      <c r="D49" s="4">
        <v>10.26</v>
      </c>
    </row>
    <row r="50" ht="22.5" customHeight="1">
      <c r="A50" s="4" t="s">
        <v>8</v>
      </c>
      <c r="B50" s="5">
        <v>46097.518926585646</v>
      </c>
      <c r="C50" s="6">
        <f t="shared" si="1"/>
        <v>46097.51892</v>
      </c>
      <c r="D50" s="4">
        <v>10.3</v>
      </c>
    </row>
    <row r="51" ht="22.5" customHeight="1">
      <c r="A51" s="4" t="s">
        <v>8</v>
      </c>
      <c r="B51" s="5">
        <v>46097.520981180554</v>
      </c>
      <c r="C51" s="6">
        <f t="shared" si="1"/>
        <v>46097.52098</v>
      </c>
      <c r="D51" s="4">
        <v>10.13</v>
      </c>
    </row>
    <row r="52" ht="22.5" customHeight="1">
      <c r="A52" s="4" t="s">
        <v>8</v>
      </c>
      <c r="B52" s="5">
        <v>46097.52783070602</v>
      </c>
      <c r="C52" s="6">
        <f t="shared" si="1"/>
        <v>46097.52784</v>
      </c>
      <c r="D52" s="4">
        <v>10.09</v>
      </c>
    </row>
    <row r="53" ht="22.5" customHeight="1">
      <c r="A53" s="4" t="s">
        <v>8</v>
      </c>
      <c r="B53" s="5">
        <v>46097.53057009259</v>
      </c>
      <c r="C53" s="6">
        <f t="shared" si="1"/>
        <v>46097.53057</v>
      </c>
      <c r="D53" s="4">
        <v>10.13</v>
      </c>
    </row>
    <row r="54" ht="22.5" customHeight="1">
      <c r="A54" s="4" t="s">
        <v>8</v>
      </c>
      <c r="B54" s="5">
        <v>46097.53604950231</v>
      </c>
      <c r="C54" s="6">
        <f t="shared" si="1"/>
        <v>46097.53605</v>
      </c>
      <c r="D54" s="4">
        <v>10.09</v>
      </c>
    </row>
    <row r="55" ht="22.5" customHeight="1">
      <c r="A55" s="4" t="s">
        <v>8</v>
      </c>
      <c r="B55" s="5">
        <v>46097.536736180555</v>
      </c>
      <c r="C55" s="6">
        <f t="shared" si="1"/>
        <v>46097.53674</v>
      </c>
      <c r="D55" s="4">
        <v>10.13</v>
      </c>
    </row>
    <row r="56" ht="22.5" customHeight="1">
      <c r="A56" s="4" t="s">
        <v>8</v>
      </c>
      <c r="B56" s="5">
        <v>46097.53878913195</v>
      </c>
      <c r="C56" s="6">
        <f t="shared" si="1"/>
        <v>46097.53878</v>
      </c>
      <c r="D56" s="4">
        <v>10.09</v>
      </c>
    </row>
    <row r="57" ht="22.5" customHeight="1">
      <c r="A57" s="4" t="s">
        <v>8</v>
      </c>
      <c r="B57" s="5">
        <v>46097.54426865741</v>
      </c>
      <c r="C57" s="6">
        <f t="shared" si="1"/>
        <v>46097.54427</v>
      </c>
      <c r="D57" s="4">
        <v>10.13</v>
      </c>
    </row>
    <row r="58" ht="22.5" customHeight="1">
      <c r="A58" s="4" t="s">
        <v>8</v>
      </c>
      <c r="B58" s="5">
        <v>46097.56139212963</v>
      </c>
      <c r="C58" s="6">
        <f t="shared" si="1"/>
        <v>46097.56139</v>
      </c>
      <c r="D58" s="4">
        <v>10.09</v>
      </c>
    </row>
    <row r="59" ht="22.5" customHeight="1">
      <c r="A59" s="4" t="s">
        <v>8</v>
      </c>
      <c r="B59" s="5">
        <v>46097.56207706018</v>
      </c>
      <c r="C59" s="6">
        <f t="shared" si="1"/>
        <v>46097.56207</v>
      </c>
      <c r="D59" s="4">
        <v>10.13</v>
      </c>
    </row>
    <row r="60" ht="22.5" customHeight="1">
      <c r="A60" s="4" t="s">
        <v>8</v>
      </c>
      <c r="B60" s="5">
        <v>46097.565501689816</v>
      </c>
      <c r="C60" s="6">
        <f t="shared" si="1"/>
        <v>46097.5655</v>
      </c>
      <c r="D60" s="4">
        <v>10.09</v>
      </c>
    </row>
    <row r="61" ht="22.5" customHeight="1">
      <c r="A61" s="4" t="s">
        <v>8</v>
      </c>
      <c r="B61" s="5">
        <v>46097.57098351852</v>
      </c>
      <c r="C61" s="6">
        <f t="shared" si="1"/>
        <v>46097.57098</v>
      </c>
      <c r="D61" s="4">
        <v>9.97</v>
      </c>
    </row>
    <row r="62" ht="22.5" customHeight="1">
      <c r="A62" s="4" t="s">
        <v>8</v>
      </c>
      <c r="B62" s="5">
        <v>46097.62988583333</v>
      </c>
      <c r="C62" s="6">
        <f t="shared" si="1"/>
        <v>46097.62988</v>
      </c>
      <c r="D62" s="4">
        <v>9.92</v>
      </c>
    </row>
    <row r="63" ht="22.5" customHeight="1">
      <c r="A63" s="4" t="s">
        <v>8</v>
      </c>
      <c r="B63" s="5">
        <v>46097.63057444445</v>
      </c>
      <c r="C63" s="6">
        <f t="shared" si="1"/>
        <v>46097.63058</v>
      </c>
      <c r="D63" s="4">
        <v>9.97</v>
      </c>
    </row>
    <row r="64" ht="22.5" customHeight="1">
      <c r="A64" s="4" t="s">
        <v>8</v>
      </c>
      <c r="B64" s="5">
        <v>46097.63878990741</v>
      </c>
      <c r="C64" s="6">
        <f t="shared" si="1"/>
        <v>46097.63878</v>
      </c>
      <c r="D64" s="4">
        <v>10.05</v>
      </c>
    </row>
    <row r="65" ht="22.5" customHeight="1">
      <c r="A65" s="4" t="s">
        <v>8</v>
      </c>
      <c r="B65" s="5">
        <v>46097.640845358794</v>
      </c>
      <c r="C65" s="6">
        <f t="shared" si="1"/>
        <v>46097.64084</v>
      </c>
      <c r="D65" s="4">
        <v>9.97</v>
      </c>
    </row>
    <row r="66" ht="22.5" customHeight="1">
      <c r="A66" s="4" t="s">
        <v>8</v>
      </c>
      <c r="B66" s="5">
        <v>46097.649063819445</v>
      </c>
      <c r="C66" s="6">
        <f t="shared" si="1"/>
        <v>46097.64906</v>
      </c>
      <c r="D66" s="4">
        <v>10.7</v>
      </c>
    </row>
    <row r="67" ht="22.5" customHeight="1">
      <c r="A67" s="4" t="s">
        <v>8</v>
      </c>
      <c r="B67" s="5">
        <v>46097.64975041667</v>
      </c>
      <c r="C67" s="6">
        <f t="shared" si="1"/>
        <v>46097.64975</v>
      </c>
      <c r="D67" s="4">
        <v>13.46</v>
      </c>
    </row>
    <row r="68" ht="22.5" customHeight="1">
      <c r="A68" s="4" t="s">
        <v>8</v>
      </c>
      <c r="B68" s="5">
        <v>46097.65249079861</v>
      </c>
      <c r="C68" s="6">
        <f t="shared" si="1"/>
        <v>46097.65249</v>
      </c>
      <c r="D68" s="4">
        <v>13.5</v>
      </c>
    </row>
    <row r="69" ht="22.5" customHeight="1">
      <c r="A69" s="4" t="s">
        <v>8</v>
      </c>
      <c r="B69" s="5">
        <v>46097.65728438657</v>
      </c>
      <c r="C69" s="6">
        <f t="shared" si="1"/>
        <v>46097.65728</v>
      </c>
      <c r="D69" s="4">
        <v>13.27</v>
      </c>
    </row>
    <row r="70" ht="22.5" customHeight="1">
      <c r="A70" s="4" t="s">
        <v>8</v>
      </c>
      <c r="B70" s="5">
        <v>46097.65796945602</v>
      </c>
      <c r="C70" s="6">
        <f t="shared" si="1"/>
        <v>46097.65797</v>
      </c>
      <c r="D70" s="4">
        <v>13.16</v>
      </c>
    </row>
    <row r="71" ht="22.5" customHeight="1">
      <c r="A71" s="4" t="s">
        <v>8</v>
      </c>
      <c r="B71" s="5">
        <v>46097.66550511574</v>
      </c>
      <c r="C71" s="6">
        <f t="shared" si="1"/>
        <v>46097.66551</v>
      </c>
      <c r="D71" s="4">
        <v>13.09</v>
      </c>
    </row>
    <row r="72" ht="22.5" customHeight="1">
      <c r="A72" s="4" t="s">
        <v>8</v>
      </c>
      <c r="B72" s="5">
        <v>46097.669617280095</v>
      </c>
      <c r="C72" s="6">
        <f t="shared" si="1"/>
        <v>46097.66962</v>
      </c>
      <c r="D72" s="4">
        <v>13.0</v>
      </c>
    </row>
    <row r="73" ht="22.5" customHeight="1">
      <c r="A73" s="4" t="s">
        <v>8</v>
      </c>
      <c r="B73" s="5">
        <v>46097.72716199074</v>
      </c>
      <c r="C73" s="6">
        <f t="shared" si="1"/>
        <v>46097.72716</v>
      </c>
      <c r="D73" s="4">
        <v>12.9</v>
      </c>
    </row>
    <row r="74" ht="22.5" customHeight="1">
      <c r="A74" s="4" t="s">
        <v>8</v>
      </c>
      <c r="B74" s="5">
        <v>46097.72784888889</v>
      </c>
      <c r="C74" s="6">
        <f t="shared" si="1"/>
        <v>46097.72785</v>
      </c>
      <c r="D74" s="4">
        <v>12.94</v>
      </c>
    </row>
    <row r="75" ht="22.5" customHeight="1">
      <c r="A75" s="4" t="s">
        <v>8</v>
      </c>
      <c r="B75" s="5">
        <v>46097.728532141206</v>
      </c>
      <c r="C75" s="6">
        <f t="shared" si="1"/>
        <v>46097.72853</v>
      </c>
      <c r="D75" s="4">
        <v>13.0</v>
      </c>
    </row>
    <row r="76" ht="22.5" customHeight="1">
      <c r="A76" s="4" t="s">
        <v>8</v>
      </c>
      <c r="B76" s="5">
        <v>46097.73195743056</v>
      </c>
      <c r="C76" s="6">
        <f t="shared" si="1"/>
        <v>46097.73196</v>
      </c>
      <c r="D76" s="4">
        <v>12.94</v>
      </c>
    </row>
    <row r="77" ht="22.5" customHeight="1">
      <c r="A77" s="4" t="s">
        <v>8</v>
      </c>
      <c r="B77" s="5">
        <v>46097.733327800925</v>
      </c>
      <c r="C77" s="6">
        <f t="shared" si="1"/>
        <v>46097.73333</v>
      </c>
      <c r="D77" s="4">
        <v>13.0</v>
      </c>
    </row>
    <row r="78" ht="22.5" customHeight="1">
      <c r="A78" s="4" t="s">
        <v>8</v>
      </c>
      <c r="B78" s="5">
        <v>46097.73401260417</v>
      </c>
      <c r="C78" s="6">
        <f t="shared" si="1"/>
        <v>46097.73402</v>
      </c>
      <c r="D78" s="4">
        <v>12.94</v>
      </c>
    </row>
    <row r="79" ht="22.5" customHeight="1">
      <c r="A79" s="4" t="s">
        <v>8</v>
      </c>
      <c r="B79" s="5">
        <v>46097.73538269676</v>
      </c>
      <c r="C79" s="6">
        <f t="shared" si="1"/>
        <v>46097.73538</v>
      </c>
      <c r="D79" s="4">
        <v>13.0</v>
      </c>
    </row>
    <row r="80" ht="22.5" customHeight="1">
      <c r="A80" s="4" t="s">
        <v>8</v>
      </c>
      <c r="B80" s="5">
        <v>46097.737437986114</v>
      </c>
      <c r="C80" s="6">
        <f t="shared" si="1"/>
        <v>46097.73744</v>
      </c>
      <c r="D80" s="4">
        <v>12.85</v>
      </c>
    </row>
    <row r="81" ht="22.5" customHeight="1">
      <c r="A81" s="4" t="s">
        <v>8</v>
      </c>
      <c r="B81" s="5">
        <v>46097.743603333336</v>
      </c>
      <c r="C81" s="6">
        <f t="shared" si="1"/>
        <v>46097.7436</v>
      </c>
      <c r="D81" s="4">
        <v>12.9</v>
      </c>
    </row>
    <row r="82" ht="22.5" customHeight="1">
      <c r="A82" s="4" t="s">
        <v>8</v>
      </c>
      <c r="B82" s="5">
        <v>46097.74497571759</v>
      </c>
      <c r="C82" s="6">
        <f t="shared" si="1"/>
        <v>46097.74498</v>
      </c>
      <c r="D82" s="4">
        <v>12.85</v>
      </c>
    </row>
    <row r="83" ht="22.5" customHeight="1">
      <c r="A83" s="4" t="s">
        <v>8</v>
      </c>
      <c r="B83" s="5">
        <v>46097.74771364583</v>
      </c>
      <c r="C83" s="6">
        <f t="shared" si="1"/>
        <v>46097.74771</v>
      </c>
      <c r="D83" s="4">
        <v>12.79</v>
      </c>
    </row>
    <row r="84" ht="22.5" customHeight="1">
      <c r="A84" s="4" t="s">
        <v>8</v>
      </c>
      <c r="B84" s="5">
        <v>46097.77374484954</v>
      </c>
      <c r="C84" s="6">
        <f t="shared" si="1"/>
        <v>46097.77375</v>
      </c>
      <c r="D84" s="4">
        <v>4.21</v>
      </c>
    </row>
    <row r="85" ht="22.5" customHeight="1">
      <c r="A85" s="4" t="s">
        <v>8</v>
      </c>
      <c r="B85" s="5">
        <v>46097.77717011574</v>
      </c>
      <c r="C85" s="6">
        <f t="shared" si="1"/>
        <v>46097.77716</v>
      </c>
      <c r="D85" s="4">
        <v>0.0</v>
      </c>
    </row>
    <row r="86" ht="22.5" customHeight="1">
      <c r="A86" s="4" t="s">
        <v>8</v>
      </c>
      <c r="B86" s="5">
        <v>46097.786076006945</v>
      </c>
      <c r="C86" s="6">
        <f t="shared" si="1"/>
        <v>46097.78608</v>
      </c>
      <c r="D86" s="4">
        <v>2.84</v>
      </c>
    </row>
    <row r="87" ht="22.5" customHeight="1">
      <c r="A87" s="4" t="s">
        <v>8</v>
      </c>
      <c r="B87" s="5">
        <v>46097.786761076386</v>
      </c>
      <c r="C87" s="6">
        <f t="shared" si="1"/>
        <v>46097.78676</v>
      </c>
      <c r="D87" s="4">
        <v>6.39</v>
      </c>
    </row>
    <row r="88" ht="22.5" customHeight="1">
      <c r="A88" s="4" t="s">
        <v>8</v>
      </c>
      <c r="B88" s="5">
        <v>46097.78813482639</v>
      </c>
      <c r="C88" s="6">
        <f t="shared" si="1"/>
        <v>46097.78814</v>
      </c>
      <c r="D88" s="4">
        <v>6.17</v>
      </c>
    </row>
    <row r="89" ht="22.5" customHeight="1">
      <c r="A89" s="4" t="s">
        <v>8</v>
      </c>
      <c r="B89" s="5">
        <v>46097.800462962965</v>
      </c>
      <c r="C89" s="6">
        <f t="shared" si="1"/>
        <v>46097.80046</v>
      </c>
      <c r="D89" s="4">
        <v>6.39</v>
      </c>
    </row>
    <row r="90" ht="22.5" customHeight="1">
      <c r="A90" s="4" t="s">
        <v>8</v>
      </c>
      <c r="B90" s="5">
        <v>46097.80114797454</v>
      </c>
      <c r="C90" s="6">
        <f t="shared" si="1"/>
        <v>46097.80115</v>
      </c>
      <c r="D90" s="4">
        <v>6.17</v>
      </c>
    </row>
    <row r="91" ht="22.5" customHeight="1">
      <c r="A91" s="4" t="s">
        <v>8</v>
      </c>
      <c r="B91" s="5">
        <v>46097.825128599536</v>
      </c>
      <c r="C91" s="6">
        <f t="shared" si="1"/>
        <v>46097.82513</v>
      </c>
      <c r="D91" s="4">
        <v>6.22</v>
      </c>
    </row>
    <row r="92" ht="22.5" customHeight="1">
      <c r="A92" s="4" t="s">
        <v>8</v>
      </c>
      <c r="B92" s="5">
        <v>46097.82581753472</v>
      </c>
      <c r="C92" s="6">
        <f t="shared" si="1"/>
        <v>46097.82582</v>
      </c>
      <c r="D92" s="4">
        <v>6.27</v>
      </c>
    </row>
    <row r="93" ht="22.5" customHeight="1">
      <c r="A93" s="4" t="s">
        <v>8</v>
      </c>
      <c r="B93" s="5">
        <v>46097.830613287035</v>
      </c>
      <c r="C93" s="6">
        <f t="shared" si="1"/>
        <v>46097.83061</v>
      </c>
      <c r="D93" s="4">
        <v>6.33</v>
      </c>
    </row>
    <row r="94" ht="22.5" customHeight="1">
      <c r="A94" s="4" t="s">
        <v>8</v>
      </c>
      <c r="B94" s="5">
        <v>46097.843626354166</v>
      </c>
      <c r="C94" s="6">
        <f t="shared" si="1"/>
        <v>46097.84362</v>
      </c>
      <c r="D94" s="4">
        <v>6.39</v>
      </c>
    </row>
    <row r="95" ht="22.5" customHeight="1">
      <c r="A95" s="4" t="s">
        <v>8</v>
      </c>
      <c r="B95" s="5">
        <v>46097.844315821756</v>
      </c>
      <c r="C95" s="6">
        <f t="shared" si="1"/>
        <v>46097.84432</v>
      </c>
      <c r="D95" s="4">
        <v>6.33</v>
      </c>
    </row>
    <row r="96" ht="22.5" customHeight="1">
      <c r="A96" s="4" t="s">
        <v>8</v>
      </c>
      <c r="B96" s="5">
        <v>46097.84568518519</v>
      </c>
      <c r="C96" s="6">
        <f t="shared" si="1"/>
        <v>46097.84568</v>
      </c>
      <c r="D96" s="4">
        <v>6.39</v>
      </c>
    </row>
    <row r="97" ht="22.5" customHeight="1">
      <c r="A97" s="4" t="s">
        <v>8</v>
      </c>
      <c r="B97" s="5">
        <v>46097.84636657407</v>
      </c>
      <c r="C97" s="6">
        <f t="shared" si="1"/>
        <v>46097.84637</v>
      </c>
      <c r="D97" s="4">
        <v>6.33</v>
      </c>
    </row>
    <row r="98" ht="22.5" customHeight="1">
      <c r="A98" s="4" t="s">
        <v>8</v>
      </c>
      <c r="B98" s="5">
        <v>46097.8491105787</v>
      </c>
      <c r="C98" s="6">
        <f t="shared" si="1"/>
        <v>46097.84911</v>
      </c>
      <c r="D98" s="4">
        <v>6.39</v>
      </c>
    </row>
    <row r="99" ht="22.5" customHeight="1">
      <c r="A99" s="4" t="s">
        <v>8</v>
      </c>
      <c r="B99" s="5">
        <v>46097.95461554398</v>
      </c>
      <c r="C99" s="6">
        <f t="shared" si="1"/>
        <v>46097.95462</v>
      </c>
      <c r="D99" s="4">
        <v>6.47</v>
      </c>
    </row>
    <row r="100" ht="22.5" customHeight="1">
      <c r="A100" s="4" t="s">
        <v>8</v>
      </c>
      <c r="B100" s="5">
        <v>46097.958037303244</v>
      </c>
      <c r="C100" s="6">
        <f t="shared" si="1"/>
        <v>46097.95803</v>
      </c>
      <c r="D100" s="4">
        <v>6.39</v>
      </c>
    </row>
    <row r="101" ht="22.5" customHeight="1">
      <c r="A101" s="4" t="s">
        <v>8</v>
      </c>
      <c r="B101" s="5">
        <v>46097.95872244213</v>
      </c>
      <c r="C101" s="6">
        <f t="shared" si="1"/>
        <v>46097.95873</v>
      </c>
      <c r="D101" s="4">
        <v>6.47</v>
      </c>
    </row>
    <row r="102" ht="22.5" customHeight="1">
      <c r="A102" s="4" t="s">
        <v>8</v>
      </c>
      <c r="B102" s="5">
        <v>46097.95940759259</v>
      </c>
      <c r="C102" s="6">
        <f t="shared" si="1"/>
        <v>46097.95941</v>
      </c>
      <c r="D102" s="4">
        <v>6.39</v>
      </c>
    </row>
    <row r="103" ht="22.5" customHeight="1">
      <c r="A103" s="4" t="s">
        <v>8</v>
      </c>
      <c r="B103" s="5">
        <v>46097.96009436343</v>
      </c>
      <c r="C103" s="6">
        <f t="shared" si="1"/>
        <v>46097.96009</v>
      </c>
      <c r="D103" s="4">
        <v>6.47</v>
      </c>
    </row>
    <row r="104" ht="22.5" customHeight="1">
      <c r="A104" s="4" t="s">
        <v>8</v>
      </c>
      <c r="B104" s="5">
        <v>46097.96557337963</v>
      </c>
      <c r="C104" s="6">
        <f t="shared" si="1"/>
        <v>46097.96558</v>
      </c>
      <c r="D104" s="4">
        <v>6.39</v>
      </c>
    </row>
    <row r="105" ht="22.5" customHeight="1">
      <c r="A105" s="4" t="s">
        <v>8</v>
      </c>
      <c r="B105" s="5">
        <v>46097.96762898148</v>
      </c>
      <c r="C105" s="6">
        <f t="shared" si="1"/>
        <v>46097.96763</v>
      </c>
      <c r="D105" s="4">
        <v>6.47</v>
      </c>
    </row>
    <row r="106" ht="22.5" customHeight="1">
      <c r="A106" s="4" t="s">
        <v>8</v>
      </c>
      <c r="B106" s="5">
        <v>46097.970369016206</v>
      </c>
      <c r="C106" s="6">
        <f t="shared" si="1"/>
        <v>46097.97037</v>
      </c>
      <c r="D106" s="4">
        <v>6.39</v>
      </c>
    </row>
    <row r="107" ht="22.5" customHeight="1">
      <c r="A107" s="4" t="s">
        <v>8</v>
      </c>
      <c r="B107" s="5">
        <v>46097.97173931713</v>
      </c>
      <c r="C107" s="6">
        <f t="shared" si="1"/>
        <v>46097.97174</v>
      </c>
      <c r="D107" s="4">
        <v>6.47</v>
      </c>
    </row>
    <row r="108" ht="22.5" customHeight="1">
      <c r="A108" s="4" t="s">
        <v>8</v>
      </c>
      <c r="B108" s="5">
        <v>46097.97447959491</v>
      </c>
      <c r="C108" s="6">
        <f t="shared" si="1"/>
        <v>46097.97448</v>
      </c>
      <c r="D108" s="4">
        <v>6.39</v>
      </c>
    </row>
    <row r="109" ht="22.5" customHeight="1">
      <c r="A109" s="4" t="s">
        <v>8</v>
      </c>
      <c r="B109" s="5">
        <v>46097.97516648148</v>
      </c>
      <c r="C109" s="6">
        <f t="shared" si="1"/>
        <v>46097.97516</v>
      </c>
      <c r="D109" s="4">
        <v>6.47</v>
      </c>
    </row>
    <row r="110" ht="22.5" customHeight="1">
      <c r="A110" s="4" t="s">
        <v>8</v>
      </c>
      <c r="B110" s="5">
        <v>46097.976534884256</v>
      </c>
      <c r="C110" s="6">
        <f t="shared" si="1"/>
        <v>46097.97654</v>
      </c>
      <c r="D110" s="4">
        <v>6.22</v>
      </c>
    </row>
    <row r="111" ht="22.5" customHeight="1">
      <c r="A111" s="4" t="s">
        <v>8</v>
      </c>
      <c r="B111" s="5">
        <v>46097.97722039352</v>
      </c>
      <c r="C111" s="6">
        <f t="shared" si="1"/>
        <v>46097.97722</v>
      </c>
      <c r="D111" s="4">
        <v>6.17</v>
      </c>
    </row>
    <row r="112" ht="22.5" customHeight="1">
      <c r="A112" s="4" t="s">
        <v>8</v>
      </c>
      <c r="B112" s="5">
        <v>46097.98064729167</v>
      </c>
      <c r="C112" s="6">
        <f t="shared" si="1"/>
        <v>46097.98065</v>
      </c>
      <c r="D112" s="4">
        <v>6.22</v>
      </c>
    </row>
    <row r="113" ht="22.5" customHeight="1">
      <c r="A113" s="4" t="s">
        <v>8</v>
      </c>
      <c r="B113" s="5">
        <v>46097.995034293985</v>
      </c>
      <c r="C113" s="6">
        <f t="shared" si="1"/>
        <v>46097.99503</v>
      </c>
      <c r="D113" s="4">
        <v>6.17</v>
      </c>
    </row>
    <row r="114" ht="22.5" customHeight="1">
      <c r="A114" s="4" t="s">
        <v>8</v>
      </c>
      <c r="B114" s="5">
        <v>46097.99777275463</v>
      </c>
      <c r="C114" s="6">
        <f t="shared" si="1"/>
        <v>46097.99778</v>
      </c>
      <c r="D114" s="4">
        <v>6.22</v>
      </c>
    </row>
    <row r="115" ht="22.5" customHeight="1">
      <c r="A115" s="4" t="s">
        <v>8</v>
      </c>
      <c r="B115" s="5">
        <v>46097.99845787037</v>
      </c>
      <c r="C115" s="6">
        <f t="shared" si="1"/>
        <v>46097.99846</v>
      </c>
      <c r="D115" s="4">
        <v>6.17</v>
      </c>
    </row>
    <row r="116" ht="22.5" customHeight="1">
      <c r="A116" s="4" t="s">
        <v>8</v>
      </c>
      <c r="B116" s="5">
        <v>46098.003939166665</v>
      </c>
      <c r="C116" s="6">
        <f t="shared" si="1"/>
        <v>46098.00394</v>
      </c>
      <c r="D116" s="4">
        <v>6.22</v>
      </c>
    </row>
    <row r="117" ht="22.5" customHeight="1">
      <c r="A117" s="4" t="s">
        <v>8</v>
      </c>
      <c r="B117" s="5">
        <v>46098.02311908565</v>
      </c>
      <c r="C117" s="6">
        <f t="shared" si="1"/>
        <v>46098.02311</v>
      </c>
      <c r="D117" s="4">
        <v>6.17</v>
      </c>
    </row>
    <row r="118" ht="22.5" customHeight="1">
      <c r="A118" s="4" t="s">
        <v>8</v>
      </c>
      <c r="B118" s="5">
        <v>46098.02791413195</v>
      </c>
      <c r="C118" s="6">
        <f t="shared" si="1"/>
        <v>46098.02792</v>
      </c>
      <c r="D118" s="4">
        <v>6.22</v>
      </c>
    </row>
    <row r="119" ht="22.5" customHeight="1">
      <c r="A119" s="4" t="s">
        <v>8</v>
      </c>
      <c r="B119" s="5">
        <v>46098.035448993054</v>
      </c>
      <c r="C119" s="6">
        <f t="shared" si="1"/>
        <v>46098.03545</v>
      </c>
      <c r="D119" s="4">
        <v>6.17</v>
      </c>
    </row>
    <row r="120" ht="22.5" customHeight="1">
      <c r="A120" s="4" t="s">
        <v>8</v>
      </c>
      <c r="B120" s="5">
        <v>46098.03682094908</v>
      </c>
      <c r="C120" s="6">
        <f t="shared" si="1"/>
        <v>46098.03682</v>
      </c>
      <c r="D120" s="4">
        <v>6.22</v>
      </c>
    </row>
    <row r="121" ht="22.5" customHeight="1">
      <c r="A121" s="4" t="s">
        <v>8</v>
      </c>
      <c r="B121" s="5">
        <v>46098.0395587963</v>
      </c>
      <c r="C121" s="6">
        <f t="shared" si="1"/>
        <v>46098.03956</v>
      </c>
      <c r="D121" s="4">
        <v>6.17</v>
      </c>
    </row>
    <row r="122" ht="22.5" customHeight="1">
      <c r="A122" s="4" t="s">
        <v>8</v>
      </c>
      <c r="B122" s="5">
        <v>46098.051203020834</v>
      </c>
      <c r="C122" s="6">
        <f t="shared" si="1"/>
        <v>46098.0512</v>
      </c>
      <c r="D122" s="4">
        <v>6.22</v>
      </c>
    </row>
    <row r="123" ht="22.5" customHeight="1">
      <c r="A123" s="4" t="s">
        <v>8</v>
      </c>
      <c r="B123" s="5">
        <v>46098.05257295139</v>
      </c>
      <c r="C123" s="6">
        <f t="shared" si="1"/>
        <v>46098.05257</v>
      </c>
      <c r="D123" s="4">
        <v>6.17</v>
      </c>
    </row>
    <row r="124" ht="22.5" customHeight="1">
      <c r="A124" s="4" t="s">
        <v>8</v>
      </c>
      <c r="B124" s="5">
        <v>46098.05394648148</v>
      </c>
      <c r="C124" s="6">
        <f t="shared" si="1"/>
        <v>46098.05395</v>
      </c>
      <c r="D124" s="4">
        <v>6.22</v>
      </c>
    </row>
    <row r="125" ht="22.5" customHeight="1">
      <c r="A125" s="4" t="s">
        <v>8</v>
      </c>
      <c r="B125" s="5">
        <v>46098.05462766204</v>
      </c>
      <c r="C125" s="6">
        <f t="shared" si="1"/>
        <v>46098.05463</v>
      </c>
      <c r="D125" s="4">
        <v>6.17</v>
      </c>
    </row>
    <row r="126" ht="22.5" customHeight="1">
      <c r="A126" s="4" t="s">
        <v>8</v>
      </c>
      <c r="B126" s="5">
        <v>46098.062161747686</v>
      </c>
      <c r="C126" s="6">
        <f t="shared" si="1"/>
        <v>46098.06216</v>
      </c>
      <c r="D126" s="4">
        <v>6.22</v>
      </c>
    </row>
    <row r="127" ht="22.5" customHeight="1">
      <c r="A127" s="4" t="s">
        <v>8</v>
      </c>
      <c r="B127" s="5">
        <v>46098.06353199074</v>
      </c>
      <c r="C127" s="6">
        <f t="shared" si="1"/>
        <v>46098.06353</v>
      </c>
      <c r="D127" s="4">
        <v>6.17</v>
      </c>
    </row>
    <row r="128" ht="22.5" customHeight="1">
      <c r="A128" s="4" t="s">
        <v>8</v>
      </c>
      <c r="B128" s="5">
        <v>46098.064216342595</v>
      </c>
      <c r="C128" s="6">
        <f t="shared" si="1"/>
        <v>46098.06421</v>
      </c>
      <c r="D128" s="4">
        <v>6.22</v>
      </c>
    </row>
    <row r="129" ht="22.5" customHeight="1">
      <c r="A129" s="4" t="s">
        <v>8</v>
      </c>
      <c r="B129" s="5">
        <v>46098.06764084491</v>
      </c>
      <c r="C129" s="6">
        <f t="shared" si="1"/>
        <v>46098.06764</v>
      </c>
      <c r="D129" s="4">
        <v>6.17</v>
      </c>
    </row>
    <row r="130" ht="22.5" customHeight="1">
      <c r="A130" s="4" t="s">
        <v>8</v>
      </c>
      <c r="B130" s="5">
        <v>46098.06832575231</v>
      </c>
      <c r="C130" s="6">
        <f t="shared" si="1"/>
        <v>46098.06832</v>
      </c>
      <c r="D130" s="4">
        <v>6.22</v>
      </c>
    </row>
    <row r="131" ht="22.5" customHeight="1">
      <c r="A131" s="4" t="s">
        <v>8</v>
      </c>
      <c r="B131" s="5">
        <v>46098.07654429398</v>
      </c>
      <c r="C131" s="6">
        <f t="shared" si="1"/>
        <v>46098.07654</v>
      </c>
      <c r="D131" s="4">
        <v>6.17</v>
      </c>
    </row>
    <row r="132" ht="22.5" customHeight="1">
      <c r="A132" s="4" t="s">
        <v>8</v>
      </c>
      <c r="B132" s="5">
        <v>46098.07722900463</v>
      </c>
      <c r="C132" s="6">
        <f t="shared" si="1"/>
        <v>46098.07723</v>
      </c>
      <c r="D132" s="4">
        <v>6.22</v>
      </c>
    </row>
    <row r="133" ht="22.5" customHeight="1">
      <c r="A133" s="4" t="s">
        <v>8</v>
      </c>
      <c r="B133" s="5">
        <v>46098.080653391204</v>
      </c>
      <c r="C133" s="6">
        <f t="shared" si="1"/>
        <v>46098.08065</v>
      </c>
      <c r="D133" s="4">
        <v>6.17</v>
      </c>
    </row>
    <row r="134" ht="22.5" customHeight="1">
      <c r="A134" s="4" t="s">
        <v>8</v>
      </c>
      <c r="B134" s="5">
        <v>46098.08407762732</v>
      </c>
      <c r="C134" s="6">
        <f t="shared" si="1"/>
        <v>46098.08407</v>
      </c>
      <c r="D134" s="4">
        <v>6.22</v>
      </c>
    </row>
    <row r="135" ht="22.5" customHeight="1">
      <c r="A135" s="4" t="s">
        <v>8</v>
      </c>
      <c r="B135" s="5">
        <v>46098.0861321875</v>
      </c>
      <c r="C135" s="6">
        <f t="shared" si="1"/>
        <v>46098.08613</v>
      </c>
      <c r="D135" s="4">
        <v>6.27</v>
      </c>
    </row>
    <row r="136" ht="22.5" customHeight="1">
      <c r="A136" s="4" t="s">
        <v>8</v>
      </c>
      <c r="B136" s="5">
        <v>46098.086817118055</v>
      </c>
      <c r="C136" s="6">
        <f t="shared" si="1"/>
        <v>46098.08682</v>
      </c>
      <c r="D136" s="4">
        <v>6.22</v>
      </c>
    </row>
    <row r="137" ht="22.5" customHeight="1">
      <c r="A137" s="4" t="s">
        <v>8</v>
      </c>
      <c r="B137" s="5">
        <v>46098.093665775465</v>
      </c>
      <c r="C137" s="6">
        <f t="shared" si="1"/>
        <v>46098.09367</v>
      </c>
      <c r="D137" s="4">
        <v>6.17</v>
      </c>
    </row>
    <row r="138" ht="22.5" customHeight="1">
      <c r="A138" s="4" t="s">
        <v>8</v>
      </c>
      <c r="B138" s="5">
        <v>46098.094350231484</v>
      </c>
      <c r="C138" s="6">
        <f t="shared" si="1"/>
        <v>46098.09435</v>
      </c>
      <c r="D138" s="4">
        <v>6.22</v>
      </c>
    </row>
    <row r="139" ht="22.5" customHeight="1">
      <c r="A139" s="4" t="s">
        <v>8</v>
      </c>
      <c r="B139" s="5">
        <v>46098.09571976852</v>
      </c>
      <c r="C139" s="6">
        <f t="shared" si="1"/>
        <v>46098.09572</v>
      </c>
      <c r="D139" s="4">
        <v>6.17</v>
      </c>
    </row>
    <row r="140" ht="22.5" customHeight="1">
      <c r="A140" s="4" t="s">
        <v>8</v>
      </c>
      <c r="B140" s="5">
        <v>46098.108731493056</v>
      </c>
      <c r="C140" s="6">
        <f t="shared" si="1"/>
        <v>46098.10873</v>
      </c>
      <c r="D140" s="4">
        <v>6.22</v>
      </c>
    </row>
    <row r="141" ht="22.5" customHeight="1">
      <c r="A141" s="4" t="s">
        <v>8</v>
      </c>
      <c r="B141" s="5">
        <v>46098.11763385417</v>
      </c>
      <c r="C141" s="6">
        <f t="shared" si="1"/>
        <v>46098.11764</v>
      </c>
      <c r="D141" s="4">
        <v>6.17</v>
      </c>
    </row>
    <row r="142" ht="22.5" customHeight="1">
      <c r="A142" s="4" t="s">
        <v>8</v>
      </c>
      <c r="B142" s="5">
        <v>46098.11831866898</v>
      </c>
      <c r="C142" s="6">
        <f t="shared" si="1"/>
        <v>46098.11832</v>
      </c>
      <c r="D142" s="4">
        <v>6.22</v>
      </c>
    </row>
    <row r="143" ht="22.5" customHeight="1">
      <c r="A143" s="4" t="s">
        <v>8</v>
      </c>
      <c r="B143" s="5">
        <v>46098.12311208333</v>
      </c>
      <c r="C143" s="6">
        <f t="shared" si="1"/>
        <v>46098.12311</v>
      </c>
      <c r="D143" s="4">
        <v>6.17</v>
      </c>
    </row>
    <row r="144" ht="22.5" customHeight="1">
      <c r="A144" s="4" t="s">
        <v>8</v>
      </c>
      <c r="B144" s="5">
        <v>46098.123796817126</v>
      </c>
      <c r="C144" s="6">
        <f t="shared" si="1"/>
        <v>46098.1238</v>
      </c>
      <c r="D144" s="4">
        <v>6.22</v>
      </c>
    </row>
    <row r="145" ht="22.5" customHeight="1">
      <c r="A145" s="4" t="s">
        <v>8</v>
      </c>
      <c r="B145" s="5">
        <v>46098.13680748842</v>
      </c>
      <c r="C145" s="6">
        <f t="shared" si="1"/>
        <v>46098.13681</v>
      </c>
      <c r="D145" s="4">
        <v>6.17</v>
      </c>
    </row>
    <row r="146" ht="22.5" customHeight="1">
      <c r="A146" s="4" t="s">
        <v>8</v>
      </c>
      <c r="B146" s="5">
        <v>46098.137497476855</v>
      </c>
      <c r="C146" s="6">
        <f t="shared" si="1"/>
        <v>46098.1375</v>
      </c>
      <c r="D146" s="4">
        <v>6.22</v>
      </c>
    </row>
    <row r="147" ht="22.5" customHeight="1">
      <c r="A147" s="4" t="s">
        <v>8</v>
      </c>
      <c r="B147" s="5">
        <v>46098.15461027778</v>
      </c>
      <c r="C147" s="6">
        <f t="shared" si="1"/>
        <v>46098.15461</v>
      </c>
      <c r="D147" s="4">
        <v>6.17</v>
      </c>
    </row>
    <row r="148" ht="22.5" customHeight="1">
      <c r="A148" s="4" t="s">
        <v>8</v>
      </c>
      <c r="B148" s="5">
        <v>46098.15529494213</v>
      </c>
      <c r="C148" s="6">
        <f t="shared" si="1"/>
        <v>46098.15529</v>
      </c>
      <c r="D148" s="4">
        <v>6.22</v>
      </c>
    </row>
    <row r="149" ht="22.5" customHeight="1">
      <c r="A149" s="4" t="s">
        <v>8</v>
      </c>
      <c r="B149" s="5">
        <v>46098.158718541665</v>
      </c>
      <c r="C149" s="6">
        <f t="shared" si="1"/>
        <v>46098.15872</v>
      </c>
      <c r="D149" s="4">
        <v>6.17</v>
      </c>
    </row>
    <row r="150" ht="22.5" customHeight="1">
      <c r="A150" s="4" t="s">
        <v>8</v>
      </c>
      <c r="B150" s="5">
        <v>46098.168988784724</v>
      </c>
      <c r="C150" s="6">
        <f t="shared" si="1"/>
        <v>46098.16899</v>
      </c>
      <c r="D150" s="4">
        <v>6.22</v>
      </c>
    </row>
    <row r="151" ht="22.5" customHeight="1">
      <c r="A151" s="4" t="s">
        <v>8</v>
      </c>
      <c r="B151" s="5">
        <v>46098.1696740625</v>
      </c>
      <c r="C151" s="6">
        <f t="shared" si="1"/>
        <v>46098.16968</v>
      </c>
      <c r="D151" s="4">
        <v>6.17</v>
      </c>
    </row>
    <row r="152" ht="22.5" customHeight="1">
      <c r="A152" s="4" t="s">
        <v>8</v>
      </c>
      <c r="B152" s="5">
        <v>46098.179258993056</v>
      </c>
      <c r="C152" s="6">
        <f t="shared" si="1"/>
        <v>46098.17926</v>
      </c>
      <c r="D152" s="4">
        <v>6.22</v>
      </c>
    </row>
    <row r="153" ht="22.5" customHeight="1">
      <c r="A153" s="4" t="s">
        <v>8</v>
      </c>
      <c r="B153" s="5">
        <v>46098.18199774306</v>
      </c>
      <c r="C153" s="6">
        <f t="shared" si="1"/>
        <v>46098.182</v>
      </c>
      <c r="D153" s="4">
        <v>6.17</v>
      </c>
    </row>
    <row r="154" ht="22.5" customHeight="1">
      <c r="A154" s="4" t="s">
        <v>8</v>
      </c>
      <c r="B154" s="5">
        <v>46098.18815951389</v>
      </c>
      <c r="C154" s="6">
        <f t="shared" si="1"/>
        <v>46098.18816</v>
      </c>
      <c r="D154" s="4">
        <v>6.22</v>
      </c>
    </row>
    <row r="155" ht="22.5" customHeight="1">
      <c r="A155" s="4" t="s">
        <v>8</v>
      </c>
      <c r="B155" s="5">
        <v>46098.18884969907</v>
      </c>
      <c r="C155" s="6">
        <f t="shared" si="1"/>
        <v>46098.18885</v>
      </c>
      <c r="D155" s="4">
        <v>6.17</v>
      </c>
    </row>
    <row r="156" ht="22.5" customHeight="1">
      <c r="A156" s="4" t="s">
        <v>8</v>
      </c>
      <c r="B156" s="5">
        <v>46098.18953070602</v>
      </c>
      <c r="C156" s="6">
        <f t="shared" si="1"/>
        <v>46098.18953</v>
      </c>
      <c r="D156" s="4">
        <v>6.22</v>
      </c>
    </row>
    <row r="157" ht="22.5" customHeight="1">
      <c r="A157" s="4" t="s">
        <v>8</v>
      </c>
      <c r="B157" s="5">
        <v>46098.19021363426</v>
      </c>
      <c r="C157" s="6">
        <f t="shared" si="1"/>
        <v>46098.19021</v>
      </c>
      <c r="D157" s="4">
        <v>6.17</v>
      </c>
    </row>
    <row r="158" ht="22.5" customHeight="1">
      <c r="A158" s="4" t="s">
        <v>8</v>
      </c>
      <c r="B158" s="5">
        <v>46098.19226755787</v>
      </c>
      <c r="C158" s="6">
        <f t="shared" si="1"/>
        <v>46098.19227</v>
      </c>
      <c r="D158" s="4">
        <v>6.22</v>
      </c>
    </row>
    <row r="159" ht="22.5" customHeight="1">
      <c r="A159" s="4" t="s">
        <v>8</v>
      </c>
      <c r="B159" s="5">
        <v>46098.19364027778</v>
      </c>
      <c r="C159" s="6">
        <f t="shared" si="1"/>
        <v>46098.19365</v>
      </c>
      <c r="D159" s="4">
        <v>6.17</v>
      </c>
    </row>
    <row r="160" ht="22.5" customHeight="1">
      <c r="A160" s="4" t="s">
        <v>8</v>
      </c>
      <c r="B160" s="5">
        <v>46098.195006041664</v>
      </c>
      <c r="C160" s="6">
        <f t="shared" si="1"/>
        <v>46098.19501</v>
      </c>
      <c r="D160" s="4">
        <v>6.22</v>
      </c>
    </row>
    <row r="161" ht="22.5" customHeight="1">
      <c r="A161" s="4" t="s">
        <v>8</v>
      </c>
      <c r="B161" s="5">
        <v>46098.19569068287</v>
      </c>
      <c r="C161" s="6">
        <f t="shared" si="1"/>
        <v>46098.19569</v>
      </c>
      <c r="D161" s="4">
        <v>6.17</v>
      </c>
    </row>
    <row r="162" ht="22.5" customHeight="1">
      <c r="A162" s="4" t="s">
        <v>8</v>
      </c>
      <c r="B162" s="5">
        <v>46098.19637532407</v>
      </c>
      <c r="C162" s="6">
        <f t="shared" si="1"/>
        <v>46098.19638</v>
      </c>
      <c r="D162" s="4">
        <v>6.22</v>
      </c>
    </row>
    <row r="163" ht="22.5" customHeight="1">
      <c r="A163" s="4" t="s">
        <v>8</v>
      </c>
      <c r="B163" s="5">
        <v>46098.20459082176</v>
      </c>
      <c r="C163" s="6">
        <f t="shared" si="1"/>
        <v>46098.20459</v>
      </c>
      <c r="D163" s="4">
        <v>6.17</v>
      </c>
    </row>
    <row r="164" ht="22.5" customHeight="1">
      <c r="A164" s="4" t="s">
        <v>8</v>
      </c>
      <c r="B164" s="5">
        <v>46098.209383194444</v>
      </c>
      <c r="C164" s="6">
        <f t="shared" si="1"/>
        <v>46098.20939</v>
      </c>
      <c r="D164" s="4">
        <v>6.22</v>
      </c>
    </row>
    <row r="165" ht="22.5" customHeight="1">
      <c r="A165" s="4" t="s">
        <v>8</v>
      </c>
      <c r="B165" s="5">
        <v>46098.212123495374</v>
      </c>
      <c r="C165" s="6">
        <f t="shared" si="1"/>
        <v>46098.21212</v>
      </c>
      <c r="D165" s="4">
        <v>6.17</v>
      </c>
    </row>
    <row r="166" ht="22.5" customHeight="1">
      <c r="A166" s="4" t="s">
        <v>8</v>
      </c>
      <c r="B166" s="5">
        <v>46098.226498819444</v>
      </c>
      <c r="C166" s="6">
        <f t="shared" si="1"/>
        <v>46098.22649</v>
      </c>
      <c r="D166" s="4">
        <v>6.22</v>
      </c>
    </row>
    <row r="167" ht="22.5" customHeight="1">
      <c r="A167" s="4" t="s">
        <v>8</v>
      </c>
      <c r="B167" s="5">
        <v>46098.22718317129</v>
      </c>
      <c r="C167" s="6">
        <f t="shared" si="1"/>
        <v>46098.22719</v>
      </c>
      <c r="D167" s="4">
        <v>6.17</v>
      </c>
    </row>
    <row r="168" ht="22.5" customHeight="1">
      <c r="A168" s="4" t="s">
        <v>8</v>
      </c>
      <c r="B168" s="5">
        <v>46098.25525864583</v>
      </c>
      <c r="C168" s="6">
        <f t="shared" si="1"/>
        <v>46098.25525</v>
      </c>
      <c r="D168" s="4">
        <v>6.22</v>
      </c>
    </row>
    <row r="169" ht="22.5" customHeight="1">
      <c r="A169" s="4" t="s">
        <v>8</v>
      </c>
      <c r="B169" s="5">
        <v>46098.264150497685</v>
      </c>
      <c r="C169" s="6">
        <f t="shared" si="1"/>
        <v>46098.26416</v>
      </c>
      <c r="D169" s="4">
        <v>6.17</v>
      </c>
    </row>
    <row r="170" ht="22.5" customHeight="1">
      <c r="A170" s="4" t="s">
        <v>8</v>
      </c>
      <c r="B170" s="5">
        <v>46098.264835092596</v>
      </c>
      <c r="C170" s="6">
        <f t="shared" si="1"/>
        <v>46098.26484</v>
      </c>
      <c r="D170" s="4">
        <v>6.22</v>
      </c>
    </row>
    <row r="171" ht="22.5" customHeight="1">
      <c r="A171" s="4" t="s">
        <v>8</v>
      </c>
      <c r="B171" s="5">
        <v>46098.26551965278</v>
      </c>
      <c r="C171" s="6">
        <f t="shared" si="1"/>
        <v>46098.26552</v>
      </c>
      <c r="D171" s="4">
        <v>6.17</v>
      </c>
    </row>
    <row r="172" ht="22.5" customHeight="1">
      <c r="A172" s="4" t="s">
        <v>8</v>
      </c>
      <c r="B172" s="5">
        <v>46098.26757509259</v>
      </c>
      <c r="C172" s="6">
        <f t="shared" si="1"/>
        <v>46098.26757</v>
      </c>
      <c r="D172" s="4">
        <v>6.22</v>
      </c>
    </row>
    <row r="173" ht="22.5" customHeight="1">
      <c r="A173" s="4" t="s">
        <v>8</v>
      </c>
      <c r="B173" s="5">
        <v>46098.2737341088</v>
      </c>
      <c r="C173" s="6">
        <f t="shared" si="1"/>
        <v>46098.27374</v>
      </c>
      <c r="D173" s="4">
        <v>6.17</v>
      </c>
    </row>
    <row r="174" ht="22.5" customHeight="1">
      <c r="A174" s="4" t="s">
        <v>8</v>
      </c>
      <c r="B174" s="5">
        <v>46098.275793078705</v>
      </c>
      <c r="C174" s="6">
        <f t="shared" si="1"/>
        <v>46098.2758</v>
      </c>
      <c r="D174" s="4">
        <v>6.22</v>
      </c>
    </row>
    <row r="175" ht="22.5" customHeight="1">
      <c r="A175" s="4" t="s">
        <v>8</v>
      </c>
      <c r="B175" s="5">
        <v>46098.2874246875</v>
      </c>
      <c r="C175" s="6">
        <f t="shared" si="1"/>
        <v>46098.28742</v>
      </c>
      <c r="D175" s="4">
        <v>6.17</v>
      </c>
    </row>
    <row r="176" ht="22.5" customHeight="1">
      <c r="A176" s="4" t="s">
        <v>8</v>
      </c>
      <c r="B176" s="5">
        <v>46098.310016574076</v>
      </c>
      <c r="C176" s="6">
        <f t="shared" si="1"/>
        <v>46098.31001</v>
      </c>
      <c r="D176" s="4">
        <v>6.22</v>
      </c>
    </row>
    <row r="177" ht="22.5" customHeight="1">
      <c r="A177" s="4" t="s">
        <v>8</v>
      </c>
      <c r="B177" s="5">
        <v>46098.32918385417</v>
      </c>
      <c r="C177" s="6">
        <f t="shared" si="1"/>
        <v>46098.32918</v>
      </c>
      <c r="D177" s="4">
        <v>6.33</v>
      </c>
    </row>
    <row r="178" ht="22.5" customHeight="1">
      <c r="A178" s="4" t="s">
        <v>8</v>
      </c>
      <c r="B178" s="5">
        <v>46098.33534831018</v>
      </c>
      <c r="C178" s="6">
        <f t="shared" si="1"/>
        <v>46098.33535</v>
      </c>
      <c r="D178" s="4">
        <v>6.39</v>
      </c>
    </row>
    <row r="179" ht="22.5" customHeight="1">
      <c r="A179" s="4" t="s">
        <v>8</v>
      </c>
      <c r="B179" s="5">
        <v>46098.34835375</v>
      </c>
      <c r="C179" s="6">
        <f t="shared" si="1"/>
        <v>46098.34836</v>
      </c>
      <c r="D179" s="4">
        <v>6.33</v>
      </c>
    </row>
    <row r="180" ht="22.5" customHeight="1">
      <c r="A180" s="4" t="s">
        <v>8</v>
      </c>
      <c r="B180" s="5">
        <v>46098.35725289352</v>
      </c>
      <c r="C180" s="6">
        <f t="shared" si="1"/>
        <v>46098.35726</v>
      </c>
      <c r="D180" s="4">
        <v>6.39</v>
      </c>
    </row>
    <row r="181" ht="22.5" customHeight="1">
      <c r="A181" s="4" t="s">
        <v>8</v>
      </c>
      <c r="B181" s="5">
        <v>46098.362728761575</v>
      </c>
      <c r="C181" s="6">
        <f t="shared" si="1"/>
        <v>46098.36273</v>
      </c>
      <c r="D181" s="4">
        <v>6.33</v>
      </c>
    </row>
    <row r="182" ht="22.5" customHeight="1">
      <c r="A182" s="4" t="s">
        <v>8</v>
      </c>
      <c r="B182" s="5">
        <v>46098.36752493055</v>
      </c>
      <c r="C182" s="6">
        <f t="shared" si="1"/>
        <v>46098.36752</v>
      </c>
      <c r="D182" s="4">
        <v>6.39</v>
      </c>
    </row>
    <row r="183" ht="22.5" customHeight="1">
      <c r="A183" s="4" t="s">
        <v>8</v>
      </c>
      <c r="B183" s="5">
        <v>46098.37094650463</v>
      </c>
      <c r="C183" s="6">
        <f t="shared" si="1"/>
        <v>46098.37095</v>
      </c>
      <c r="D183" s="4">
        <v>6.33</v>
      </c>
    </row>
    <row r="184" ht="22.5" customHeight="1">
      <c r="A184" s="4" t="s">
        <v>8</v>
      </c>
      <c r="B184" s="5">
        <v>46098.37299871528</v>
      </c>
      <c r="C184" s="6">
        <f t="shared" si="1"/>
        <v>46098.373</v>
      </c>
      <c r="D184" s="4">
        <v>6.39</v>
      </c>
    </row>
    <row r="185" ht="22.5" customHeight="1">
      <c r="A185" s="4" t="s">
        <v>8</v>
      </c>
      <c r="B185" s="5">
        <v>46098.375737407405</v>
      </c>
      <c r="C185" s="6">
        <f t="shared" si="1"/>
        <v>46098.37574</v>
      </c>
      <c r="D185" s="4">
        <v>6.33</v>
      </c>
    </row>
    <row r="186" ht="22.5" customHeight="1">
      <c r="A186" s="4" t="s">
        <v>8</v>
      </c>
      <c r="B186" s="5">
        <v>46098.37642927084</v>
      </c>
      <c r="C186" s="6">
        <f t="shared" si="1"/>
        <v>46098.37642</v>
      </c>
      <c r="D186" s="4">
        <v>6.39</v>
      </c>
    </row>
    <row r="187" ht="22.5" customHeight="1">
      <c r="A187" s="4" t="s">
        <v>8</v>
      </c>
      <c r="B187" s="5">
        <v>46098.37985203704</v>
      </c>
      <c r="C187" s="6">
        <f t="shared" si="1"/>
        <v>46098.37985</v>
      </c>
      <c r="D187" s="4">
        <v>6.33</v>
      </c>
    </row>
    <row r="188" ht="22.5" customHeight="1">
      <c r="A188" s="4" t="s">
        <v>8</v>
      </c>
      <c r="B188" s="5">
        <v>46098.38258428241</v>
      </c>
      <c r="C188" s="6">
        <f t="shared" si="1"/>
        <v>46098.38258</v>
      </c>
      <c r="D188" s="4">
        <v>6.39</v>
      </c>
    </row>
    <row r="189" ht="22.5" customHeight="1">
      <c r="A189" s="4" t="s">
        <v>8</v>
      </c>
      <c r="B189" s="5">
        <v>46098.38738137732</v>
      </c>
      <c r="C189" s="6">
        <f t="shared" si="1"/>
        <v>46098.38738</v>
      </c>
      <c r="D189" s="4">
        <v>6.33</v>
      </c>
    </row>
    <row r="190" ht="22.5" customHeight="1">
      <c r="A190" s="4" t="s">
        <v>8</v>
      </c>
      <c r="B190" s="5">
        <v>46098.38806366898</v>
      </c>
      <c r="C190" s="6">
        <f t="shared" si="1"/>
        <v>46098.38807</v>
      </c>
      <c r="D190" s="4">
        <v>6.39</v>
      </c>
    </row>
    <row r="191" ht="22.5" customHeight="1">
      <c r="A191" s="4" t="s">
        <v>8</v>
      </c>
      <c r="B191" s="5">
        <v>46098.39148568287</v>
      </c>
      <c r="C191" s="6">
        <f t="shared" si="1"/>
        <v>46098.39148</v>
      </c>
      <c r="D191" s="4">
        <v>6.33</v>
      </c>
    </row>
    <row r="192" ht="22.5" customHeight="1">
      <c r="A192" s="4" t="s">
        <v>8</v>
      </c>
      <c r="B192" s="5">
        <v>46098.41202758102</v>
      </c>
      <c r="C192" s="6">
        <f t="shared" si="1"/>
        <v>46098.41203</v>
      </c>
      <c r="D192" s="4">
        <v>6.39</v>
      </c>
    </row>
    <row r="193" ht="22.5" customHeight="1">
      <c r="A193" s="4" t="s">
        <v>8</v>
      </c>
      <c r="B193" s="5">
        <v>46098.42914799768</v>
      </c>
      <c r="C193" s="6">
        <f t="shared" si="1"/>
        <v>46098.42914</v>
      </c>
      <c r="D193" s="4">
        <v>6.33</v>
      </c>
    </row>
    <row r="194" ht="22.5" customHeight="1">
      <c r="A194" s="4" t="s">
        <v>8</v>
      </c>
      <c r="B194" s="5">
        <v>46098.42983111111</v>
      </c>
      <c r="C194" s="6">
        <f t="shared" si="1"/>
        <v>46098.42983</v>
      </c>
      <c r="D194" s="4">
        <v>6.39</v>
      </c>
    </row>
    <row r="195" ht="22.5" customHeight="1">
      <c r="A195" s="4" t="s">
        <v>8</v>
      </c>
      <c r="B195" s="5">
        <v>46098.43736549769</v>
      </c>
      <c r="C195" s="6">
        <f t="shared" si="1"/>
        <v>46098.43736</v>
      </c>
      <c r="D195" s="4">
        <v>6.33</v>
      </c>
    </row>
    <row r="196" ht="22.5" customHeight="1">
      <c r="A196" s="4" t="s">
        <v>8</v>
      </c>
      <c r="B196" s="5">
        <v>46098.43804984954</v>
      </c>
      <c r="C196" s="6">
        <f t="shared" si="1"/>
        <v>46098.43806</v>
      </c>
      <c r="D196" s="4">
        <v>6.39</v>
      </c>
    </row>
    <row r="197" ht="22.5" customHeight="1">
      <c r="A197" s="4" t="s">
        <v>8</v>
      </c>
      <c r="B197" s="5">
        <v>46098.51475420139</v>
      </c>
      <c r="C197" s="6">
        <f t="shared" si="1"/>
        <v>46098.51476</v>
      </c>
      <c r="D197" s="4">
        <v>5.32</v>
      </c>
    </row>
    <row r="198" ht="22.5" customHeight="1">
      <c r="A198" s="4" t="s">
        <v>8</v>
      </c>
      <c r="B198" s="5">
        <v>46098.52228886574</v>
      </c>
      <c r="C198" s="6">
        <f t="shared" si="1"/>
        <v>46098.52229</v>
      </c>
      <c r="D198" s="4">
        <v>5.4</v>
      </c>
    </row>
    <row r="199" ht="22.5" customHeight="1">
      <c r="A199" s="4" t="s">
        <v>8</v>
      </c>
      <c r="B199" s="5">
        <v>46098.524343819445</v>
      </c>
      <c r="C199" s="6">
        <f t="shared" si="1"/>
        <v>46098.52434</v>
      </c>
      <c r="D199" s="4">
        <v>5.32</v>
      </c>
    </row>
    <row r="200" ht="22.5" customHeight="1">
      <c r="A200" s="4" t="s">
        <v>8</v>
      </c>
      <c r="B200" s="5">
        <v>46098.52503053241</v>
      </c>
      <c r="C200" s="6">
        <f t="shared" si="1"/>
        <v>46098.52503</v>
      </c>
      <c r="D200" s="4">
        <v>5.4</v>
      </c>
    </row>
    <row r="201" ht="22.5" customHeight="1">
      <c r="A201" s="4" t="s">
        <v>8</v>
      </c>
      <c r="B201" s="5">
        <v>46098.58462916667</v>
      </c>
      <c r="C201" s="6">
        <f t="shared" si="1"/>
        <v>46098.58463</v>
      </c>
      <c r="D201" s="4">
        <v>5.45</v>
      </c>
    </row>
    <row r="202" ht="22.5" customHeight="1">
      <c r="A202" s="4" t="s">
        <v>8</v>
      </c>
      <c r="B202" s="5">
        <v>46098.58736988426</v>
      </c>
      <c r="C202" s="6">
        <f t="shared" si="1"/>
        <v>46098.58737</v>
      </c>
      <c r="D202" s="4">
        <v>5.5</v>
      </c>
    </row>
    <row r="203" ht="22.5" customHeight="1">
      <c r="A203" s="4" t="s">
        <v>8</v>
      </c>
      <c r="B203" s="5">
        <v>46098.590108055556</v>
      </c>
      <c r="C203" s="6">
        <f t="shared" si="1"/>
        <v>46098.5901</v>
      </c>
      <c r="D203" s="4">
        <v>5.45</v>
      </c>
    </row>
    <row r="204" ht="22.5" customHeight="1">
      <c r="A204" s="4" t="s">
        <v>8</v>
      </c>
      <c r="B204" s="5">
        <v>46098.59421861111</v>
      </c>
      <c r="C204" s="6">
        <f t="shared" si="1"/>
        <v>46098.59421</v>
      </c>
      <c r="D204" s="4">
        <v>5.5</v>
      </c>
    </row>
    <row r="205" ht="22.5" customHeight="1">
      <c r="A205" s="4" t="s">
        <v>8</v>
      </c>
      <c r="B205" s="5">
        <v>46098.60929047454</v>
      </c>
      <c r="C205" s="6">
        <f t="shared" si="1"/>
        <v>46098.60929</v>
      </c>
      <c r="D205" s="4">
        <v>5.57</v>
      </c>
    </row>
    <row r="206" ht="22.5" customHeight="1">
      <c r="A206" s="4" t="s">
        <v>8</v>
      </c>
      <c r="B206" s="5">
        <v>46098.62778974537</v>
      </c>
      <c r="C206" s="6">
        <f t="shared" si="1"/>
        <v>46098.62779</v>
      </c>
      <c r="D206" s="4">
        <v>5.5</v>
      </c>
    </row>
    <row r="207" ht="22.5" customHeight="1">
      <c r="A207" s="4" t="s">
        <v>8</v>
      </c>
      <c r="B207" s="5">
        <v>46098.63121359954</v>
      </c>
      <c r="C207" s="6">
        <f t="shared" si="1"/>
        <v>46098.63122</v>
      </c>
      <c r="D207" s="4">
        <v>5.57</v>
      </c>
    </row>
    <row r="208" ht="22.5" customHeight="1">
      <c r="A208" s="4" t="s">
        <v>8</v>
      </c>
      <c r="B208" s="5">
        <v>46098.63258556713</v>
      </c>
      <c r="C208" s="6">
        <f t="shared" si="1"/>
        <v>46098.63258</v>
      </c>
      <c r="D208" s="4">
        <v>5.5</v>
      </c>
    </row>
    <row r="209" ht="22.5" customHeight="1">
      <c r="A209" s="4" t="s">
        <v>8</v>
      </c>
      <c r="B209" s="5">
        <v>46098.635325243056</v>
      </c>
      <c r="C209" s="6">
        <f t="shared" si="1"/>
        <v>46098.63532</v>
      </c>
      <c r="D209" s="4">
        <v>5.57</v>
      </c>
    </row>
    <row r="210" ht="22.5" customHeight="1">
      <c r="A210" s="4" t="s">
        <v>8</v>
      </c>
      <c r="B210" s="5">
        <v>46098.67711708333</v>
      </c>
      <c r="C210" s="6">
        <f t="shared" si="1"/>
        <v>46098.67712</v>
      </c>
      <c r="D210" s="4">
        <v>5.8</v>
      </c>
    </row>
    <row r="211" ht="22.5" customHeight="1">
      <c r="A211" s="4" t="s">
        <v>8</v>
      </c>
      <c r="B211" s="5">
        <v>46098.68945210648</v>
      </c>
      <c r="C211" s="6">
        <f t="shared" si="1"/>
        <v>46098.68946</v>
      </c>
      <c r="D211" s="4">
        <v>5.92</v>
      </c>
    </row>
    <row r="212" ht="22.5" customHeight="1">
      <c r="A212" s="4" t="s">
        <v>8</v>
      </c>
      <c r="B212" s="5">
        <v>46098.69972739583</v>
      </c>
      <c r="C212" s="6">
        <f t="shared" si="1"/>
        <v>46098.69972</v>
      </c>
      <c r="D212" s="4">
        <v>6.0</v>
      </c>
    </row>
    <row r="213" ht="22.5" customHeight="1">
      <c r="A213" s="4" t="s">
        <v>8</v>
      </c>
      <c r="B213" s="5">
        <v>46098.726446388886</v>
      </c>
      <c r="C213" s="6">
        <f t="shared" si="1"/>
        <v>46098.72645</v>
      </c>
      <c r="D213" s="4">
        <v>6.1</v>
      </c>
    </row>
    <row r="214" ht="22.5" customHeight="1">
      <c r="A214" s="4" t="s">
        <v>8</v>
      </c>
      <c r="B214" s="5">
        <v>46098.74015140046</v>
      </c>
      <c r="C214" s="6">
        <f t="shared" si="1"/>
        <v>46098.74015</v>
      </c>
      <c r="D214" s="4">
        <v>6.17</v>
      </c>
    </row>
    <row r="215" ht="22.5" customHeight="1">
      <c r="A215" s="4" t="s">
        <v>8</v>
      </c>
      <c r="B215" s="5">
        <v>46098.78193412037</v>
      </c>
      <c r="C215" s="6">
        <f t="shared" si="1"/>
        <v>46098.78193</v>
      </c>
      <c r="D215" s="4">
        <v>6.27</v>
      </c>
    </row>
    <row r="216" ht="22.5" customHeight="1">
      <c r="A216" s="4" t="s">
        <v>8</v>
      </c>
      <c r="B216" s="5">
        <v>46098.78262144676</v>
      </c>
      <c r="C216" s="6">
        <f t="shared" si="1"/>
        <v>46098.78262</v>
      </c>
      <c r="D216" s="4">
        <v>6.22</v>
      </c>
    </row>
    <row r="217" ht="22.5" customHeight="1">
      <c r="A217" s="4" t="s">
        <v>8</v>
      </c>
      <c r="B217" s="5">
        <v>46098.78467386574</v>
      </c>
      <c r="C217" s="6">
        <f t="shared" si="1"/>
        <v>46098.78468</v>
      </c>
      <c r="D217" s="4">
        <v>6.39</v>
      </c>
    </row>
    <row r="218" ht="22.5" customHeight="1">
      <c r="A218" s="4" t="s">
        <v>8</v>
      </c>
      <c r="B218" s="5">
        <v>46098.79010349537</v>
      </c>
      <c r="C218" s="6">
        <f t="shared" si="1"/>
        <v>46098.7901</v>
      </c>
      <c r="D218" s="4" t="s">
        <v>9</v>
      </c>
    </row>
    <row r="219" ht="22.5" customHeight="1">
      <c r="A219" s="4" t="s">
        <v>8</v>
      </c>
      <c r="B219" s="5">
        <v>46098.791747511576</v>
      </c>
      <c r="C219" s="6">
        <f t="shared" si="1"/>
        <v>46098.79175</v>
      </c>
      <c r="D219" s="4">
        <v>6.56</v>
      </c>
    </row>
    <row r="220" ht="22.5" customHeight="1">
      <c r="A220" s="4" t="s">
        <v>8</v>
      </c>
      <c r="B220" s="5">
        <v>46098.82258211805</v>
      </c>
      <c r="C220" s="6">
        <f t="shared" si="1"/>
        <v>46098.82258</v>
      </c>
      <c r="D220" s="4">
        <v>7.56</v>
      </c>
    </row>
    <row r="221" ht="22.5" customHeight="1">
      <c r="A221" s="4" t="s">
        <v>8</v>
      </c>
      <c r="B221" s="5">
        <v>46098.82394299768</v>
      </c>
      <c r="C221" s="6">
        <f t="shared" si="1"/>
        <v>46098.82395</v>
      </c>
      <c r="D221" s="4">
        <v>7.89</v>
      </c>
    </row>
    <row r="222" ht="22.5" customHeight="1">
      <c r="A222" s="4" t="s">
        <v>8</v>
      </c>
      <c r="B222" s="5">
        <v>46098.82462712963</v>
      </c>
      <c r="C222" s="6">
        <f t="shared" si="1"/>
        <v>46098.82463</v>
      </c>
      <c r="D222" s="4">
        <v>7.73</v>
      </c>
    </row>
    <row r="223" ht="22.5" customHeight="1">
      <c r="A223" s="4" t="s">
        <v>8</v>
      </c>
      <c r="B223" s="5">
        <v>46098.82599716435</v>
      </c>
      <c r="C223" s="6">
        <f t="shared" si="1"/>
        <v>46098.826</v>
      </c>
      <c r="D223" s="4">
        <v>7.95</v>
      </c>
    </row>
    <row r="224" ht="22.5" customHeight="1">
      <c r="A224" s="4" t="s">
        <v>8</v>
      </c>
      <c r="B224" s="5">
        <v>46098.83490015046</v>
      </c>
      <c r="C224" s="6">
        <f t="shared" si="1"/>
        <v>46098.8349</v>
      </c>
      <c r="D224" s="4">
        <v>7.89</v>
      </c>
    </row>
    <row r="225" ht="22.5" customHeight="1">
      <c r="A225" s="4" t="s">
        <v>8</v>
      </c>
      <c r="B225" s="5">
        <v>46098.84106518519</v>
      </c>
      <c r="C225" s="6">
        <f t="shared" si="1"/>
        <v>46098.84106</v>
      </c>
      <c r="D225" s="4">
        <v>7.95</v>
      </c>
    </row>
    <row r="226" ht="22.5" customHeight="1">
      <c r="A226" s="4" t="s">
        <v>8</v>
      </c>
      <c r="B226" s="5">
        <v>46098.84175280092</v>
      </c>
      <c r="C226" s="6">
        <f t="shared" si="1"/>
        <v>46098.84175</v>
      </c>
      <c r="D226" s="4">
        <v>7.89</v>
      </c>
    </row>
    <row r="227" ht="22.5" customHeight="1">
      <c r="A227" s="4" t="s">
        <v>8</v>
      </c>
      <c r="B227" s="5">
        <v>46098.84312082176</v>
      </c>
      <c r="C227" s="6">
        <f t="shared" si="1"/>
        <v>46098.84313</v>
      </c>
      <c r="D227" s="4">
        <v>7.14</v>
      </c>
    </row>
    <row r="228" ht="22.5" customHeight="1">
      <c r="A228" s="4" t="s">
        <v>8</v>
      </c>
      <c r="B228" s="5">
        <v>46098.847229479165</v>
      </c>
      <c r="C228" s="6">
        <f t="shared" si="1"/>
        <v>46098.84723</v>
      </c>
      <c r="D228" s="4">
        <v>7.1</v>
      </c>
    </row>
    <row r="229" ht="22.5" customHeight="1">
      <c r="A229" s="4" t="s">
        <v>8</v>
      </c>
      <c r="B229" s="5">
        <v>46098.854761539355</v>
      </c>
      <c r="C229" s="6">
        <f t="shared" si="1"/>
        <v>46098.85476</v>
      </c>
      <c r="D229" s="4">
        <v>7.03</v>
      </c>
    </row>
    <row r="230" ht="22.5" customHeight="1">
      <c r="A230" s="4" t="s">
        <v>8</v>
      </c>
      <c r="B230" s="5">
        <v>46098.856818113425</v>
      </c>
      <c r="C230" s="6">
        <f t="shared" si="1"/>
        <v>46098.85682</v>
      </c>
      <c r="D230" s="4">
        <v>7.1</v>
      </c>
    </row>
    <row r="231" ht="22.5" customHeight="1">
      <c r="A231" s="4" t="s">
        <v>8</v>
      </c>
      <c r="B231" s="5">
        <v>46098.857503761574</v>
      </c>
      <c r="C231" s="6">
        <f t="shared" si="1"/>
        <v>46098.8575</v>
      </c>
      <c r="D231" s="4">
        <v>7.03</v>
      </c>
    </row>
    <row r="232" ht="22.5" customHeight="1">
      <c r="A232" s="4" t="s">
        <v>8</v>
      </c>
      <c r="B232" s="5">
        <v>46098.858192314816</v>
      </c>
      <c r="C232" s="6">
        <f t="shared" si="1"/>
        <v>46098.85819</v>
      </c>
      <c r="D232" s="4">
        <v>7.1</v>
      </c>
    </row>
    <row r="233" ht="22.5" customHeight="1">
      <c r="A233" s="4" t="s">
        <v>8</v>
      </c>
      <c r="B233" s="5">
        <v>46098.85887056713</v>
      </c>
      <c r="C233" s="6">
        <f t="shared" si="1"/>
        <v>46098.85887</v>
      </c>
      <c r="D233" s="4">
        <v>7.03</v>
      </c>
    </row>
    <row r="234" ht="22.5" customHeight="1">
      <c r="A234" s="4" t="s">
        <v>8</v>
      </c>
      <c r="B234" s="5">
        <v>46098.8670899537</v>
      </c>
      <c r="C234" s="6">
        <f t="shared" si="1"/>
        <v>46098.86709</v>
      </c>
      <c r="D234" s="4">
        <v>7.14</v>
      </c>
    </row>
    <row r="235" ht="22.5" customHeight="1">
      <c r="A235" s="4" t="s">
        <v>8</v>
      </c>
      <c r="B235" s="5">
        <v>46098.86982854167</v>
      </c>
      <c r="C235" s="6">
        <f t="shared" si="1"/>
        <v>46098.86983</v>
      </c>
      <c r="D235" s="4">
        <v>7.1</v>
      </c>
    </row>
    <row r="236" ht="22.5" customHeight="1">
      <c r="A236" s="4" t="s">
        <v>8</v>
      </c>
      <c r="B236" s="5">
        <v>46098.87462259259</v>
      </c>
      <c r="C236" s="6">
        <f t="shared" si="1"/>
        <v>46098.87462</v>
      </c>
      <c r="D236" s="4">
        <v>7.14</v>
      </c>
    </row>
    <row r="237" ht="22.5" customHeight="1">
      <c r="A237" s="4" t="s">
        <v>8</v>
      </c>
      <c r="B237" s="5">
        <v>46098.87736280093</v>
      </c>
      <c r="C237" s="6">
        <f t="shared" si="1"/>
        <v>46098.87736</v>
      </c>
      <c r="D237" s="4">
        <v>7.1</v>
      </c>
    </row>
    <row r="238" ht="22.5" customHeight="1">
      <c r="A238" s="4" t="s">
        <v>8</v>
      </c>
      <c r="B238" s="5">
        <v>46098.88147194444</v>
      </c>
      <c r="C238" s="6">
        <f t="shared" si="1"/>
        <v>46098.88147</v>
      </c>
      <c r="D238" s="4">
        <v>7.14</v>
      </c>
    </row>
    <row r="239" ht="22.5" customHeight="1">
      <c r="A239" s="4" t="s">
        <v>8</v>
      </c>
      <c r="B239" s="5">
        <v>46098.935576875</v>
      </c>
      <c r="C239" s="6">
        <f t="shared" si="1"/>
        <v>46098.93558</v>
      </c>
      <c r="D239" s="4">
        <v>7.2</v>
      </c>
    </row>
    <row r="240" ht="22.5" customHeight="1">
      <c r="A240" s="4" t="s">
        <v>8</v>
      </c>
      <c r="B240" s="5">
        <v>46098.93626087963</v>
      </c>
      <c r="C240" s="6">
        <f t="shared" si="1"/>
        <v>46098.93626</v>
      </c>
      <c r="D240" s="4">
        <v>7.14</v>
      </c>
    </row>
    <row r="241" ht="22.5" customHeight="1">
      <c r="A241" s="4" t="s">
        <v>8</v>
      </c>
      <c r="B241" s="5">
        <v>46098.936608055556</v>
      </c>
      <c r="C241" s="8">
        <f t="shared" si="1"/>
        <v>46098.93661</v>
      </c>
    </row>
    <row r="242" ht="22.5" customHeight="1">
      <c r="A242" s="4" t="s">
        <v>8</v>
      </c>
      <c r="B242" s="5">
        <v>46098.94837587963</v>
      </c>
      <c r="C242" s="6">
        <f t="shared" si="1"/>
        <v>46098.94838</v>
      </c>
      <c r="D242" s="4">
        <v>6.98</v>
      </c>
    </row>
    <row r="243" ht="22.5" customHeight="1">
      <c r="A243" s="4" t="s">
        <v>8</v>
      </c>
      <c r="B243" s="5">
        <v>46099.027738680554</v>
      </c>
      <c r="C243" s="6">
        <f t="shared" si="1"/>
        <v>46099.02774</v>
      </c>
      <c r="D243" s="4">
        <v>7.03</v>
      </c>
    </row>
    <row r="244" ht="22.5" customHeight="1">
      <c r="A244" s="4" t="s">
        <v>8</v>
      </c>
      <c r="B244" s="5">
        <v>46099.02842340278</v>
      </c>
      <c r="C244" s="6">
        <f t="shared" si="1"/>
        <v>46099.02843</v>
      </c>
      <c r="D244" s="4">
        <v>6.98</v>
      </c>
    </row>
    <row r="245" ht="22.5" customHeight="1">
      <c r="A245" s="4" t="s">
        <v>8</v>
      </c>
      <c r="B245" s="5">
        <v>46099.034591157404</v>
      </c>
      <c r="C245" s="6">
        <f t="shared" si="1"/>
        <v>46099.03459</v>
      </c>
      <c r="D245" s="4">
        <v>7.03</v>
      </c>
    </row>
    <row r="246" ht="22.5" customHeight="1">
      <c r="A246" s="4" t="s">
        <v>8</v>
      </c>
      <c r="B246" s="5">
        <v>46099.03527267361</v>
      </c>
      <c r="C246" s="6">
        <f t="shared" si="1"/>
        <v>46099.03528</v>
      </c>
      <c r="D246" s="4">
        <v>6.98</v>
      </c>
    </row>
    <row r="247" ht="22.5" customHeight="1">
      <c r="A247" s="4" t="s">
        <v>8</v>
      </c>
      <c r="B247" s="5">
        <v>46099.036641597224</v>
      </c>
      <c r="C247" s="6">
        <f t="shared" si="1"/>
        <v>46099.03664</v>
      </c>
      <c r="D247" s="4">
        <v>7.03</v>
      </c>
    </row>
    <row r="248" ht="22.5" customHeight="1">
      <c r="A248" s="4" t="s">
        <v>8</v>
      </c>
      <c r="B248" s="5">
        <v>46099.0373268287</v>
      </c>
      <c r="C248" s="6">
        <f t="shared" si="1"/>
        <v>46099.03733</v>
      </c>
      <c r="D248" s="4">
        <v>6.98</v>
      </c>
    </row>
    <row r="249" ht="22.5" customHeight="1">
      <c r="A249" s="4" t="s">
        <v>8</v>
      </c>
      <c r="B249" s="5">
        <v>46099.042807025464</v>
      </c>
      <c r="C249" s="6">
        <f t="shared" si="1"/>
        <v>46099.04281</v>
      </c>
      <c r="D249" s="4">
        <v>7.03</v>
      </c>
    </row>
    <row r="250" ht="22.5" customHeight="1">
      <c r="A250" s="4" t="s">
        <v>8</v>
      </c>
      <c r="B250" s="5">
        <v>46099.04349109954</v>
      </c>
      <c r="C250" s="6">
        <f t="shared" si="1"/>
        <v>46099.0435</v>
      </c>
      <c r="D250" s="4">
        <v>6.98</v>
      </c>
    </row>
    <row r="251" ht="22.5" customHeight="1">
      <c r="A251" s="4" t="s">
        <v>8</v>
      </c>
      <c r="B251" s="5">
        <v>46099.044176944444</v>
      </c>
      <c r="C251" s="6">
        <f t="shared" si="1"/>
        <v>46099.04418</v>
      </c>
      <c r="D251" s="4">
        <v>7.03</v>
      </c>
    </row>
    <row r="252" ht="22.5" customHeight="1">
      <c r="A252" s="4" t="s">
        <v>8</v>
      </c>
      <c r="B252" s="5">
        <v>46099.04486469908</v>
      </c>
      <c r="C252" s="6">
        <f t="shared" si="1"/>
        <v>46099.04486</v>
      </c>
      <c r="D252" s="4">
        <v>6.98</v>
      </c>
    </row>
    <row r="253" ht="22.5" customHeight="1">
      <c r="A253" s="4" t="s">
        <v>8</v>
      </c>
      <c r="B253" s="5">
        <v>46099.048968703704</v>
      </c>
      <c r="C253" s="6">
        <f t="shared" si="1"/>
        <v>46099.04897</v>
      </c>
      <c r="D253" s="4">
        <v>7.03</v>
      </c>
    </row>
    <row r="254" ht="22.5" customHeight="1">
      <c r="A254" s="4" t="s">
        <v>8</v>
      </c>
      <c r="B254" s="5">
        <v>46099.0496525</v>
      </c>
      <c r="C254" s="6">
        <f t="shared" si="1"/>
        <v>46099.04965</v>
      </c>
      <c r="D254" s="4">
        <v>6.98</v>
      </c>
    </row>
    <row r="255" ht="22.5" customHeight="1">
      <c r="A255" s="4" t="s">
        <v>8</v>
      </c>
      <c r="B255" s="5">
        <v>46099.05033798611</v>
      </c>
      <c r="C255" s="6">
        <f t="shared" si="1"/>
        <v>46099.05034</v>
      </c>
      <c r="D255" s="4">
        <v>7.03</v>
      </c>
    </row>
    <row r="256" ht="22.5" customHeight="1">
      <c r="A256" s="4" t="s">
        <v>8</v>
      </c>
      <c r="B256" s="5">
        <v>46099.05170761574</v>
      </c>
      <c r="C256" s="6">
        <f t="shared" si="1"/>
        <v>46099.05171</v>
      </c>
      <c r="D256" s="4">
        <v>6.98</v>
      </c>
    </row>
    <row r="257" ht="22.5" customHeight="1">
      <c r="A257" s="4" t="s">
        <v>8</v>
      </c>
      <c r="B257" s="5">
        <v>46099.053077881945</v>
      </c>
      <c r="C257" s="6">
        <f t="shared" si="1"/>
        <v>46099.05308</v>
      </c>
      <c r="D257" s="4">
        <v>7.03</v>
      </c>
    </row>
    <row r="258" ht="22.5" customHeight="1">
      <c r="A258" s="4" t="s">
        <v>8</v>
      </c>
      <c r="B258" s="5">
        <v>46099.05444667824</v>
      </c>
      <c r="C258" s="6">
        <f t="shared" si="1"/>
        <v>46099.05444</v>
      </c>
      <c r="D258" s="4">
        <v>6.98</v>
      </c>
    </row>
    <row r="259" ht="22.5" customHeight="1">
      <c r="A259" s="4" t="s">
        <v>8</v>
      </c>
      <c r="B259" s="5">
        <v>46099.05582625</v>
      </c>
      <c r="C259" s="6">
        <f t="shared" si="1"/>
        <v>46099.05582</v>
      </c>
      <c r="D259" s="4">
        <v>7.03</v>
      </c>
    </row>
    <row r="260" ht="22.5" customHeight="1">
      <c r="A260" s="4" t="s">
        <v>8</v>
      </c>
      <c r="B260" s="5">
        <v>46099.05650168982</v>
      </c>
      <c r="C260" s="6">
        <f t="shared" si="1"/>
        <v>46099.0565</v>
      </c>
      <c r="D260" s="4">
        <v>6.98</v>
      </c>
    </row>
    <row r="261" ht="22.5" customHeight="1">
      <c r="A261" s="4" t="s">
        <v>8</v>
      </c>
      <c r="B261" s="5">
        <v>46099.06061211805</v>
      </c>
      <c r="C261" s="6">
        <f t="shared" si="1"/>
        <v>46099.06061</v>
      </c>
      <c r="D261" s="4">
        <v>7.03</v>
      </c>
    </row>
    <row r="262" ht="22.5" customHeight="1">
      <c r="A262" s="4" t="s">
        <v>8</v>
      </c>
      <c r="B262" s="5">
        <v>46099.06608875</v>
      </c>
      <c r="C262" s="6">
        <f t="shared" si="1"/>
        <v>46099.06609</v>
      </c>
      <c r="D262" s="4">
        <v>6.98</v>
      </c>
    </row>
    <row r="263" ht="22.5" customHeight="1">
      <c r="A263" s="4" t="s">
        <v>8</v>
      </c>
      <c r="B263" s="5">
        <v>46099.067458854166</v>
      </c>
      <c r="C263" s="6">
        <f t="shared" si="1"/>
        <v>46099.06745</v>
      </c>
      <c r="D263" s="4">
        <v>7.03</v>
      </c>
    </row>
    <row r="264" ht="22.5" customHeight="1">
      <c r="A264" s="4" t="s">
        <v>8</v>
      </c>
      <c r="B264" s="5">
        <v>46099.08047479167</v>
      </c>
      <c r="C264" s="6">
        <f t="shared" si="1"/>
        <v>46099.08047</v>
      </c>
      <c r="D264" s="4">
        <v>7.1</v>
      </c>
    </row>
    <row r="265" ht="22.5" customHeight="1">
      <c r="A265" s="4" t="s">
        <v>8</v>
      </c>
      <c r="B265" s="5">
        <v>46099.08115247685</v>
      </c>
      <c r="C265" s="6">
        <f t="shared" si="1"/>
        <v>46099.08116</v>
      </c>
      <c r="D265" s="4">
        <v>7.03</v>
      </c>
    </row>
    <row r="266" ht="22.5" customHeight="1">
      <c r="A266" s="4" t="s">
        <v>8</v>
      </c>
      <c r="B266" s="5">
        <v>46099.08184349537</v>
      </c>
      <c r="C266" s="6">
        <f t="shared" si="1"/>
        <v>46099.08184</v>
      </c>
      <c r="D266" s="4">
        <v>7.1</v>
      </c>
    </row>
    <row r="267" ht="22.5" customHeight="1">
      <c r="A267" s="4" t="s">
        <v>8</v>
      </c>
      <c r="B267" s="5">
        <v>46099.082522557874</v>
      </c>
      <c r="C267" s="6">
        <f t="shared" si="1"/>
        <v>46099.08252</v>
      </c>
      <c r="D267" s="4">
        <v>7.03</v>
      </c>
    </row>
    <row r="268" ht="22.5" customHeight="1">
      <c r="A268" s="4" t="s">
        <v>8</v>
      </c>
      <c r="B268" s="5">
        <v>46099.08457767361</v>
      </c>
      <c r="C268" s="6">
        <f t="shared" si="1"/>
        <v>46099.08458</v>
      </c>
      <c r="D268" s="4">
        <v>7.1</v>
      </c>
    </row>
    <row r="269" ht="22.5" customHeight="1">
      <c r="A269" s="4" t="s">
        <v>8</v>
      </c>
      <c r="B269" s="5">
        <v>46099.085260844906</v>
      </c>
      <c r="C269" s="6">
        <f t="shared" si="1"/>
        <v>46099.08527</v>
      </c>
      <c r="D269" s="4">
        <v>7.03</v>
      </c>
    </row>
    <row r="270" ht="22.5" customHeight="1">
      <c r="A270" s="4" t="s">
        <v>8</v>
      </c>
      <c r="B270" s="5">
        <v>46099.087315509256</v>
      </c>
      <c r="C270" s="6">
        <f t="shared" si="1"/>
        <v>46099.08731</v>
      </c>
      <c r="D270" s="4">
        <v>7.1</v>
      </c>
    </row>
    <row r="271" ht="22.5" customHeight="1">
      <c r="A271" s="4" t="s">
        <v>8</v>
      </c>
      <c r="B271" s="5">
        <v>46099.088000613425</v>
      </c>
      <c r="C271" s="6">
        <f t="shared" si="1"/>
        <v>46099.088</v>
      </c>
      <c r="D271" s="4">
        <v>7.03</v>
      </c>
    </row>
    <row r="272" ht="22.5" customHeight="1">
      <c r="A272" s="4" t="s">
        <v>8</v>
      </c>
      <c r="B272" s="5">
        <v>46099.09142570602</v>
      </c>
      <c r="C272" s="6">
        <f t="shared" si="1"/>
        <v>46099.09142</v>
      </c>
      <c r="D272" s="4">
        <v>7.1</v>
      </c>
    </row>
    <row r="273" ht="22.5" customHeight="1">
      <c r="A273" s="4" t="s">
        <v>8</v>
      </c>
      <c r="B273" s="5">
        <v>46099.09210857639</v>
      </c>
      <c r="C273" s="6">
        <f t="shared" si="1"/>
        <v>46099.09211</v>
      </c>
      <c r="D273" s="4">
        <v>7.03</v>
      </c>
    </row>
    <row r="274" ht="22.5" customHeight="1">
      <c r="A274" s="4" t="s">
        <v>8</v>
      </c>
      <c r="B274" s="5">
        <v>46099.09416241898</v>
      </c>
      <c r="C274" s="6">
        <f t="shared" si="1"/>
        <v>46099.09417</v>
      </c>
      <c r="D274" s="4">
        <v>7.1</v>
      </c>
    </row>
    <row r="275" ht="22.5" customHeight="1">
      <c r="A275" s="4" t="s">
        <v>8</v>
      </c>
      <c r="B275" s="5">
        <v>46099.09484736111</v>
      </c>
      <c r="C275" s="6">
        <f t="shared" si="1"/>
        <v>46099.09485</v>
      </c>
      <c r="D275" s="4">
        <v>7.03</v>
      </c>
    </row>
    <row r="276" ht="22.5" customHeight="1">
      <c r="A276" s="4" t="s">
        <v>8</v>
      </c>
      <c r="B276" s="5">
        <v>46099.09964143518</v>
      </c>
      <c r="C276" s="6">
        <f t="shared" si="1"/>
        <v>46099.09964</v>
      </c>
      <c r="D276" s="4">
        <v>7.1</v>
      </c>
    </row>
    <row r="277" ht="22.5" customHeight="1">
      <c r="A277" s="4" t="s">
        <v>8</v>
      </c>
      <c r="B277" s="5">
        <v>46099.10032651621</v>
      </c>
      <c r="C277" s="6">
        <f t="shared" si="1"/>
        <v>46099.10032</v>
      </c>
      <c r="D277" s="4">
        <v>7.03</v>
      </c>
    </row>
    <row r="278" ht="22.5" customHeight="1">
      <c r="A278" s="4" t="s">
        <v>8</v>
      </c>
      <c r="B278" s="5">
        <v>46099.10101090278</v>
      </c>
      <c r="C278" s="6">
        <f t="shared" si="1"/>
        <v>46099.10101</v>
      </c>
      <c r="D278" s="4">
        <v>7.1</v>
      </c>
    </row>
    <row r="279" ht="22.5" customHeight="1">
      <c r="A279" s="4" t="s">
        <v>8</v>
      </c>
      <c r="B279" s="5">
        <v>46099.10169537037</v>
      </c>
      <c r="C279" s="6">
        <f t="shared" si="1"/>
        <v>46099.10169</v>
      </c>
      <c r="D279" s="4">
        <v>7.03</v>
      </c>
    </row>
    <row r="280" ht="22.5" customHeight="1">
      <c r="A280" s="4" t="s">
        <v>8</v>
      </c>
      <c r="B280" s="5">
        <v>46099.10237927084</v>
      </c>
      <c r="C280" s="6">
        <f t="shared" si="1"/>
        <v>46099.10238</v>
      </c>
      <c r="D280" s="4">
        <v>7.1</v>
      </c>
    </row>
    <row r="281" ht="22.5" customHeight="1">
      <c r="A281" s="4" t="s">
        <v>8</v>
      </c>
      <c r="B281" s="5">
        <v>46099.10306559028</v>
      </c>
      <c r="C281" s="6">
        <f t="shared" si="1"/>
        <v>46099.10307</v>
      </c>
      <c r="D281" s="4">
        <v>7.03</v>
      </c>
    </row>
    <row r="282" ht="22.5" customHeight="1">
      <c r="A282" s="4" t="s">
        <v>8</v>
      </c>
      <c r="B282" s="5">
        <v>46099.10511938657</v>
      </c>
      <c r="C282" s="6">
        <f t="shared" si="1"/>
        <v>46099.10512</v>
      </c>
      <c r="D282" s="4">
        <v>7.1</v>
      </c>
    </row>
    <row r="283" ht="22.5" customHeight="1">
      <c r="A283" s="4" t="s">
        <v>8</v>
      </c>
      <c r="B283" s="5">
        <v>46099.111966666664</v>
      </c>
      <c r="C283" s="6">
        <f t="shared" si="1"/>
        <v>46099.11197</v>
      </c>
      <c r="D283" s="4">
        <v>7.03</v>
      </c>
    </row>
    <row r="284" ht="22.5" customHeight="1">
      <c r="A284" s="4" t="s">
        <v>8</v>
      </c>
      <c r="B284" s="5">
        <v>46099.112656087964</v>
      </c>
      <c r="C284" s="6">
        <f t="shared" si="1"/>
        <v>46099.11265</v>
      </c>
      <c r="D284" s="4">
        <v>7.1</v>
      </c>
    </row>
    <row r="285" ht="22.5" customHeight="1">
      <c r="A285" s="4" t="s">
        <v>8</v>
      </c>
      <c r="B285" s="5">
        <v>46099.113333125</v>
      </c>
      <c r="C285" s="6">
        <f t="shared" si="1"/>
        <v>46099.11333</v>
      </c>
      <c r="D285" s="4">
        <v>7.03</v>
      </c>
    </row>
    <row r="286" ht="22.5" customHeight="1">
      <c r="A286" s="4" t="s">
        <v>8</v>
      </c>
      <c r="B286" s="5">
        <v>46099.114033275466</v>
      </c>
      <c r="C286" s="6">
        <f t="shared" si="1"/>
        <v>46099.11403</v>
      </c>
      <c r="D286" s="4">
        <v>7.14</v>
      </c>
    </row>
    <row r="287" ht="22.5" customHeight="1">
      <c r="A287" s="4" t="s">
        <v>8</v>
      </c>
      <c r="B287" s="5">
        <v>46099.11470288195</v>
      </c>
      <c r="C287" s="6">
        <f t="shared" si="1"/>
        <v>46099.1147</v>
      </c>
      <c r="D287" s="4">
        <v>7.03</v>
      </c>
    </row>
    <row r="288" ht="22.5" customHeight="1">
      <c r="A288" s="4" t="s">
        <v>8</v>
      </c>
      <c r="B288" s="5">
        <v>46099.116079467596</v>
      </c>
      <c r="C288" s="6">
        <f t="shared" si="1"/>
        <v>46099.11608</v>
      </c>
      <c r="D288" s="4">
        <v>7.1</v>
      </c>
    </row>
    <row r="289" ht="22.5" customHeight="1">
      <c r="A289" s="4" t="s">
        <v>8</v>
      </c>
      <c r="B289" s="5">
        <v>46099.118126898145</v>
      </c>
      <c r="C289" s="6">
        <f t="shared" si="1"/>
        <v>46099.11813</v>
      </c>
      <c r="D289" s="4">
        <v>7.03</v>
      </c>
    </row>
    <row r="290" ht="22.5" customHeight="1">
      <c r="A290" s="4" t="s">
        <v>8</v>
      </c>
      <c r="B290" s="5">
        <v>46099.118812002314</v>
      </c>
      <c r="C290" s="6">
        <f t="shared" si="1"/>
        <v>46099.11881</v>
      </c>
      <c r="D290" s="4">
        <v>7.14</v>
      </c>
    </row>
    <row r="291" ht="22.5" customHeight="1">
      <c r="A291" s="4" t="s">
        <v>8</v>
      </c>
      <c r="B291" s="5">
        <v>46099.119498402775</v>
      </c>
      <c r="C291" s="6">
        <f t="shared" si="1"/>
        <v>46099.1195</v>
      </c>
      <c r="D291" s="4">
        <v>7.1</v>
      </c>
    </row>
    <row r="292" ht="22.5" customHeight="1">
      <c r="A292" s="4" t="s">
        <v>8</v>
      </c>
      <c r="B292" s="5">
        <v>46099.128395555555</v>
      </c>
      <c r="C292" s="6">
        <f t="shared" si="1"/>
        <v>46099.12839</v>
      </c>
      <c r="D292" s="4">
        <v>7.03</v>
      </c>
    </row>
    <row r="293" ht="22.5" customHeight="1">
      <c r="A293" s="4" t="s">
        <v>8</v>
      </c>
      <c r="B293" s="5">
        <v>46099.12908189815</v>
      </c>
      <c r="C293" s="6">
        <f t="shared" si="1"/>
        <v>46099.12909</v>
      </c>
      <c r="D293" s="4">
        <v>7.1</v>
      </c>
    </row>
    <row r="294" ht="22.5" customHeight="1">
      <c r="A294" s="4" t="s">
        <v>8</v>
      </c>
      <c r="B294" s="5">
        <v>46099.12976696759</v>
      </c>
      <c r="C294" s="6">
        <f t="shared" si="1"/>
        <v>46099.12977</v>
      </c>
      <c r="D294" s="4">
        <v>7.14</v>
      </c>
    </row>
    <row r="295" ht="22.5" customHeight="1">
      <c r="A295" s="4" t="s">
        <v>8</v>
      </c>
      <c r="B295" s="5">
        <v>46099.13045170139</v>
      </c>
      <c r="C295" s="6">
        <f t="shared" si="1"/>
        <v>46099.13045</v>
      </c>
      <c r="D295" s="4">
        <v>7.1</v>
      </c>
    </row>
    <row r="296" ht="22.5" customHeight="1">
      <c r="A296" s="4" t="s">
        <v>8</v>
      </c>
      <c r="B296" s="5">
        <v>46099.13319302083</v>
      </c>
      <c r="C296" s="6">
        <f t="shared" si="1"/>
        <v>46099.13319</v>
      </c>
      <c r="D296" s="4">
        <v>7.14</v>
      </c>
    </row>
    <row r="297" ht="22.5" customHeight="1">
      <c r="A297" s="4" t="s">
        <v>8</v>
      </c>
      <c r="B297" s="5">
        <v>46099.13388635417</v>
      </c>
      <c r="C297" s="6">
        <f t="shared" si="1"/>
        <v>46099.13389</v>
      </c>
      <c r="D297" s="4">
        <v>7.1</v>
      </c>
    </row>
    <row r="298" ht="22.5" customHeight="1">
      <c r="A298" s="4" t="s">
        <v>8</v>
      </c>
      <c r="B298" s="5">
        <v>46099.13524821759</v>
      </c>
      <c r="C298" s="6">
        <f t="shared" si="1"/>
        <v>46099.13524</v>
      </c>
      <c r="D298" s="4">
        <v>7.14</v>
      </c>
    </row>
    <row r="299" ht="22.5" customHeight="1">
      <c r="A299" s="4" t="s">
        <v>8</v>
      </c>
      <c r="B299" s="5">
        <v>46099.13593200232</v>
      </c>
      <c r="C299" s="6">
        <f t="shared" si="1"/>
        <v>46099.13594</v>
      </c>
      <c r="D299" s="4">
        <v>7.1</v>
      </c>
    </row>
    <row r="300" ht="22.5" customHeight="1">
      <c r="A300" s="4" t="s">
        <v>8</v>
      </c>
      <c r="B300" s="5">
        <v>46099.148935983794</v>
      </c>
      <c r="C300" s="6">
        <f t="shared" si="1"/>
        <v>46099.14894</v>
      </c>
      <c r="D300" s="4">
        <v>7.14</v>
      </c>
    </row>
    <row r="301" ht="22.5" customHeight="1">
      <c r="A301" s="4" t="s">
        <v>8</v>
      </c>
      <c r="B301" s="5">
        <v>46099.149621006945</v>
      </c>
      <c r="C301" s="6">
        <f t="shared" si="1"/>
        <v>46099.14962</v>
      </c>
      <c r="D301" s="4">
        <v>7.1</v>
      </c>
    </row>
    <row r="302" ht="22.5" customHeight="1">
      <c r="A302" s="4" t="s">
        <v>8</v>
      </c>
      <c r="B302" s="5">
        <v>46099.156468981484</v>
      </c>
      <c r="C302" s="6">
        <f t="shared" si="1"/>
        <v>46099.15647</v>
      </c>
      <c r="D302" s="4">
        <v>7.14</v>
      </c>
    </row>
    <row r="303" ht="22.5" customHeight="1">
      <c r="A303" s="4" t="s">
        <v>8</v>
      </c>
      <c r="B303" s="5">
        <v>46099.157150416664</v>
      </c>
      <c r="C303" s="6">
        <f t="shared" si="1"/>
        <v>46099.15715</v>
      </c>
      <c r="D303" s="4">
        <v>7.1</v>
      </c>
    </row>
    <row r="304" ht="22.5" customHeight="1">
      <c r="A304" s="4" t="s">
        <v>8</v>
      </c>
      <c r="B304" s="5">
        <v>46099.157834375</v>
      </c>
      <c r="C304" s="6">
        <f t="shared" si="1"/>
        <v>46099.15784</v>
      </c>
      <c r="D304" s="4">
        <v>7.14</v>
      </c>
    </row>
    <row r="305" ht="22.5" customHeight="1">
      <c r="A305" s="4" t="s">
        <v>8</v>
      </c>
      <c r="B305" s="5">
        <v>46099.15851930556</v>
      </c>
      <c r="C305" s="6">
        <f t="shared" si="1"/>
        <v>46099.15852</v>
      </c>
      <c r="D305" s="4">
        <v>7.1</v>
      </c>
    </row>
    <row r="306" ht="22.5" customHeight="1">
      <c r="A306" s="4" t="s">
        <v>8</v>
      </c>
      <c r="B306" s="5">
        <v>46099.16057570602</v>
      </c>
      <c r="C306" s="6">
        <f t="shared" si="1"/>
        <v>46099.16058</v>
      </c>
      <c r="D306" s="4">
        <v>7.14</v>
      </c>
    </row>
    <row r="307" ht="22.5" customHeight="1">
      <c r="A307" s="4" t="s">
        <v>8</v>
      </c>
      <c r="B307" s="5">
        <v>46099.161942604165</v>
      </c>
      <c r="C307" s="6">
        <f t="shared" si="1"/>
        <v>46099.16194</v>
      </c>
      <c r="D307" s="4">
        <v>7.1</v>
      </c>
    </row>
    <row r="308" ht="22.5" customHeight="1">
      <c r="A308" s="4" t="s">
        <v>8</v>
      </c>
      <c r="B308" s="5">
        <v>46099.168109907405</v>
      </c>
      <c r="C308" s="6">
        <f t="shared" si="1"/>
        <v>46099.16811</v>
      </c>
      <c r="D308" s="4">
        <v>7.14</v>
      </c>
    </row>
    <row r="309" ht="22.5" customHeight="1">
      <c r="A309" s="4" t="s">
        <v>8</v>
      </c>
      <c r="B309" s="5">
        <v>46099.17015783565</v>
      </c>
      <c r="C309" s="6">
        <f t="shared" si="1"/>
        <v>46099.17016</v>
      </c>
      <c r="D309" s="4">
        <v>7.1</v>
      </c>
    </row>
    <row r="310" ht="22.5" customHeight="1">
      <c r="A310" s="4" t="s">
        <v>8</v>
      </c>
      <c r="B310" s="5">
        <v>46099.173580925926</v>
      </c>
      <c r="C310" s="6">
        <f t="shared" si="1"/>
        <v>46099.17358</v>
      </c>
      <c r="D310" s="4">
        <v>7.14</v>
      </c>
    </row>
    <row r="311" ht="22.5" customHeight="1">
      <c r="A311" s="4" t="s">
        <v>8</v>
      </c>
      <c r="B311" s="5">
        <v>46099.17426936342</v>
      </c>
      <c r="C311" s="6">
        <f t="shared" si="1"/>
        <v>46099.17427</v>
      </c>
      <c r="D311" s="4">
        <v>7.1</v>
      </c>
    </row>
    <row r="312" ht="22.5" customHeight="1">
      <c r="A312" s="4" t="s">
        <v>8</v>
      </c>
      <c r="B312" s="5">
        <v>46099.1756334838</v>
      </c>
      <c r="C312" s="6">
        <f t="shared" si="1"/>
        <v>46099.17564</v>
      </c>
      <c r="D312" s="4">
        <v>7.14</v>
      </c>
    </row>
    <row r="313" ht="22.5" customHeight="1">
      <c r="A313" s="4" t="s">
        <v>8</v>
      </c>
      <c r="B313" s="5">
        <v>46099.17700369213</v>
      </c>
      <c r="C313" s="6">
        <f t="shared" si="1"/>
        <v>46099.177</v>
      </c>
      <c r="D313" s="4">
        <v>7.1</v>
      </c>
    </row>
    <row r="314" ht="22.5" customHeight="1">
      <c r="A314" s="4" t="s">
        <v>8</v>
      </c>
      <c r="B314" s="5">
        <v>46099.1790565625</v>
      </c>
      <c r="C314" s="6">
        <f t="shared" si="1"/>
        <v>46099.17905</v>
      </c>
      <c r="D314" s="4">
        <v>7.14</v>
      </c>
    </row>
    <row r="315" ht="22.5" customHeight="1">
      <c r="A315" s="4" t="s">
        <v>8</v>
      </c>
      <c r="B315" s="5">
        <v>46099.18316645834</v>
      </c>
      <c r="C315" s="6">
        <f t="shared" si="1"/>
        <v>46099.18317</v>
      </c>
      <c r="D315" s="4">
        <v>7.1</v>
      </c>
    </row>
    <row r="316" ht="22.5" customHeight="1">
      <c r="A316" s="4" t="s">
        <v>8</v>
      </c>
      <c r="B316" s="5">
        <v>46099.18384913194</v>
      </c>
      <c r="C316" s="6">
        <f t="shared" si="1"/>
        <v>46099.18385</v>
      </c>
      <c r="D316" s="4">
        <v>7.14</v>
      </c>
    </row>
    <row r="317" ht="22.5" customHeight="1">
      <c r="A317" s="4" t="s">
        <v>8</v>
      </c>
      <c r="B317" s="5">
        <v>46099.18590196759</v>
      </c>
      <c r="C317" s="6">
        <f t="shared" si="1"/>
        <v>46099.1859</v>
      </c>
      <c r="D317" s="4">
        <v>7.1</v>
      </c>
    </row>
    <row r="318" ht="22.5" customHeight="1">
      <c r="A318" s="4" t="s">
        <v>8</v>
      </c>
      <c r="B318" s="5">
        <v>46099.18727094907</v>
      </c>
      <c r="C318" s="6">
        <f t="shared" si="1"/>
        <v>46099.18727</v>
      </c>
      <c r="D318" s="4">
        <v>7.14</v>
      </c>
    </row>
    <row r="319" ht="22.5" customHeight="1">
      <c r="A319" s="4" t="s">
        <v>8</v>
      </c>
      <c r="B319" s="5">
        <v>46099.188646828705</v>
      </c>
      <c r="C319" s="6">
        <f t="shared" si="1"/>
        <v>46099.18865</v>
      </c>
      <c r="D319" s="4">
        <v>7.1</v>
      </c>
    </row>
    <row r="320" ht="22.5" customHeight="1">
      <c r="A320" s="4" t="s">
        <v>8</v>
      </c>
      <c r="B320" s="5">
        <v>46099.189331215275</v>
      </c>
      <c r="C320" s="6">
        <f t="shared" si="1"/>
        <v>46099.18933</v>
      </c>
      <c r="D320" s="4">
        <v>7.14</v>
      </c>
    </row>
    <row r="321" ht="22.5" customHeight="1">
      <c r="A321" s="4" t="s">
        <v>8</v>
      </c>
      <c r="B321" s="5">
        <v>46099.190010370374</v>
      </c>
      <c r="C321" s="6">
        <f t="shared" si="1"/>
        <v>46099.19001</v>
      </c>
      <c r="D321" s="4">
        <v>7.1</v>
      </c>
    </row>
    <row r="322" ht="22.5" customHeight="1">
      <c r="A322" s="4" t="s">
        <v>8</v>
      </c>
      <c r="B322" s="5">
        <v>46099.19274759259</v>
      </c>
      <c r="C322" s="6">
        <f t="shared" si="1"/>
        <v>46099.19274</v>
      </c>
      <c r="D322" s="4">
        <v>7.14</v>
      </c>
    </row>
    <row r="323" ht="22.5" customHeight="1">
      <c r="A323" s="4" t="s">
        <v>8</v>
      </c>
      <c r="B323" s="5">
        <v>46099.19548545139</v>
      </c>
      <c r="C323" s="6">
        <f t="shared" si="1"/>
        <v>46099.19549</v>
      </c>
      <c r="D323" s="4">
        <v>7.1</v>
      </c>
    </row>
    <row r="324" ht="22.5" customHeight="1">
      <c r="A324" s="4" t="s">
        <v>8</v>
      </c>
      <c r="B324" s="5">
        <v>46099.197543993054</v>
      </c>
      <c r="C324" s="6">
        <f t="shared" si="1"/>
        <v>46099.19755</v>
      </c>
      <c r="D324" s="4">
        <v>7.14</v>
      </c>
    </row>
    <row r="325" ht="22.5" customHeight="1">
      <c r="A325" s="4" t="s">
        <v>8</v>
      </c>
      <c r="B325" s="5">
        <v>46099.19822329861</v>
      </c>
      <c r="C325" s="6">
        <f t="shared" si="1"/>
        <v>46099.19822</v>
      </c>
      <c r="D325" s="4">
        <v>7.1</v>
      </c>
    </row>
    <row r="326" ht="22.5" customHeight="1">
      <c r="A326" s="4" t="s">
        <v>8</v>
      </c>
      <c r="B326" s="5">
        <v>46099.200277407406</v>
      </c>
      <c r="C326" s="6">
        <f t="shared" si="1"/>
        <v>46099.20028</v>
      </c>
      <c r="D326" s="4">
        <v>7.14</v>
      </c>
    </row>
    <row r="327" ht="22.5" customHeight="1">
      <c r="A327" s="4" t="s">
        <v>8</v>
      </c>
      <c r="B327" s="5">
        <v>46099.20096327546</v>
      </c>
      <c r="C327" s="6">
        <f t="shared" si="1"/>
        <v>46099.20096</v>
      </c>
      <c r="D327" s="4">
        <v>7.1</v>
      </c>
    </row>
    <row r="328" ht="22.5" customHeight="1">
      <c r="A328" s="4" t="s">
        <v>8</v>
      </c>
      <c r="B328" s="5">
        <v>46099.2016475</v>
      </c>
      <c r="C328" s="6">
        <f t="shared" si="1"/>
        <v>46099.20164</v>
      </c>
      <c r="D328" s="4">
        <v>7.14</v>
      </c>
    </row>
    <row r="329" ht="22.5" customHeight="1">
      <c r="A329" s="4" t="s">
        <v>8</v>
      </c>
      <c r="B329" s="5">
        <v>46099.203704976855</v>
      </c>
      <c r="C329" s="6">
        <f t="shared" si="1"/>
        <v>46099.2037</v>
      </c>
      <c r="D329" s="4">
        <v>7.1</v>
      </c>
    </row>
    <row r="330" ht="22.5" customHeight="1">
      <c r="A330" s="4" t="s">
        <v>8</v>
      </c>
      <c r="B330" s="5">
        <v>46099.204384097226</v>
      </c>
      <c r="C330" s="6">
        <f t="shared" si="1"/>
        <v>46099.20439</v>
      </c>
      <c r="D330" s="4">
        <v>7.14</v>
      </c>
    </row>
    <row r="331" ht="22.5" customHeight="1">
      <c r="A331" s="4" t="s">
        <v>8</v>
      </c>
      <c r="B331" s="5">
        <v>46099.20712269676</v>
      </c>
      <c r="C331" s="6">
        <f t="shared" si="1"/>
        <v>46099.20712</v>
      </c>
      <c r="D331" s="4">
        <v>7.1</v>
      </c>
    </row>
    <row r="332" ht="22.5" customHeight="1">
      <c r="A332" s="4" t="s">
        <v>8</v>
      </c>
      <c r="B332" s="5">
        <v>46099.20780891204</v>
      </c>
      <c r="C332" s="6">
        <f t="shared" si="1"/>
        <v>46099.20781</v>
      </c>
      <c r="D332" s="4">
        <v>7.14</v>
      </c>
    </row>
    <row r="333" ht="22.5" customHeight="1">
      <c r="A333" s="4" t="s">
        <v>8</v>
      </c>
      <c r="B333" s="5">
        <v>46099.20917545139</v>
      </c>
      <c r="C333" s="6">
        <f t="shared" si="1"/>
        <v>46099.20918</v>
      </c>
      <c r="D333" s="4">
        <v>7.1</v>
      </c>
    </row>
    <row r="334" ht="22.5" customHeight="1">
      <c r="A334" s="4" t="s">
        <v>8</v>
      </c>
      <c r="B334" s="5">
        <v>46099.20987712963</v>
      </c>
      <c r="C334" s="6">
        <f t="shared" si="1"/>
        <v>46099.20987</v>
      </c>
      <c r="D334" s="4">
        <v>7.14</v>
      </c>
    </row>
    <row r="335" ht="22.5" customHeight="1">
      <c r="A335" s="4" t="s">
        <v>8</v>
      </c>
      <c r="B335" s="5">
        <v>46099.21875925926</v>
      </c>
      <c r="C335" s="6">
        <f t="shared" si="1"/>
        <v>46099.21876</v>
      </c>
      <c r="D335" s="4">
        <v>7.1</v>
      </c>
    </row>
    <row r="336" ht="22.5" customHeight="1">
      <c r="A336" s="4" t="s">
        <v>8</v>
      </c>
      <c r="B336" s="5">
        <v>46099.21944325232</v>
      </c>
      <c r="C336" s="6">
        <f t="shared" si="1"/>
        <v>46099.21944</v>
      </c>
      <c r="D336" s="4">
        <v>7.14</v>
      </c>
    </row>
    <row r="337" ht="22.5" customHeight="1">
      <c r="A337" s="4" t="s">
        <v>8</v>
      </c>
      <c r="B337" s="5">
        <v>46099.22012895833</v>
      </c>
      <c r="C337" s="6">
        <f t="shared" si="1"/>
        <v>46099.22013</v>
      </c>
      <c r="D337" s="4">
        <v>7.1</v>
      </c>
    </row>
    <row r="338" ht="22.5" customHeight="1">
      <c r="A338" s="4" t="s">
        <v>8</v>
      </c>
      <c r="B338" s="5">
        <v>46099.2208128125</v>
      </c>
      <c r="C338" s="6">
        <f t="shared" si="1"/>
        <v>46099.22081</v>
      </c>
      <c r="D338" s="4">
        <v>7.14</v>
      </c>
    </row>
    <row r="339" ht="22.5" customHeight="1">
      <c r="A339" s="4" t="s">
        <v>8</v>
      </c>
      <c r="B339" s="5">
        <v>46099.22834232639</v>
      </c>
      <c r="C339" s="6">
        <f t="shared" si="1"/>
        <v>46099.22834</v>
      </c>
      <c r="D339" s="4">
        <v>7.1</v>
      </c>
    </row>
    <row r="340" ht="22.5" customHeight="1">
      <c r="A340" s="4" t="s">
        <v>8</v>
      </c>
      <c r="B340" s="5">
        <v>46099.229028622685</v>
      </c>
      <c r="C340" s="6">
        <f t="shared" si="1"/>
        <v>46099.22903</v>
      </c>
      <c r="D340" s="4">
        <v>7.14</v>
      </c>
    </row>
    <row r="341" ht="22.5" customHeight="1">
      <c r="A341" s="4" t="s">
        <v>8</v>
      </c>
      <c r="B341" s="5">
        <v>46099.25229887731</v>
      </c>
      <c r="C341" s="6">
        <f t="shared" si="1"/>
        <v>46099.2523</v>
      </c>
      <c r="D341" s="4">
        <v>7.1</v>
      </c>
    </row>
    <row r="342" ht="22.5" customHeight="1">
      <c r="A342" s="4" t="s">
        <v>8</v>
      </c>
      <c r="B342" s="5">
        <v>46099.25298164352</v>
      </c>
      <c r="C342" s="6">
        <f t="shared" si="1"/>
        <v>46099.25299</v>
      </c>
      <c r="D342" s="4">
        <v>7.14</v>
      </c>
    </row>
    <row r="343" ht="22.5" customHeight="1">
      <c r="A343" s="4" t="s">
        <v>8</v>
      </c>
      <c r="B343" s="5">
        <v>46099.28035922454</v>
      </c>
      <c r="C343" s="6">
        <f t="shared" si="1"/>
        <v>46099.28036</v>
      </c>
      <c r="D343" s="4">
        <v>7.2</v>
      </c>
    </row>
    <row r="344" ht="22.5" customHeight="1">
      <c r="A344" s="4" t="s">
        <v>8</v>
      </c>
      <c r="B344" s="5">
        <v>46099.28104538195</v>
      </c>
      <c r="C344" s="6">
        <f t="shared" si="1"/>
        <v>46099.28104</v>
      </c>
      <c r="D344" s="4">
        <v>7.27</v>
      </c>
    </row>
    <row r="345" ht="22.5" customHeight="1">
      <c r="A345" s="4" t="s">
        <v>8</v>
      </c>
      <c r="B345" s="5">
        <v>46099.28172810185</v>
      </c>
      <c r="C345" s="6">
        <f t="shared" si="1"/>
        <v>46099.28172</v>
      </c>
      <c r="D345" s="4">
        <v>7.32</v>
      </c>
    </row>
    <row r="346" ht="22.5" customHeight="1">
      <c r="A346" s="4" t="s">
        <v>8</v>
      </c>
      <c r="B346" s="5">
        <v>46099.28309711805</v>
      </c>
      <c r="C346" s="6">
        <f t="shared" si="1"/>
        <v>46099.2831</v>
      </c>
      <c r="D346" s="4">
        <v>7.39</v>
      </c>
    </row>
    <row r="347" ht="22.5" customHeight="1">
      <c r="A347" s="4" t="s">
        <v>8</v>
      </c>
      <c r="B347" s="5">
        <v>46099.29678829861</v>
      </c>
      <c r="C347" s="6">
        <f t="shared" si="1"/>
        <v>46099.29679</v>
      </c>
      <c r="D347" s="4">
        <v>7.44</v>
      </c>
    </row>
    <row r="348" ht="22.5" customHeight="1">
      <c r="A348" s="4" t="s">
        <v>8</v>
      </c>
      <c r="B348" s="5">
        <v>46099.29815623842</v>
      </c>
      <c r="C348" s="6">
        <f t="shared" si="1"/>
        <v>46099.29816</v>
      </c>
      <c r="D348" s="4">
        <v>7.49</v>
      </c>
    </row>
    <row r="349" ht="22.5" customHeight="1">
      <c r="A349" s="4" t="s">
        <v>8</v>
      </c>
      <c r="B349" s="5">
        <v>46099.30020863426</v>
      </c>
      <c r="C349" s="6">
        <f t="shared" si="1"/>
        <v>46099.30021</v>
      </c>
      <c r="D349" s="4">
        <v>7.56</v>
      </c>
    </row>
    <row r="350" ht="22.5" customHeight="1">
      <c r="A350" s="4" t="s">
        <v>8</v>
      </c>
      <c r="B350" s="5">
        <v>46099.30089248843</v>
      </c>
      <c r="C350" s="6">
        <f t="shared" si="1"/>
        <v>46099.30089</v>
      </c>
      <c r="D350" s="4">
        <v>7.49</v>
      </c>
    </row>
    <row r="351" ht="22.5" customHeight="1">
      <c r="A351" s="4" t="s">
        <v>8</v>
      </c>
      <c r="B351" s="5">
        <v>46099.301581087966</v>
      </c>
      <c r="C351" s="6">
        <f t="shared" si="1"/>
        <v>46099.30159</v>
      </c>
      <c r="D351" s="4">
        <v>7.56</v>
      </c>
    </row>
    <row r="352" ht="22.5" customHeight="1">
      <c r="A352" s="4" t="s">
        <v>8</v>
      </c>
      <c r="B352" s="5">
        <v>46099.315267881946</v>
      </c>
      <c r="C352" s="6">
        <f t="shared" si="1"/>
        <v>46099.31527</v>
      </c>
      <c r="D352" s="4">
        <v>7.6</v>
      </c>
    </row>
    <row r="353" ht="22.5" customHeight="1">
      <c r="A353" s="4" t="s">
        <v>8</v>
      </c>
      <c r="B353" s="5">
        <v>46099.315951655095</v>
      </c>
      <c r="C353" s="6">
        <f t="shared" si="1"/>
        <v>46099.31595</v>
      </c>
      <c r="D353" s="4">
        <v>7.66</v>
      </c>
    </row>
    <row r="354" ht="22.5" customHeight="1">
      <c r="A354" s="4" t="s">
        <v>8</v>
      </c>
      <c r="B354" s="5">
        <v>46099.316640543984</v>
      </c>
      <c r="C354" s="6">
        <f t="shared" si="1"/>
        <v>46099.31664</v>
      </c>
      <c r="D354" s="4">
        <v>7.6</v>
      </c>
    </row>
    <row r="355" ht="22.5" customHeight="1">
      <c r="A355" s="4" t="s">
        <v>8</v>
      </c>
      <c r="B355" s="5">
        <v>46099.31732079861</v>
      </c>
      <c r="C355" s="6">
        <f t="shared" si="1"/>
        <v>46099.31733</v>
      </c>
      <c r="D355" s="4">
        <v>7.66</v>
      </c>
    </row>
    <row r="356" ht="22.5" customHeight="1">
      <c r="A356" s="4" t="s">
        <v>8</v>
      </c>
      <c r="B356" s="5">
        <v>46099.3227983912</v>
      </c>
      <c r="C356" s="6">
        <f t="shared" si="1"/>
        <v>46099.3228</v>
      </c>
      <c r="D356" s="4">
        <v>7.73</v>
      </c>
    </row>
    <row r="357" ht="22.5" customHeight="1">
      <c r="A357" s="4" t="s">
        <v>8</v>
      </c>
      <c r="B357" s="5">
        <v>46099.33854538194</v>
      </c>
      <c r="C357" s="6">
        <f t="shared" si="1"/>
        <v>46099.33854</v>
      </c>
      <c r="D357" s="4">
        <v>7.78</v>
      </c>
    </row>
    <row r="358" ht="22.5" customHeight="1">
      <c r="A358" s="4" t="s">
        <v>8</v>
      </c>
      <c r="B358" s="5">
        <v>46099.33991498843</v>
      </c>
      <c r="C358" s="6">
        <f t="shared" si="1"/>
        <v>46099.33992</v>
      </c>
      <c r="D358" s="4">
        <v>7.73</v>
      </c>
    </row>
    <row r="359" ht="22.5" customHeight="1">
      <c r="A359" s="4" t="s">
        <v>8</v>
      </c>
      <c r="B359" s="5">
        <v>46099.34059918982</v>
      </c>
      <c r="C359" s="6">
        <f t="shared" si="1"/>
        <v>46099.3406</v>
      </c>
      <c r="D359" s="4">
        <v>7.78</v>
      </c>
    </row>
    <row r="360" ht="22.5" customHeight="1">
      <c r="A360" s="4" t="s">
        <v>8</v>
      </c>
      <c r="B360" s="5">
        <v>46099.34470894676</v>
      </c>
      <c r="C360" s="6">
        <f t="shared" si="1"/>
        <v>46099.34471</v>
      </c>
      <c r="D360" s="4">
        <v>7.83</v>
      </c>
    </row>
    <row r="361" ht="22.5" customHeight="1">
      <c r="A361" s="4" t="s">
        <v>8</v>
      </c>
      <c r="B361" s="5">
        <v>46099.34539040509</v>
      </c>
      <c r="C361" s="6">
        <f t="shared" si="1"/>
        <v>46099.34539</v>
      </c>
      <c r="D361" s="4">
        <v>7.78</v>
      </c>
    </row>
    <row r="362" ht="22.5" customHeight="1">
      <c r="A362" s="4" t="s">
        <v>8</v>
      </c>
      <c r="B362" s="5">
        <v>46099.346074375</v>
      </c>
      <c r="C362" s="6">
        <f t="shared" si="1"/>
        <v>46099.34608</v>
      </c>
      <c r="D362" s="4">
        <v>7.83</v>
      </c>
    </row>
    <row r="363" ht="22.5" customHeight="1">
      <c r="A363" s="4" t="s">
        <v>8</v>
      </c>
      <c r="B363" s="5">
        <v>46099.34881459491</v>
      </c>
      <c r="C363" s="6">
        <f t="shared" si="1"/>
        <v>46099.34882</v>
      </c>
      <c r="D363" s="4">
        <v>7.89</v>
      </c>
    </row>
    <row r="364" ht="22.5" customHeight="1">
      <c r="A364" s="4" t="s">
        <v>8</v>
      </c>
      <c r="B364" s="5">
        <v>46099.35155119213</v>
      </c>
      <c r="C364" s="6">
        <f t="shared" si="1"/>
        <v>46099.35155</v>
      </c>
      <c r="D364" s="4">
        <v>7.95</v>
      </c>
    </row>
    <row r="365" ht="22.5" customHeight="1">
      <c r="A365" s="4" t="s">
        <v>8</v>
      </c>
      <c r="B365" s="5">
        <v>46099.35178615741</v>
      </c>
      <c r="C365" s="6">
        <f t="shared" si="1"/>
        <v>46099.35178</v>
      </c>
      <c r="D365" s="4" t="s">
        <v>9</v>
      </c>
    </row>
    <row r="366" ht="22.5" customHeight="1">
      <c r="A366" s="4" t="s">
        <v>8</v>
      </c>
      <c r="B366" s="5">
        <v>46099.35178618055</v>
      </c>
      <c r="C366" s="6">
        <f t="shared" si="1"/>
        <v>46099.35178</v>
      </c>
      <c r="D366" s="4">
        <v>7.95</v>
      </c>
    </row>
    <row r="367" ht="22.5" customHeight="1">
      <c r="A367" s="4" t="s">
        <v>8</v>
      </c>
      <c r="B367" s="5">
        <v>46099.35324909722</v>
      </c>
      <c r="C367" s="6">
        <f t="shared" si="1"/>
        <v>46099.35325</v>
      </c>
      <c r="D367" s="4" t="s">
        <v>9</v>
      </c>
    </row>
    <row r="368" ht="22.5" customHeight="1">
      <c r="A368" s="4" t="s">
        <v>8</v>
      </c>
      <c r="B368" s="5">
        <v>46099.35324912037</v>
      </c>
      <c r="C368" s="6">
        <f t="shared" si="1"/>
        <v>46099.35325</v>
      </c>
      <c r="D368" s="4">
        <v>7.95</v>
      </c>
    </row>
    <row r="369" ht="22.5" customHeight="1">
      <c r="A369" s="4" t="s">
        <v>8</v>
      </c>
      <c r="B369" s="5">
        <v>46099.35429027778</v>
      </c>
      <c r="C369" s="6">
        <f t="shared" si="1"/>
        <v>46099.35429</v>
      </c>
      <c r="D369" s="4">
        <v>7.89</v>
      </c>
    </row>
    <row r="370" ht="22.5" customHeight="1">
      <c r="A370" s="4" t="s">
        <v>8</v>
      </c>
      <c r="B370" s="5">
        <v>46099.354976689814</v>
      </c>
      <c r="C370" s="6">
        <f t="shared" si="1"/>
        <v>46099.35498</v>
      </c>
      <c r="D370" s="4">
        <v>7.95</v>
      </c>
    </row>
    <row r="371" ht="22.5" customHeight="1">
      <c r="A371" s="4" t="s">
        <v>8</v>
      </c>
      <c r="B371" s="5">
        <v>46099.38578920139</v>
      </c>
      <c r="C371" s="6">
        <f t="shared" si="1"/>
        <v>46099.38579</v>
      </c>
      <c r="D371" s="4">
        <v>8.0</v>
      </c>
    </row>
    <row r="372" ht="22.5" customHeight="1">
      <c r="A372" s="4" t="s">
        <v>8</v>
      </c>
      <c r="B372" s="5">
        <v>46099.39079988426</v>
      </c>
      <c r="C372" s="6">
        <f t="shared" si="1"/>
        <v>46099.3908</v>
      </c>
      <c r="D372" s="4" t="s">
        <v>9</v>
      </c>
    </row>
    <row r="373" ht="22.5" customHeight="1">
      <c r="A373" s="4" t="s">
        <v>8</v>
      </c>
      <c r="B373" s="5">
        <v>46099.394117986114</v>
      </c>
      <c r="C373" s="6">
        <f t="shared" si="1"/>
        <v>46099.39412</v>
      </c>
      <c r="D373" s="4">
        <v>8.24</v>
      </c>
    </row>
    <row r="374" ht="22.5" customHeight="1">
      <c r="A374" s="4" t="s">
        <v>8</v>
      </c>
      <c r="B374" s="5">
        <v>46099.39549912037</v>
      </c>
      <c r="C374" s="6">
        <f t="shared" si="1"/>
        <v>46099.3955</v>
      </c>
      <c r="D374" s="4">
        <v>8.29</v>
      </c>
    </row>
    <row r="375" ht="22.5" customHeight="1">
      <c r="A375" s="4" t="s">
        <v>8</v>
      </c>
      <c r="B375" s="5">
        <v>46099.39754266204</v>
      </c>
      <c r="C375" s="6">
        <f t="shared" si="1"/>
        <v>46099.39755</v>
      </c>
      <c r="D375" s="4">
        <v>8.24</v>
      </c>
    </row>
    <row r="376" ht="22.5" customHeight="1">
      <c r="A376" s="4" t="s">
        <v>8</v>
      </c>
      <c r="B376" s="5">
        <v>46099.39823208333</v>
      </c>
      <c r="C376" s="6">
        <f t="shared" si="1"/>
        <v>46099.39823</v>
      </c>
      <c r="D376" s="4">
        <v>8.29</v>
      </c>
    </row>
    <row r="377" ht="22.5" customHeight="1">
      <c r="A377" s="4" t="s">
        <v>8</v>
      </c>
      <c r="B377" s="5">
        <v>46099.40439170139</v>
      </c>
      <c r="C377" s="6">
        <f t="shared" si="1"/>
        <v>46099.40439</v>
      </c>
      <c r="D377" s="4">
        <v>8.33</v>
      </c>
    </row>
    <row r="378" ht="22.5" customHeight="1">
      <c r="A378" s="4" t="s">
        <v>8</v>
      </c>
      <c r="B378" s="5">
        <v>46099.405077152776</v>
      </c>
      <c r="C378" s="6">
        <f t="shared" si="1"/>
        <v>46099.40508</v>
      </c>
      <c r="D378" s="4">
        <v>8.29</v>
      </c>
    </row>
    <row r="379" ht="22.5" customHeight="1">
      <c r="A379" s="4" t="s">
        <v>8</v>
      </c>
      <c r="B379" s="5">
        <v>46099.40883586805</v>
      </c>
      <c r="C379" s="6">
        <f t="shared" si="1"/>
        <v>46099.40883</v>
      </c>
      <c r="D379" s="4">
        <v>8.5</v>
      </c>
    </row>
    <row r="380" ht="22.5" customHeight="1">
      <c r="A380" s="4" t="s">
        <v>8</v>
      </c>
      <c r="B380" s="5">
        <v>46099.41089226852</v>
      </c>
      <c r="C380" s="6">
        <f t="shared" si="1"/>
        <v>46099.41089</v>
      </c>
      <c r="D380" s="4">
        <v>8.57</v>
      </c>
    </row>
    <row r="381" ht="22.5" customHeight="1">
      <c r="A381" s="4" t="s">
        <v>8</v>
      </c>
      <c r="B381" s="5">
        <v>46099.412947453704</v>
      </c>
      <c r="C381" s="6">
        <f t="shared" si="1"/>
        <v>46099.41295</v>
      </c>
      <c r="D381" s="4">
        <v>8.5</v>
      </c>
    </row>
    <row r="382" ht="22.5" customHeight="1">
      <c r="A382" s="4" t="s">
        <v>8</v>
      </c>
      <c r="B382" s="5">
        <v>46099.41360824074</v>
      </c>
      <c r="C382" s="6">
        <f t="shared" si="1"/>
        <v>46099.41361</v>
      </c>
      <c r="D382" s="4" t="s">
        <v>9</v>
      </c>
    </row>
    <row r="383" ht="22.5" customHeight="1">
      <c r="A383" s="4" t="s">
        <v>8</v>
      </c>
      <c r="B383" s="5">
        <v>46099.41360826389</v>
      </c>
      <c r="C383" s="8">
        <f t="shared" si="1"/>
        <v>46099.41361</v>
      </c>
    </row>
    <row r="384" ht="22.5" customHeight="1">
      <c r="A384" s="4" t="s">
        <v>8</v>
      </c>
      <c r="B384" s="5">
        <v>46099.41380112268</v>
      </c>
      <c r="C384" s="6">
        <f t="shared" si="1"/>
        <v>46099.4138</v>
      </c>
      <c r="D384" s="4">
        <v>8.57</v>
      </c>
    </row>
    <row r="385" ht="22.5" customHeight="1">
      <c r="A385" s="4" t="s">
        <v>8</v>
      </c>
      <c r="B385" s="5">
        <v>46099.417745150466</v>
      </c>
      <c r="C385" s="6">
        <f t="shared" si="1"/>
        <v>46099.41774</v>
      </c>
      <c r="D385" s="4">
        <v>8.62</v>
      </c>
    </row>
    <row r="386" ht="22.5" customHeight="1">
      <c r="A386" s="4" t="s">
        <v>8</v>
      </c>
      <c r="B386" s="5">
        <v>46099.42117261574</v>
      </c>
      <c r="C386" s="6">
        <f t="shared" si="1"/>
        <v>46099.42117</v>
      </c>
      <c r="D386" s="4">
        <v>8.57</v>
      </c>
    </row>
    <row r="387" ht="22.5" customHeight="1">
      <c r="A387" s="4" t="s">
        <v>8</v>
      </c>
      <c r="B387" s="5">
        <v>46099.42365408565</v>
      </c>
      <c r="C387" s="6">
        <f t="shared" si="1"/>
        <v>46099.42366</v>
      </c>
      <c r="D387" s="4">
        <v>8.67</v>
      </c>
    </row>
    <row r="388" ht="22.5" customHeight="1">
      <c r="A388" s="4" t="s">
        <v>8</v>
      </c>
      <c r="B388" s="5">
        <v>46099.42414309028</v>
      </c>
      <c r="C388" s="6">
        <f t="shared" si="1"/>
        <v>46099.42414</v>
      </c>
      <c r="D388" s="4" t="s">
        <v>9</v>
      </c>
    </row>
    <row r="389" ht="22.5" customHeight="1">
      <c r="A389" s="4" t="s">
        <v>8</v>
      </c>
      <c r="B389" s="5">
        <v>46099.42414310185</v>
      </c>
      <c r="C389" s="8">
        <f t="shared" si="1"/>
        <v>46099.42414</v>
      </c>
    </row>
    <row r="390" ht="22.5" customHeight="1">
      <c r="A390" s="4" t="s">
        <v>8</v>
      </c>
      <c r="B390" s="5">
        <v>46099.42430020833</v>
      </c>
      <c r="C390" s="6">
        <f t="shared" si="1"/>
        <v>46099.42431</v>
      </c>
      <c r="D390" s="4">
        <v>8.67</v>
      </c>
    </row>
    <row r="391" ht="22.5" customHeight="1">
      <c r="A391" s="4" t="s">
        <v>8</v>
      </c>
      <c r="B391" s="5">
        <v>46099.42502329861</v>
      </c>
      <c r="C391" s="6">
        <f t="shared" si="1"/>
        <v>46099.42502</v>
      </c>
      <c r="D391" s="4">
        <v>8.74</v>
      </c>
    </row>
    <row r="392" ht="22.5" customHeight="1">
      <c r="A392" s="4" t="s">
        <v>8</v>
      </c>
      <c r="B392" s="5">
        <v>46099.428452037035</v>
      </c>
      <c r="C392" s="6">
        <f t="shared" si="1"/>
        <v>46099.42845</v>
      </c>
      <c r="D392" s="4">
        <v>8.78</v>
      </c>
    </row>
    <row r="393" ht="22.5" customHeight="1">
      <c r="A393" s="4" t="s">
        <v>8</v>
      </c>
      <c r="B393" s="5">
        <v>46099.42913388889</v>
      </c>
      <c r="C393" s="6">
        <f t="shared" si="1"/>
        <v>46099.42913</v>
      </c>
      <c r="D393" s="4">
        <v>8.74</v>
      </c>
    </row>
    <row r="394" ht="22.5" customHeight="1">
      <c r="A394" s="4" t="s">
        <v>8</v>
      </c>
      <c r="B394" s="5">
        <v>46099.43050613426</v>
      </c>
      <c r="C394" s="6">
        <f t="shared" si="1"/>
        <v>46099.43051</v>
      </c>
      <c r="D394" s="4">
        <v>8.78</v>
      </c>
    </row>
    <row r="395" ht="22.5" customHeight="1">
      <c r="A395" s="4" t="s">
        <v>8</v>
      </c>
      <c r="B395" s="5">
        <v>46099.43306024306</v>
      </c>
      <c r="C395" s="6">
        <f t="shared" si="1"/>
        <v>46099.43306</v>
      </c>
      <c r="D395" s="4">
        <v>8.74</v>
      </c>
    </row>
    <row r="396" ht="22.5" customHeight="1">
      <c r="A396" s="4" t="s">
        <v>8</v>
      </c>
      <c r="B396" s="5">
        <v>46099.43346853009</v>
      </c>
      <c r="C396" s="6">
        <f t="shared" si="1"/>
        <v>46099.43347</v>
      </c>
      <c r="D396" s="4" t="s">
        <v>9</v>
      </c>
    </row>
    <row r="397" ht="22.5" customHeight="1">
      <c r="A397" s="4" t="s">
        <v>8</v>
      </c>
      <c r="B397" s="5">
        <v>46099.43346854167</v>
      </c>
      <c r="C397" s="8">
        <f t="shared" si="1"/>
        <v>46099.43347</v>
      </c>
    </row>
    <row r="398" ht="22.5" customHeight="1">
      <c r="A398" s="4" t="s">
        <v>8</v>
      </c>
      <c r="B398" s="5">
        <v>46099.43633438658</v>
      </c>
      <c r="C398" s="6">
        <f t="shared" si="1"/>
        <v>46099.43633</v>
      </c>
      <c r="D398" s="4">
        <v>8.74</v>
      </c>
    </row>
    <row r="399" ht="22.5" customHeight="1">
      <c r="A399" s="4" t="s">
        <v>8</v>
      </c>
      <c r="B399" s="5">
        <v>46099.437857743054</v>
      </c>
      <c r="C399" s="6">
        <f t="shared" si="1"/>
        <v>46099.43786</v>
      </c>
      <c r="D399" s="4">
        <v>8.78</v>
      </c>
    </row>
    <row r="400" ht="22.5" customHeight="1">
      <c r="A400" s="4" t="s">
        <v>8</v>
      </c>
      <c r="B400" s="5">
        <v>46099.43923019676</v>
      </c>
      <c r="C400" s="6">
        <f t="shared" si="1"/>
        <v>46099.43922</v>
      </c>
      <c r="D400" s="4">
        <v>8.85</v>
      </c>
    </row>
    <row r="401" ht="22.5" customHeight="1">
      <c r="A401" s="4" t="s">
        <v>8</v>
      </c>
      <c r="B401" s="5">
        <v>46099.43991314815</v>
      </c>
      <c r="C401" s="6">
        <f t="shared" si="1"/>
        <v>46099.43991</v>
      </c>
      <c r="D401" s="4">
        <v>8.78</v>
      </c>
    </row>
    <row r="402" ht="22.5" customHeight="1">
      <c r="A402" s="4" t="s">
        <v>8</v>
      </c>
      <c r="B402" s="5">
        <v>46099.440598333334</v>
      </c>
      <c r="C402" s="6">
        <f t="shared" si="1"/>
        <v>46099.4406</v>
      </c>
      <c r="D402" s="4">
        <v>8.74</v>
      </c>
    </row>
    <row r="403" ht="22.5" customHeight="1">
      <c r="A403" s="4" t="s">
        <v>8</v>
      </c>
      <c r="B403" s="5">
        <v>46099.441292372685</v>
      </c>
      <c r="C403" s="6">
        <f t="shared" si="1"/>
        <v>46099.4413</v>
      </c>
      <c r="D403" s="4">
        <v>8.78</v>
      </c>
    </row>
    <row r="404" ht="22.5" customHeight="1">
      <c r="A404" s="4" t="s">
        <v>8</v>
      </c>
      <c r="B404" s="5">
        <v>46099.44197075231</v>
      </c>
      <c r="C404" s="6">
        <f t="shared" si="1"/>
        <v>46099.44197</v>
      </c>
      <c r="D404" s="4">
        <v>8.67</v>
      </c>
    </row>
    <row r="405" ht="22.5" customHeight="1">
      <c r="A405" s="4" t="s">
        <v>8</v>
      </c>
      <c r="B405" s="5">
        <v>46099.44265586806</v>
      </c>
      <c r="C405" s="6">
        <f t="shared" si="1"/>
        <v>46099.44265</v>
      </c>
      <c r="D405" s="4">
        <v>8.62</v>
      </c>
    </row>
    <row r="406" ht="22.5" customHeight="1">
      <c r="A406" s="4" t="s">
        <v>8</v>
      </c>
      <c r="B406" s="5">
        <v>46099.443341770835</v>
      </c>
      <c r="C406" s="6">
        <f t="shared" si="1"/>
        <v>46099.44334</v>
      </c>
      <c r="D406" s="4">
        <v>8.67</v>
      </c>
    </row>
    <row r="407" ht="22.5" customHeight="1">
      <c r="A407" s="4" t="s">
        <v>8</v>
      </c>
      <c r="B407" s="5">
        <v>46099.45841393519</v>
      </c>
      <c r="C407" s="6">
        <f t="shared" si="1"/>
        <v>46099.45841</v>
      </c>
      <c r="D407" s="4">
        <v>8.74</v>
      </c>
    </row>
    <row r="408" ht="22.5" customHeight="1">
      <c r="A408" s="4" t="s">
        <v>8</v>
      </c>
      <c r="B408" s="5">
        <v>46099.459099837964</v>
      </c>
      <c r="C408" s="6">
        <f t="shared" si="1"/>
        <v>46099.4591</v>
      </c>
      <c r="D408" s="4">
        <v>8.67</v>
      </c>
    </row>
    <row r="409" ht="22.5" customHeight="1">
      <c r="A409" s="4" t="s">
        <v>8</v>
      </c>
      <c r="B409" s="5">
        <v>46099.46115415509</v>
      </c>
      <c r="C409" s="6">
        <f t="shared" si="1"/>
        <v>46099.46116</v>
      </c>
      <c r="D409" s="4">
        <v>8.74</v>
      </c>
    </row>
    <row r="410" ht="22.5" customHeight="1">
      <c r="A410" s="4" t="s">
        <v>8</v>
      </c>
      <c r="B410" s="5">
        <v>46099.46252450231</v>
      </c>
      <c r="C410" s="6">
        <f t="shared" si="1"/>
        <v>46099.46252</v>
      </c>
      <c r="D410" s="4">
        <v>8.67</v>
      </c>
    </row>
    <row r="411" ht="22.5" customHeight="1">
      <c r="A411" s="4" t="s">
        <v>8</v>
      </c>
      <c r="B411" s="5">
        <v>46099.46526413195</v>
      </c>
      <c r="C411" s="6">
        <f t="shared" si="1"/>
        <v>46099.46527</v>
      </c>
      <c r="D411" s="4">
        <v>8.74</v>
      </c>
    </row>
    <row r="412" ht="22.5" customHeight="1">
      <c r="A412" s="4" t="s">
        <v>8</v>
      </c>
      <c r="B412" s="5">
        <v>46099.467326666665</v>
      </c>
      <c r="C412" s="6">
        <f t="shared" si="1"/>
        <v>46099.46733</v>
      </c>
      <c r="D412" s="4">
        <v>8.78</v>
      </c>
    </row>
    <row r="413" ht="22.5" customHeight="1">
      <c r="A413" s="4" t="s">
        <v>8</v>
      </c>
      <c r="B413" s="5">
        <v>46099.46800947917</v>
      </c>
      <c r="C413" s="6">
        <f t="shared" si="1"/>
        <v>46099.46801</v>
      </c>
      <c r="D413" s="4">
        <v>8.74</v>
      </c>
    </row>
    <row r="414" ht="22.5" customHeight="1">
      <c r="A414" s="4" t="s">
        <v>8</v>
      </c>
      <c r="B414" s="5">
        <v>46099.469375486115</v>
      </c>
      <c r="C414" s="6">
        <f t="shared" si="1"/>
        <v>46099.46938</v>
      </c>
      <c r="D414" s="4">
        <v>8.78</v>
      </c>
    </row>
    <row r="415" ht="22.5" customHeight="1">
      <c r="A415" s="4" t="s">
        <v>8</v>
      </c>
      <c r="B415" s="5">
        <v>46099.470059722225</v>
      </c>
      <c r="C415" s="6">
        <f t="shared" si="1"/>
        <v>46099.47006</v>
      </c>
      <c r="D415" s="4">
        <v>8.74</v>
      </c>
    </row>
    <row r="416" ht="22.5" customHeight="1">
      <c r="A416" s="4" t="s">
        <v>8</v>
      </c>
      <c r="B416" s="5">
        <v>46099.47348619213</v>
      </c>
      <c r="C416" s="6">
        <f t="shared" si="1"/>
        <v>46099.47348</v>
      </c>
      <c r="D416" s="4">
        <v>8.78</v>
      </c>
    </row>
    <row r="417" ht="22.5" customHeight="1">
      <c r="A417" s="4" t="s">
        <v>8</v>
      </c>
      <c r="B417" s="5">
        <v>46099.474173622686</v>
      </c>
      <c r="C417" s="6">
        <f t="shared" si="1"/>
        <v>46099.47418</v>
      </c>
      <c r="D417" s="4">
        <v>8.67</v>
      </c>
    </row>
    <row r="418" ht="22.5" customHeight="1">
      <c r="A418" s="4" t="s">
        <v>8</v>
      </c>
      <c r="B418" s="5">
        <v>46099.47486287037</v>
      </c>
      <c r="C418" s="6">
        <f t="shared" si="1"/>
        <v>46099.47486</v>
      </c>
      <c r="D418" s="4">
        <v>8.74</v>
      </c>
    </row>
    <row r="419" ht="22.5" customHeight="1">
      <c r="A419" s="4" t="s">
        <v>8</v>
      </c>
      <c r="B419" s="5">
        <v>46099.4775971875</v>
      </c>
      <c r="C419" s="6">
        <f t="shared" si="1"/>
        <v>46099.47759</v>
      </c>
      <c r="D419" s="4">
        <v>8.78</v>
      </c>
    </row>
    <row r="420" ht="22.5" customHeight="1">
      <c r="A420" s="4" t="s">
        <v>8</v>
      </c>
      <c r="B420" s="5">
        <v>46099.478967256946</v>
      </c>
      <c r="C420" s="6">
        <f t="shared" si="1"/>
        <v>46099.47897</v>
      </c>
      <c r="D420" s="4">
        <v>8.85</v>
      </c>
    </row>
    <row r="421" ht="22.5" customHeight="1">
      <c r="A421" s="4" t="s">
        <v>8</v>
      </c>
      <c r="B421" s="5">
        <v>46099.48102128472</v>
      </c>
      <c r="C421" s="6">
        <f t="shared" si="1"/>
        <v>46099.48102</v>
      </c>
      <c r="D421" s="4">
        <v>8.78</v>
      </c>
    </row>
    <row r="422" ht="22.5" customHeight="1">
      <c r="A422" s="4" t="s">
        <v>8</v>
      </c>
      <c r="B422" s="5">
        <v>46099.48171105324</v>
      </c>
      <c r="C422" s="6">
        <f t="shared" si="1"/>
        <v>46099.48171</v>
      </c>
      <c r="D422" s="4">
        <v>8.85</v>
      </c>
    </row>
    <row r="423" ht="22.5" customHeight="1">
      <c r="A423" s="4" t="s">
        <v>8</v>
      </c>
      <c r="B423" s="5">
        <v>46099.5166471875</v>
      </c>
      <c r="C423" s="6">
        <f t="shared" si="1"/>
        <v>46099.51664</v>
      </c>
      <c r="D423" s="4">
        <v>8.89</v>
      </c>
    </row>
    <row r="424" ht="22.5" customHeight="1">
      <c r="A424" s="4" t="s">
        <v>8</v>
      </c>
      <c r="B424" s="5">
        <v>46099.51733106482</v>
      </c>
      <c r="C424" s="6">
        <f t="shared" si="1"/>
        <v>46099.51733</v>
      </c>
      <c r="D424" s="4">
        <v>8.95</v>
      </c>
    </row>
    <row r="425" ht="22.5" customHeight="1">
      <c r="A425" s="4" t="s">
        <v>8</v>
      </c>
      <c r="B425" s="5">
        <v>46099.51870101852</v>
      </c>
      <c r="C425" s="6">
        <f t="shared" si="1"/>
        <v>46099.5187</v>
      </c>
      <c r="D425" s="4">
        <v>8.89</v>
      </c>
    </row>
    <row r="426" ht="22.5" customHeight="1">
      <c r="A426" s="4" t="s">
        <v>8</v>
      </c>
      <c r="B426" s="5">
        <v>46099.519385810185</v>
      </c>
      <c r="C426" s="6">
        <f t="shared" si="1"/>
        <v>46099.51939</v>
      </c>
      <c r="D426" s="4">
        <v>8.95</v>
      </c>
    </row>
    <row r="427" ht="22.5" customHeight="1">
      <c r="A427" s="4" t="s">
        <v>8</v>
      </c>
      <c r="B427" s="5">
        <v>46099.52075694445</v>
      </c>
      <c r="C427" s="6">
        <f t="shared" si="1"/>
        <v>46099.52075</v>
      </c>
      <c r="D427" s="4">
        <v>8.85</v>
      </c>
    </row>
    <row r="428" ht="22.5" customHeight="1">
      <c r="A428" s="4" t="s">
        <v>8</v>
      </c>
      <c r="B428" s="5">
        <v>46099.52555251157</v>
      </c>
      <c r="C428" s="6">
        <f t="shared" si="1"/>
        <v>46099.52556</v>
      </c>
      <c r="D428" s="4">
        <v>8.89</v>
      </c>
    </row>
    <row r="429" ht="22.5" customHeight="1">
      <c r="A429" s="4" t="s">
        <v>8</v>
      </c>
      <c r="B429" s="5">
        <v>46099.52623900463</v>
      </c>
      <c r="C429" s="6">
        <f t="shared" si="1"/>
        <v>46099.52624</v>
      </c>
      <c r="D429" s="4">
        <v>8.85</v>
      </c>
    </row>
    <row r="430" ht="22.5" customHeight="1">
      <c r="A430" s="4" t="s">
        <v>8</v>
      </c>
      <c r="B430" s="5">
        <v>46099.528294097225</v>
      </c>
      <c r="C430" s="6">
        <f t="shared" si="1"/>
        <v>46099.5283</v>
      </c>
      <c r="D430" s="4">
        <v>8.89</v>
      </c>
    </row>
    <row r="431" ht="22.5" customHeight="1">
      <c r="A431" s="4" t="s">
        <v>8</v>
      </c>
      <c r="B431" s="5">
        <v>46099.53035579861</v>
      </c>
      <c r="C431" s="6">
        <f t="shared" si="1"/>
        <v>46099.53036</v>
      </c>
      <c r="D431" s="4">
        <v>8.85</v>
      </c>
    </row>
    <row r="432" ht="22.5" customHeight="1">
      <c r="A432" s="4" t="s">
        <v>8</v>
      </c>
      <c r="B432" s="5">
        <v>46099.53171885417</v>
      </c>
      <c r="C432" s="6">
        <f t="shared" si="1"/>
        <v>46099.53172</v>
      </c>
      <c r="D432" s="4">
        <v>8.89</v>
      </c>
    </row>
    <row r="433" ht="22.5" customHeight="1">
      <c r="A433" s="4" t="s">
        <v>8</v>
      </c>
      <c r="B433" s="5">
        <v>46099.53240393518</v>
      </c>
      <c r="C433" s="6">
        <f t="shared" si="1"/>
        <v>46099.53241</v>
      </c>
      <c r="D433" s="4">
        <v>8.85</v>
      </c>
    </row>
    <row r="434" ht="22.5" customHeight="1">
      <c r="A434" s="4" t="s">
        <v>8</v>
      </c>
      <c r="B434" s="5">
        <v>46099.54268315972</v>
      </c>
      <c r="C434" s="6">
        <f t="shared" si="1"/>
        <v>46099.54269</v>
      </c>
      <c r="D434" s="4">
        <v>8.89</v>
      </c>
    </row>
    <row r="435" ht="22.5" customHeight="1">
      <c r="A435" s="4" t="s">
        <v>8</v>
      </c>
      <c r="B435" s="5">
        <v>46099.54336561343</v>
      </c>
      <c r="C435" s="6">
        <f t="shared" si="1"/>
        <v>46099.54337</v>
      </c>
      <c r="D435" s="4">
        <v>8.85</v>
      </c>
    </row>
    <row r="436" ht="22.5" customHeight="1">
      <c r="A436" s="4" t="s">
        <v>8</v>
      </c>
      <c r="B436" s="5">
        <v>46099.54610519676</v>
      </c>
      <c r="C436" s="6">
        <f t="shared" si="1"/>
        <v>46099.5461</v>
      </c>
      <c r="D436" s="4">
        <v>8.89</v>
      </c>
    </row>
    <row r="437" ht="22.5" customHeight="1">
      <c r="A437" s="4" t="s">
        <v>8</v>
      </c>
      <c r="B437" s="5">
        <v>46099.54679019676</v>
      </c>
      <c r="C437" s="6">
        <f t="shared" si="1"/>
        <v>46099.54679</v>
      </c>
      <c r="D437" s="4">
        <v>8.85</v>
      </c>
    </row>
    <row r="438" ht="22.5" customHeight="1">
      <c r="A438" s="4" t="s">
        <v>8</v>
      </c>
      <c r="B438" s="5">
        <v>46099.54747513889</v>
      </c>
      <c r="C438" s="6">
        <f t="shared" si="1"/>
        <v>46099.54748</v>
      </c>
      <c r="D438" s="4">
        <v>8.89</v>
      </c>
    </row>
    <row r="439" ht="22.5" customHeight="1">
      <c r="A439" s="4" t="s">
        <v>8</v>
      </c>
      <c r="B439" s="5">
        <v>46099.54884844907</v>
      </c>
      <c r="C439" s="6">
        <f t="shared" si="1"/>
        <v>46099.54885</v>
      </c>
      <c r="D439" s="4">
        <v>9.01</v>
      </c>
    </row>
    <row r="440" ht="22.5" customHeight="1">
      <c r="A440" s="4" t="s">
        <v>8</v>
      </c>
      <c r="B440" s="5">
        <v>46099.551817210646</v>
      </c>
      <c r="C440" s="6">
        <f t="shared" si="1"/>
        <v>46099.55182</v>
      </c>
      <c r="D440" s="4">
        <v>9.07</v>
      </c>
    </row>
    <row r="441" ht="22.5" customHeight="1">
      <c r="A441" s="4" t="s">
        <v>8</v>
      </c>
      <c r="B441" s="5">
        <v>46099.55455505787</v>
      </c>
      <c r="C441" s="6">
        <f t="shared" si="1"/>
        <v>46099.55456</v>
      </c>
      <c r="D441" s="4">
        <v>9.01</v>
      </c>
    </row>
    <row r="442" ht="22.5" customHeight="1">
      <c r="A442" s="4" t="s">
        <v>8</v>
      </c>
      <c r="B442" s="5">
        <v>46099.55524129629</v>
      </c>
      <c r="C442" s="6">
        <f t="shared" si="1"/>
        <v>46099.55524</v>
      </c>
      <c r="D442" s="4">
        <v>9.07</v>
      </c>
    </row>
    <row r="443" ht="22.5" customHeight="1">
      <c r="A443" s="4" t="s">
        <v>8</v>
      </c>
      <c r="B443" s="5">
        <v>46099.55600550926</v>
      </c>
      <c r="C443" s="6">
        <f t="shared" si="1"/>
        <v>46099.55601</v>
      </c>
      <c r="D443" s="4" t="s">
        <v>9</v>
      </c>
    </row>
    <row r="444" ht="22.5" customHeight="1">
      <c r="A444" s="4" t="s">
        <v>8</v>
      </c>
      <c r="B444" s="5">
        <v>46099.55600552083</v>
      </c>
      <c r="C444" s="8">
        <f t="shared" si="1"/>
        <v>46099.55601</v>
      </c>
    </row>
    <row r="445" ht="22.5" customHeight="1">
      <c r="A445" s="4" t="s">
        <v>8</v>
      </c>
      <c r="B445" s="5">
        <v>46099.556371770836</v>
      </c>
      <c r="C445" s="6">
        <f t="shared" si="1"/>
        <v>46099.55638</v>
      </c>
      <c r="D445" s="4">
        <v>9.07</v>
      </c>
    </row>
    <row r="446" ht="22.5" customHeight="1">
      <c r="A446" s="4" t="s">
        <v>8</v>
      </c>
      <c r="B446" s="5">
        <v>46099.55661146991</v>
      </c>
      <c r="C446" s="6">
        <f t="shared" si="1"/>
        <v>46099.55661</v>
      </c>
      <c r="D446" s="4">
        <v>9.01</v>
      </c>
    </row>
    <row r="447" ht="22.5" customHeight="1">
      <c r="A447" s="4" t="s">
        <v>8</v>
      </c>
      <c r="B447" s="5">
        <v>46099.55729773148</v>
      </c>
      <c r="C447" s="6">
        <f t="shared" si="1"/>
        <v>46099.5573</v>
      </c>
      <c r="D447" s="4">
        <v>9.07</v>
      </c>
    </row>
    <row r="448" ht="22.5" customHeight="1">
      <c r="A448" s="4" t="s">
        <v>8</v>
      </c>
      <c r="B448" s="5">
        <v>46099.55798283565</v>
      </c>
      <c r="C448" s="6">
        <f t="shared" si="1"/>
        <v>46099.55799</v>
      </c>
      <c r="D448" s="4">
        <v>9.01</v>
      </c>
    </row>
    <row r="449" ht="22.5" customHeight="1">
      <c r="A449" s="4" t="s">
        <v>8</v>
      </c>
      <c r="B449" s="5">
        <v>46099.55867047454</v>
      </c>
      <c r="C449" s="6">
        <f t="shared" si="1"/>
        <v>46099.55867</v>
      </c>
      <c r="D449" s="4">
        <v>9.07</v>
      </c>
    </row>
    <row r="450" ht="22.5" customHeight="1">
      <c r="A450" s="4" t="s">
        <v>8</v>
      </c>
      <c r="B450" s="5">
        <v>46099.57023631944</v>
      </c>
      <c r="C450" s="6">
        <f t="shared" si="1"/>
        <v>46099.57023</v>
      </c>
      <c r="D450" s="4" t="s">
        <v>9</v>
      </c>
    </row>
    <row r="451" ht="22.5" customHeight="1">
      <c r="A451" s="4" t="s">
        <v>8</v>
      </c>
      <c r="B451" s="5">
        <v>46099.57023633102</v>
      </c>
      <c r="C451" s="8">
        <f t="shared" si="1"/>
        <v>46099.57023</v>
      </c>
    </row>
    <row r="452" ht="22.5" customHeight="1">
      <c r="A452" s="4" t="s">
        <v>8</v>
      </c>
      <c r="B452" s="5">
        <v>46099.570377048614</v>
      </c>
      <c r="C452" s="6">
        <f t="shared" si="1"/>
        <v>46099.57038</v>
      </c>
      <c r="D452" s="4">
        <v>9.07</v>
      </c>
    </row>
    <row r="453" ht="22.5" customHeight="1">
      <c r="A453" s="4" t="s">
        <v>8</v>
      </c>
      <c r="B453" s="5">
        <v>46099.57856696759</v>
      </c>
      <c r="C453" s="6">
        <f t="shared" si="1"/>
        <v>46099.57856</v>
      </c>
      <c r="D453" s="4">
        <v>9.12</v>
      </c>
    </row>
    <row r="454" ht="22.5" customHeight="1">
      <c r="A454" s="4" t="s">
        <v>8</v>
      </c>
      <c r="B454" s="5">
        <v>46099.57925325231</v>
      </c>
      <c r="C454" s="6">
        <f t="shared" si="1"/>
        <v>46099.57925</v>
      </c>
      <c r="D454" s="4">
        <v>9.07</v>
      </c>
    </row>
    <row r="455" ht="22.5" customHeight="1">
      <c r="A455" s="4" t="s">
        <v>8</v>
      </c>
      <c r="B455" s="5">
        <v>46099.58032234954</v>
      </c>
      <c r="C455" s="6">
        <f t="shared" si="1"/>
        <v>46099.58032</v>
      </c>
      <c r="D455" s="4" t="s">
        <v>9</v>
      </c>
    </row>
    <row r="456" ht="22.5" customHeight="1">
      <c r="A456" s="4" t="s">
        <v>8</v>
      </c>
      <c r="B456" s="5">
        <v>46099.580322361115</v>
      </c>
      <c r="C456" s="8">
        <f t="shared" si="1"/>
        <v>46099.58032</v>
      </c>
    </row>
    <row r="457" ht="22.5" customHeight="1">
      <c r="A457" s="4" t="s">
        <v>8</v>
      </c>
      <c r="B457" s="5">
        <v>46099.624258634256</v>
      </c>
      <c r="C457" s="6">
        <f t="shared" si="1"/>
        <v>46099.62426</v>
      </c>
      <c r="D457" s="4">
        <v>9.07</v>
      </c>
    </row>
    <row r="458" ht="22.5" customHeight="1">
      <c r="A458" s="4" t="s">
        <v>8</v>
      </c>
      <c r="B458" s="5">
        <v>46099.63315996528</v>
      </c>
      <c r="C458" s="6">
        <f t="shared" si="1"/>
        <v>46099.63316</v>
      </c>
      <c r="D458" s="4" t="s">
        <v>9</v>
      </c>
    </row>
    <row r="459" ht="22.5" customHeight="1">
      <c r="A459" s="4" t="s">
        <v>8</v>
      </c>
      <c r="B459" s="5">
        <v>46099.63315998843</v>
      </c>
      <c r="C459" s="8">
        <f t="shared" si="1"/>
        <v>46099.63316</v>
      </c>
    </row>
    <row r="460" ht="22.5" customHeight="1">
      <c r="A460" s="4" t="s">
        <v>8</v>
      </c>
      <c r="B460" s="5">
        <v>46099.63487840278</v>
      </c>
      <c r="C460" s="6">
        <f t="shared" si="1"/>
        <v>46099.63487</v>
      </c>
      <c r="D460" s="4">
        <v>9.07</v>
      </c>
    </row>
    <row r="461" ht="22.5" customHeight="1">
      <c r="A461" s="4" t="s">
        <v>8</v>
      </c>
      <c r="B461" s="5">
        <v>46099.63676059028</v>
      </c>
      <c r="C461" s="6">
        <f t="shared" si="1"/>
        <v>46099.63676</v>
      </c>
      <c r="D461" s="4" t="s">
        <v>9</v>
      </c>
    </row>
    <row r="462" ht="22.5" customHeight="1">
      <c r="A462" s="4" t="s">
        <v>8</v>
      </c>
      <c r="B462" s="5">
        <v>46099.636760601854</v>
      </c>
      <c r="C462" s="8">
        <f t="shared" si="1"/>
        <v>46099.63676</v>
      </c>
    </row>
    <row r="463" ht="22.5" customHeight="1">
      <c r="A463" s="4" t="s">
        <v>8</v>
      </c>
      <c r="B463" s="5">
        <v>46099.63709456019</v>
      </c>
      <c r="C463" s="6">
        <f t="shared" si="1"/>
        <v>46099.63709</v>
      </c>
      <c r="D463" s="4">
        <v>9.07</v>
      </c>
    </row>
    <row r="464" ht="22.5" customHeight="1">
      <c r="A464" s="4" t="s">
        <v>8</v>
      </c>
      <c r="B464" s="5">
        <v>46099.63765467593</v>
      </c>
      <c r="C464" s="6">
        <f t="shared" si="1"/>
        <v>46099.63765</v>
      </c>
      <c r="D464" s="4">
        <v>9.12</v>
      </c>
    </row>
    <row r="465" ht="22.5" customHeight="1">
      <c r="A465" s="4" t="s">
        <v>8</v>
      </c>
      <c r="B465" s="5">
        <v>46099.63902627315</v>
      </c>
      <c r="C465" s="6">
        <f t="shared" si="1"/>
        <v>46099.63903</v>
      </c>
      <c r="D465" s="4">
        <v>9.18</v>
      </c>
    </row>
    <row r="466" ht="22.5" customHeight="1">
      <c r="A466" s="4" t="s">
        <v>8</v>
      </c>
      <c r="B466" s="5">
        <v>46099.64039587963</v>
      </c>
      <c r="C466" s="6">
        <f t="shared" si="1"/>
        <v>46099.64039</v>
      </c>
      <c r="D466" s="4">
        <v>9.22</v>
      </c>
    </row>
    <row r="467" ht="22.5" customHeight="1">
      <c r="A467" s="4" t="s">
        <v>8</v>
      </c>
      <c r="B467" s="5">
        <v>46099.64108210648</v>
      </c>
      <c r="C467" s="6">
        <f t="shared" si="1"/>
        <v>46099.64108</v>
      </c>
      <c r="D467" s="4">
        <v>9.39</v>
      </c>
    </row>
    <row r="468" ht="22.5" customHeight="1">
      <c r="A468" s="4" t="s">
        <v>8</v>
      </c>
      <c r="B468" s="5">
        <v>46099.64128549769</v>
      </c>
      <c r="C468" s="6">
        <f t="shared" si="1"/>
        <v>46099.64128</v>
      </c>
      <c r="D468" s="4" t="s">
        <v>9</v>
      </c>
    </row>
    <row r="469" ht="22.5" customHeight="1">
      <c r="A469" s="4" t="s">
        <v>8</v>
      </c>
      <c r="B469" s="5">
        <v>46099.64128552083</v>
      </c>
      <c r="C469" s="6">
        <f t="shared" si="1"/>
        <v>46099.64128</v>
      </c>
      <c r="D469" s="4">
        <v>9.39</v>
      </c>
    </row>
    <row r="470" ht="22.5" customHeight="1">
      <c r="A470" s="4" t="s">
        <v>8</v>
      </c>
      <c r="B470" s="5">
        <v>46099.645193888886</v>
      </c>
      <c r="C470" s="6">
        <f t="shared" si="1"/>
        <v>46099.6452</v>
      </c>
      <c r="D470" s="4">
        <v>9.43</v>
      </c>
    </row>
    <row r="471" ht="22.5" customHeight="1">
      <c r="A471" s="4" t="s">
        <v>8</v>
      </c>
      <c r="B471" s="5">
        <v>46099.6458809375</v>
      </c>
      <c r="C471" s="6">
        <f t="shared" si="1"/>
        <v>46099.64588</v>
      </c>
      <c r="D471" s="4">
        <v>9.49</v>
      </c>
    </row>
    <row r="472" ht="22.5" customHeight="1">
      <c r="A472" s="4" t="s">
        <v>8</v>
      </c>
      <c r="B472" s="5">
        <v>46099.646567627315</v>
      </c>
      <c r="C472" s="6">
        <f t="shared" si="1"/>
        <v>46099.64656</v>
      </c>
      <c r="D472" s="4">
        <v>9.55</v>
      </c>
    </row>
    <row r="473" ht="22.5" customHeight="1">
      <c r="A473" s="4" t="s">
        <v>8</v>
      </c>
      <c r="B473" s="5">
        <v>46099.64724884259</v>
      </c>
      <c r="C473" s="6">
        <f t="shared" si="1"/>
        <v>46099.64725</v>
      </c>
      <c r="D473" s="4">
        <v>9.6</v>
      </c>
    </row>
    <row r="474" ht="22.5" customHeight="1">
      <c r="A474" s="4" t="s">
        <v>8</v>
      </c>
      <c r="B474" s="5">
        <v>46099.652048668984</v>
      </c>
      <c r="C474" s="6">
        <f t="shared" si="1"/>
        <v>46099.65205</v>
      </c>
      <c r="D474" s="4">
        <v>9.66</v>
      </c>
    </row>
    <row r="475" ht="22.5" customHeight="1">
      <c r="A475" s="4" t="s">
        <v>8</v>
      </c>
      <c r="B475" s="5">
        <v>46099.65273388889</v>
      </c>
      <c r="C475" s="6">
        <f t="shared" si="1"/>
        <v>46099.65273</v>
      </c>
      <c r="D475" s="4">
        <v>9.6</v>
      </c>
    </row>
    <row r="476" ht="22.5" customHeight="1">
      <c r="A476" s="4" t="s">
        <v>8</v>
      </c>
      <c r="B476" s="5">
        <v>46099.65342585648</v>
      </c>
      <c r="C476" s="6">
        <f t="shared" si="1"/>
        <v>46099.65343</v>
      </c>
      <c r="D476" s="4">
        <v>9.72</v>
      </c>
    </row>
    <row r="477" ht="22.5" customHeight="1">
      <c r="A477" s="4" t="s">
        <v>8</v>
      </c>
      <c r="B477" s="5">
        <v>46099.65547527778</v>
      </c>
      <c r="C477" s="6">
        <f t="shared" si="1"/>
        <v>46099.65547</v>
      </c>
      <c r="D477" s="4">
        <v>9.76</v>
      </c>
    </row>
    <row r="478" ht="22.5" customHeight="1">
      <c r="A478" s="4" t="s">
        <v>8</v>
      </c>
      <c r="B478" s="5">
        <v>46099.66164167824</v>
      </c>
      <c r="C478" s="6">
        <f t="shared" si="1"/>
        <v>46099.66164</v>
      </c>
      <c r="D478" s="4">
        <v>9.82</v>
      </c>
    </row>
    <row r="479" ht="22.5" customHeight="1">
      <c r="A479" s="4" t="s">
        <v>8</v>
      </c>
      <c r="B479" s="5">
        <v>46099.66232559028</v>
      </c>
      <c r="C479" s="6">
        <f t="shared" si="1"/>
        <v>46099.66233</v>
      </c>
      <c r="D479" s="4">
        <v>9.88</v>
      </c>
    </row>
    <row r="480" ht="22.5" customHeight="1">
      <c r="A480" s="4" t="s">
        <v>8</v>
      </c>
      <c r="B480" s="5">
        <v>46099.663009641205</v>
      </c>
      <c r="C480" s="6">
        <f t="shared" si="1"/>
        <v>46099.66301</v>
      </c>
      <c r="D480" s="4">
        <v>9.92</v>
      </c>
    </row>
    <row r="481" ht="22.5" customHeight="1">
      <c r="A481" s="4" t="s">
        <v>8</v>
      </c>
      <c r="B481" s="5">
        <v>46099.66369689815</v>
      </c>
      <c r="C481" s="6">
        <f t="shared" si="1"/>
        <v>46099.66369</v>
      </c>
      <c r="D481" s="4">
        <v>9.97</v>
      </c>
    </row>
    <row r="482" ht="22.5" customHeight="1">
      <c r="A482" s="4" t="s">
        <v>8</v>
      </c>
      <c r="B482" s="5">
        <v>46099.664382939816</v>
      </c>
      <c r="C482" s="6">
        <f t="shared" si="1"/>
        <v>46099.66439</v>
      </c>
      <c r="D482" s="4">
        <v>9.92</v>
      </c>
    </row>
    <row r="483" ht="22.5" customHeight="1">
      <c r="A483" s="4" t="s">
        <v>8</v>
      </c>
      <c r="B483" s="5">
        <v>46099.66507407407</v>
      </c>
      <c r="C483" s="6">
        <f t="shared" si="1"/>
        <v>46099.66507</v>
      </c>
      <c r="D483" s="4">
        <v>9.97</v>
      </c>
    </row>
    <row r="484" ht="22.5" customHeight="1">
      <c r="A484" s="4" t="s">
        <v>8</v>
      </c>
      <c r="B484" s="5">
        <v>46099.674658842596</v>
      </c>
      <c r="C484" s="6">
        <f t="shared" si="1"/>
        <v>46099.67466</v>
      </c>
      <c r="D484" s="4">
        <v>10.05</v>
      </c>
    </row>
    <row r="485" ht="22.5" customHeight="1">
      <c r="A485" s="4" t="s">
        <v>8</v>
      </c>
      <c r="B485" s="5">
        <v>46099.67534642361</v>
      </c>
      <c r="C485" s="6">
        <f t="shared" si="1"/>
        <v>46099.67535</v>
      </c>
      <c r="D485" s="4">
        <v>10.09</v>
      </c>
    </row>
    <row r="486" ht="22.5" customHeight="1">
      <c r="A486" s="4" t="s">
        <v>8</v>
      </c>
      <c r="B486" s="5">
        <v>46099.67808510417</v>
      </c>
      <c r="C486" s="6">
        <f t="shared" si="1"/>
        <v>46099.67809</v>
      </c>
      <c r="D486" s="4">
        <v>10.13</v>
      </c>
    </row>
    <row r="487" ht="22.5" customHeight="1">
      <c r="A487" s="4" t="s">
        <v>8</v>
      </c>
      <c r="B487" s="5">
        <v>46099.68836337963</v>
      </c>
      <c r="C487" s="6">
        <f t="shared" si="1"/>
        <v>46099.68837</v>
      </c>
      <c r="D487" s="4">
        <v>10.21</v>
      </c>
    </row>
    <row r="488" ht="22.5" customHeight="1">
      <c r="A488" s="4" t="s">
        <v>8</v>
      </c>
      <c r="B488" s="5">
        <v>46099.68904819444</v>
      </c>
      <c r="C488" s="6">
        <f t="shared" si="1"/>
        <v>46099.68905</v>
      </c>
      <c r="D488" s="4">
        <v>10.13</v>
      </c>
    </row>
    <row r="489" ht="22.5" customHeight="1">
      <c r="A489" s="4" t="s">
        <v>8</v>
      </c>
      <c r="B489" s="5">
        <v>46099.68973435185</v>
      </c>
      <c r="C489" s="6">
        <f t="shared" si="1"/>
        <v>46099.68973</v>
      </c>
      <c r="D489" s="4">
        <v>10.21</v>
      </c>
    </row>
    <row r="490" ht="22.5" customHeight="1">
      <c r="A490" s="4" t="s">
        <v>8</v>
      </c>
      <c r="B490" s="5">
        <v>46099.69248042824</v>
      </c>
      <c r="C490" s="6">
        <f t="shared" si="1"/>
        <v>46099.69248</v>
      </c>
      <c r="D490" s="4">
        <v>10.26</v>
      </c>
    </row>
    <row r="491" ht="22.5" customHeight="1">
      <c r="A491" s="4" t="s">
        <v>8</v>
      </c>
      <c r="B491" s="5">
        <v>46099.69796532407</v>
      </c>
      <c r="C491" s="6">
        <f t="shared" si="1"/>
        <v>46099.69796</v>
      </c>
      <c r="D491" s="4">
        <v>10.3</v>
      </c>
    </row>
    <row r="492" ht="22.5" customHeight="1">
      <c r="A492" s="4" t="s">
        <v>8</v>
      </c>
      <c r="B492" s="5">
        <v>46099.720566828706</v>
      </c>
      <c r="C492" s="6">
        <f t="shared" si="1"/>
        <v>46099.72057</v>
      </c>
      <c r="D492" s="4">
        <v>10.37</v>
      </c>
    </row>
    <row r="493" ht="22.5" customHeight="1">
      <c r="A493" s="4" t="s">
        <v>8</v>
      </c>
      <c r="B493" s="5">
        <v>46099.72330936343</v>
      </c>
      <c r="C493" s="6">
        <f t="shared" si="1"/>
        <v>46099.72331</v>
      </c>
      <c r="D493" s="4">
        <v>10.42</v>
      </c>
    </row>
    <row r="494" ht="22.5" customHeight="1">
      <c r="A494" s="4" t="s">
        <v>8</v>
      </c>
      <c r="B494" s="5">
        <v>46099.72399251157</v>
      </c>
      <c r="C494" s="6">
        <f t="shared" si="1"/>
        <v>46099.72399</v>
      </c>
      <c r="D494" s="4">
        <v>10.46</v>
      </c>
    </row>
    <row r="495" ht="22.5" customHeight="1">
      <c r="A495" s="4" t="s">
        <v>8</v>
      </c>
      <c r="B495" s="5">
        <v>46099.72467836805</v>
      </c>
      <c r="C495" s="6">
        <f t="shared" si="1"/>
        <v>46099.72468</v>
      </c>
      <c r="D495" s="4">
        <v>10.42</v>
      </c>
    </row>
    <row r="496" ht="22.5" customHeight="1">
      <c r="A496" s="4" t="s">
        <v>8</v>
      </c>
      <c r="B496" s="5">
        <v>46099.726740625</v>
      </c>
      <c r="C496" s="6">
        <f t="shared" si="1"/>
        <v>46099.72674</v>
      </c>
      <c r="D496" s="4">
        <v>10.46</v>
      </c>
    </row>
    <row r="497" ht="22.5" customHeight="1">
      <c r="A497" s="4" t="s">
        <v>8</v>
      </c>
      <c r="B497" s="5">
        <v>46099.72742318287</v>
      </c>
      <c r="C497" s="6">
        <f t="shared" si="1"/>
        <v>46099.72742</v>
      </c>
      <c r="D497" s="4">
        <v>10.42</v>
      </c>
    </row>
    <row r="498" ht="22.5" customHeight="1">
      <c r="A498" s="4" t="s">
        <v>8</v>
      </c>
      <c r="B498" s="5">
        <v>46099.72947358796</v>
      </c>
      <c r="C498" s="6">
        <f t="shared" si="1"/>
        <v>46099.72948</v>
      </c>
      <c r="D498" s="4">
        <v>10.46</v>
      </c>
    </row>
    <row r="499" ht="22.5" customHeight="1">
      <c r="A499" s="4" t="s">
        <v>8</v>
      </c>
      <c r="B499" s="5">
        <v>46099.73221487268</v>
      </c>
      <c r="C499" s="6">
        <f t="shared" si="1"/>
        <v>46099.73221</v>
      </c>
      <c r="D499" s="4">
        <v>10.54</v>
      </c>
    </row>
    <row r="500" ht="22.5" customHeight="1">
      <c r="A500" s="4" t="s">
        <v>8</v>
      </c>
      <c r="B500" s="5">
        <v>46099.73906525463</v>
      </c>
      <c r="C500" s="6">
        <f t="shared" si="1"/>
        <v>46099.73906</v>
      </c>
      <c r="D500" s="4">
        <v>10.46</v>
      </c>
    </row>
    <row r="501" ht="22.5" customHeight="1">
      <c r="A501" s="4" t="s">
        <v>8</v>
      </c>
      <c r="B501" s="5">
        <v>46099.73975030093</v>
      </c>
      <c r="C501" s="6">
        <f t="shared" si="1"/>
        <v>46099.73975</v>
      </c>
      <c r="D501" s="4">
        <v>10.54</v>
      </c>
    </row>
    <row r="502" ht="22.5" customHeight="1">
      <c r="A502" s="4" t="s">
        <v>8</v>
      </c>
      <c r="B502" s="5">
        <v>46099.74454795139</v>
      </c>
      <c r="C502" s="6">
        <f t="shared" si="1"/>
        <v>46099.74455</v>
      </c>
      <c r="D502" s="4">
        <v>10.46</v>
      </c>
    </row>
    <row r="503" ht="22.5" customHeight="1">
      <c r="A503" s="4" t="s">
        <v>8</v>
      </c>
      <c r="B503" s="5">
        <v>46099.74660070602</v>
      </c>
      <c r="C503" s="6">
        <f t="shared" si="1"/>
        <v>46099.7466</v>
      </c>
      <c r="D503" s="4">
        <v>10.54</v>
      </c>
    </row>
    <row r="504" ht="22.5" customHeight="1">
      <c r="A504" s="4" t="s">
        <v>8</v>
      </c>
      <c r="B504" s="5">
        <v>46099.76578303241</v>
      </c>
      <c r="C504" s="6">
        <f t="shared" si="1"/>
        <v>46099.76579</v>
      </c>
      <c r="D504" s="4">
        <v>10.86</v>
      </c>
    </row>
    <row r="505" ht="22.5" customHeight="1">
      <c r="A505" s="4" t="s">
        <v>8</v>
      </c>
      <c r="B505" s="5">
        <v>46099.766474027776</v>
      </c>
      <c r="C505" s="6">
        <f t="shared" si="1"/>
        <v>46099.76647</v>
      </c>
      <c r="D505" s="4">
        <v>11.06</v>
      </c>
    </row>
    <row r="506" ht="22.5" customHeight="1">
      <c r="A506" s="4" t="s">
        <v>8</v>
      </c>
      <c r="B506" s="5">
        <v>46099.767153043984</v>
      </c>
      <c r="C506" s="6">
        <f t="shared" si="1"/>
        <v>46099.76715</v>
      </c>
      <c r="D506" s="4">
        <v>11.65</v>
      </c>
    </row>
    <row r="507" ht="22.5" customHeight="1">
      <c r="A507" s="4" t="s">
        <v>8</v>
      </c>
      <c r="B507" s="5">
        <v>46099.767839375</v>
      </c>
      <c r="C507" s="6">
        <f t="shared" si="1"/>
        <v>46099.76784</v>
      </c>
      <c r="D507" s="4">
        <v>12.48</v>
      </c>
    </row>
    <row r="508" ht="22.5" customHeight="1">
      <c r="A508" s="4" t="s">
        <v>8</v>
      </c>
      <c r="B508" s="5">
        <v>46099.76852319444</v>
      </c>
      <c r="C508" s="6">
        <f t="shared" si="1"/>
        <v>46099.76852</v>
      </c>
      <c r="D508" s="4">
        <v>12.94</v>
      </c>
    </row>
    <row r="509" ht="22.5" customHeight="1">
      <c r="A509" s="4" t="s">
        <v>8</v>
      </c>
      <c r="B509" s="5">
        <v>46099.76920753472</v>
      </c>
      <c r="C509" s="6">
        <f t="shared" si="1"/>
        <v>46099.76921</v>
      </c>
      <c r="D509" s="4">
        <v>12.79</v>
      </c>
    </row>
    <row r="510" ht="22.5" customHeight="1">
      <c r="A510" s="4" t="s">
        <v>8</v>
      </c>
      <c r="B510" s="5">
        <v>46099.76989440972</v>
      </c>
      <c r="C510" s="6">
        <f t="shared" si="1"/>
        <v>46099.7699</v>
      </c>
      <c r="D510" s="4">
        <v>13.09</v>
      </c>
    </row>
    <row r="511" ht="22.5" customHeight="1">
      <c r="A511" s="4" t="s">
        <v>8</v>
      </c>
      <c r="B511" s="5">
        <v>46099.77057825231</v>
      </c>
      <c r="C511" s="6">
        <f t="shared" si="1"/>
        <v>46099.77058</v>
      </c>
      <c r="D511" s="4">
        <v>12.79</v>
      </c>
    </row>
    <row r="512" ht="22.5" customHeight="1">
      <c r="A512" s="4" t="s">
        <v>8</v>
      </c>
      <c r="B512" s="5">
        <v>46099.77126689815</v>
      </c>
      <c r="C512" s="6">
        <f t="shared" si="1"/>
        <v>46099.77126</v>
      </c>
      <c r="D512" s="4">
        <v>12.63</v>
      </c>
    </row>
    <row r="513" ht="22.5" customHeight="1">
      <c r="A513" s="4" t="s">
        <v>8</v>
      </c>
      <c r="B513" s="5">
        <v>46099.77194832176</v>
      </c>
      <c r="C513" s="6">
        <f t="shared" si="1"/>
        <v>46099.77194</v>
      </c>
      <c r="D513" s="4">
        <v>12.79</v>
      </c>
    </row>
    <row r="514" ht="22.5" customHeight="1">
      <c r="A514" s="4" t="s">
        <v>8</v>
      </c>
      <c r="B514" s="5">
        <v>46099.773319594904</v>
      </c>
      <c r="C514" s="6">
        <f t="shared" si="1"/>
        <v>46099.77332</v>
      </c>
      <c r="D514" s="4">
        <v>12.63</v>
      </c>
    </row>
    <row r="515" ht="22.5" customHeight="1">
      <c r="A515" s="4" t="s">
        <v>8</v>
      </c>
      <c r="B515" s="5">
        <v>46099.77400239583</v>
      </c>
      <c r="C515" s="6">
        <f t="shared" si="1"/>
        <v>46099.774</v>
      </c>
      <c r="D515" s="4">
        <v>12.05</v>
      </c>
    </row>
    <row r="516" ht="22.5" customHeight="1">
      <c r="A516" s="4" t="s">
        <v>8</v>
      </c>
      <c r="B516" s="5">
        <v>46099.774689756945</v>
      </c>
      <c r="C516" s="6">
        <f t="shared" si="1"/>
        <v>46099.77469</v>
      </c>
      <c r="D516" s="4">
        <v>11.49</v>
      </c>
    </row>
    <row r="517" ht="22.5" customHeight="1">
      <c r="A517" s="4" t="s">
        <v>8</v>
      </c>
      <c r="B517" s="5">
        <v>46099.77537293982</v>
      </c>
      <c r="C517" s="6">
        <f t="shared" si="1"/>
        <v>46099.77537</v>
      </c>
      <c r="D517" s="4">
        <v>11.42</v>
      </c>
    </row>
    <row r="518" ht="22.5" customHeight="1">
      <c r="A518" s="4" t="s">
        <v>8</v>
      </c>
      <c r="B518" s="5">
        <v>46099.77605793982</v>
      </c>
      <c r="C518" s="6">
        <f t="shared" si="1"/>
        <v>46099.77605</v>
      </c>
      <c r="D518" s="4">
        <v>11.49</v>
      </c>
    </row>
    <row r="519" ht="22.5" customHeight="1">
      <c r="A519" s="4" t="s">
        <v>8</v>
      </c>
      <c r="B519" s="5">
        <v>46099.77879758102</v>
      </c>
      <c r="C519" s="6">
        <f t="shared" si="1"/>
        <v>46099.7788</v>
      </c>
      <c r="D519" s="4">
        <v>11.42</v>
      </c>
    </row>
    <row r="520" ht="22.5" customHeight="1">
      <c r="A520" s="4" t="s">
        <v>8</v>
      </c>
      <c r="B520" s="5">
        <v>46099.77948737268</v>
      </c>
      <c r="C520" s="6">
        <f t="shared" si="1"/>
        <v>46099.77949</v>
      </c>
      <c r="D520" s="4">
        <v>11.49</v>
      </c>
    </row>
    <row r="521" ht="22.5" customHeight="1">
      <c r="A521" s="4" t="s">
        <v>8</v>
      </c>
      <c r="B521" s="5">
        <v>46099.780855034725</v>
      </c>
      <c r="C521" s="6">
        <f t="shared" si="1"/>
        <v>46099.78086</v>
      </c>
      <c r="D521" s="4">
        <v>11.54</v>
      </c>
    </row>
    <row r="522" ht="22.5" customHeight="1">
      <c r="A522" s="4" t="s">
        <v>8</v>
      </c>
      <c r="B522" s="5">
        <v>46099.78291304398</v>
      </c>
      <c r="C522" s="6">
        <f t="shared" si="1"/>
        <v>46099.78292</v>
      </c>
      <c r="D522" s="4">
        <v>11.49</v>
      </c>
    </row>
    <row r="523" ht="22.5" customHeight="1">
      <c r="A523" s="4" t="s">
        <v>8</v>
      </c>
      <c r="B523" s="5">
        <v>46099.783597835645</v>
      </c>
      <c r="C523" s="6">
        <f t="shared" si="1"/>
        <v>46099.7836</v>
      </c>
      <c r="D523" s="4">
        <v>11.42</v>
      </c>
    </row>
    <row r="524" ht="22.5" customHeight="1">
      <c r="A524" s="4" t="s">
        <v>8</v>
      </c>
      <c r="B524" s="5">
        <v>46099.78427710648</v>
      </c>
      <c r="C524" s="6">
        <f t="shared" si="1"/>
        <v>46099.78428</v>
      </c>
      <c r="D524" s="4">
        <v>11.54</v>
      </c>
    </row>
    <row r="525" ht="22.5" customHeight="1">
      <c r="A525" s="4" t="s">
        <v>8</v>
      </c>
      <c r="B525" s="5">
        <v>46099.78701807871</v>
      </c>
      <c r="C525" s="6">
        <f t="shared" si="1"/>
        <v>46099.78701</v>
      </c>
      <c r="D525" s="4">
        <v>11.42</v>
      </c>
    </row>
    <row r="526" ht="22.5" customHeight="1">
      <c r="A526" s="4" t="s">
        <v>8</v>
      </c>
      <c r="B526" s="5">
        <v>46099.78770238426</v>
      </c>
      <c r="C526" s="6">
        <f t="shared" si="1"/>
        <v>46099.7877</v>
      </c>
      <c r="D526" s="4">
        <v>11.38</v>
      </c>
    </row>
    <row r="527" ht="22.5" customHeight="1">
      <c r="A527" s="4" t="s">
        <v>8</v>
      </c>
      <c r="B527" s="5">
        <v>46099.78838748843</v>
      </c>
      <c r="C527" s="6">
        <f t="shared" si="1"/>
        <v>46099.78839</v>
      </c>
      <c r="D527" s="4">
        <v>11.49</v>
      </c>
    </row>
    <row r="528" ht="22.5" customHeight="1">
      <c r="A528" s="4" t="s">
        <v>8</v>
      </c>
      <c r="B528" s="5">
        <v>46099.78907199074</v>
      </c>
      <c r="C528" s="6">
        <f t="shared" si="1"/>
        <v>46099.78907</v>
      </c>
      <c r="D528" s="4">
        <v>11.42</v>
      </c>
    </row>
    <row r="529" ht="22.5" customHeight="1">
      <c r="A529" s="4" t="s">
        <v>8</v>
      </c>
      <c r="B529" s="5">
        <v>46099.7904468287</v>
      </c>
      <c r="C529" s="6">
        <f t="shared" si="1"/>
        <v>46099.79045</v>
      </c>
      <c r="D529" s="4">
        <v>11.49</v>
      </c>
    </row>
    <row r="530" ht="22.5" customHeight="1">
      <c r="A530" s="4" t="s">
        <v>8</v>
      </c>
      <c r="B530" s="5">
        <v>46099.79112849537</v>
      </c>
      <c r="C530" s="6">
        <f t="shared" si="1"/>
        <v>46099.79113</v>
      </c>
      <c r="D530" s="4">
        <v>11.42</v>
      </c>
    </row>
    <row r="531" ht="22.5" customHeight="1">
      <c r="A531" s="4" t="s">
        <v>8</v>
      </c>
      <c r="B531" s="5">
        <v>46099.79318346065</v>
      </c>
      <c r="C531" s="6">
        <f t="shared" si="1"/>
        <v>46099.79318</v>
      </c>
      <c r="D531" s="4">
        <v>11.49</v>
      </c>
    </row>
    <row r="532" ht="22.5" customHeight="1">
      <c r="A532" s="4" t="s">
        <v>8</v>
      </c>
      <c r="B532" s="5">
        <v>46099.79866263889</v>
      </c>
      <c r="C532" s="6">
        <f t="shared" si="1"/>
        <v>46099.79866</v>
      </c>
      <c r="D532" s="4">
        <v>11.54</v>
      </c>
    </row>
    <row r="533" ht="22.5" customHeight="1">
      <c r="A533" s="4" t="s">
        <v>8</v>
      </c>
      <c r="B533" s="5">
        <v>46099.80071885417</v>
      </c>
      <c r="C533" s="6">
        <f t="shared" si="1"/>
        <v>46099.80072</v>
      </c>
      <c r="D533" s="4">
        <v>11.58</v>
      </c>
    </row>
    <row r="534" ht="22.5" customHeight="1">
      <c r="A534" s="4" t="s">
        <v>8</v>
      </c>
      <c r="B534" s="5">
        <v>46099.82537332176</v>
      </c>
      <c r="C534" s="6">
        <f t="shared" si="1"/>
        <v>46099.82537</v>
      </c>
      <c r="D534" s="4">
        <v>11.65</v>
      </c>
    </row>
    <row r="535" ht="22.5" customHeight="1">
      <c r="A535" s="4" t="s">
        <v>8</v>
      </c>
      <c r="B535" s="5">
        <v>46099.826060520834</v>
      </c>
      <c r="C535" s="6">
        <f t="shared" si="1"/>
        <v>46099.82606</v>
      </c>
      <c r="D535" s="4">
        <v>11.58</v>
      </c>
    </row>
    <row r="536" ht="22.5" customHeight="1">
      <c r="A536" s="4" t="s">
        <v>8</v>
      </c>
      <c r="B536" s="5">
        <v>46099.82743534722</v>
      </c>
      <c r="C536" s="6">
        <f t="shared" si="1"/>
        <v>46099.82743</v>
      </c>
      <c r="D536" s="4">
        <v>11.65</v>
      </c>
    </row>
    <row r="537" ht="22.5" customHeight="1">
      <c r="A537" s="4" t="s">
        <v>8</v>
      </c>
      <c r="B537" s="5">
        <v>46099.82811333334</v>
      </c>
      <c r="C537" s="6">
        <f t="shared" si="1"/>
        <v>46099.82811</v>
      </c>
      <c r="D537" s="4">
        <v>11.58</v>
      </c>
    </row>
    <row r="538" ht="22.5" customHeight="1">
      <c r="A538" s="4" t="s">
        <v>8</v>
      </c>
      <c r="B538" s="5">
        <v>46099.841124328705</v>
      </c>
      <c r="C538" s="6">
        <f t="shared" si="1"/>
        <v>46099.84112</v>
      </c>
      <c r="D538" s="4">
        <v>11.54</v>
      </c>
    </row>
    <row r="539" ht="22.5" customHeight="1">
      <c r="A539" s="4" t="s">
        <v>8</v>
      </c>
      <c r="B539" s="5">
        <v>46099.84181810185</v>
      </c>
      <c r="C539" s="6">
        <f t="shared" si="1"/>
        <v>46099.84182</v>
      </c>
      <c r="D539" s="4">
        <v>11.58</v>
      </c>
    </row>
    <row r="540" ht="22.5" customHeight="1">
      <c r="A540" s="4" t="s">
        <v>8</v>
      </c>
      <c r="B540" s="5">
        <v>46099.842495543984</v>
      </c>
      <c r="C540" s="6">
        <f t="shared" si="1"/>
        <v>46099.8425</v>
      </c>
      <c r="D540" s="4">
        <v>11.54</v>
      </c>
    </row>
    <row r="541" ht="22.5" customHeight="1">
      <c r="A541" s="4" t="s">
        <v>8</v>
      </c>
      <c r="B541" s="5">
        <v>46099.84317974537</v>
      </c>
      <c r="C541" s="6">
        <f t="shared" si="1"/>
        <v>46099.84318</v>
      </c>
      <c r="D541" s="4">
        <v>11.58</v>
      </c>
    </row>
    <row r="542" ht="22.5" customHeight="1">
      <c r="A542" s="4" t="s">
        <v>8</v>
      </c>
      <c r="B542" s="5">
        <v>46099.84454949074</v>
      </c>
      <c r="C542" s="6">
        <f t="shared" si="1"/>
        <v>46099.84455</v>
      </c>
      <c r="D542" s="4">
        <v>11.54</v>
      </c>
    </row>
    <row r="543" ht="22.5" customHeight="1">
      <c r="A543" s="4" t="s">
        <v>8</v>
      </c>
      <c r="B543" s="5">
        <v>46099.84660388889</v>
      </c>
      <c r="C543" s="6">
        <f t="shared" si="1"/>
        <v>46099.84661</v>
      </c>
      <c r="D543" s="4">
        <v>11.58</v>
      </c>
    </row>
    <row r="544" ht="22.5" customHeight="1">
      <c r="A544" s="4" t="s">
        <v>8</v>
      </c>
      <c r="B544" s="5">
        <v>46099.84934609954</v>
      </c>
      <c r="C544" s="6">
        <f t="shared" si="1"/>
        <v>46099.84935</v>
      </c>
      <c r="D544" s="4">
        <v>12.48</v>
      </c>
    </row>
    <row r="545" ht="22.5" customHeight="1">
      <c r="A545" s="4" t="s">
        <v>8</v>
      </c>
      <c r="B545" s="5">
        <v>46099.85002748843</v>
      </c>
      <c r="C545" s="6">
        <f t="shared" si="1"/>
        <v>46099.85002</v>
      </c>
      <c r="D545" s="4">
        <v>12.79</v>
      </c>
    </row>
    <row r="546" ht="22.5" customHeight="1">
      <c r="A546" s="4" t="s">
        <v>8</v>
      </c>
      <c r="B546" s="5">
        <v>46099.850712465275</v>
      </c>
      <c r="C546" s="6">
        <f t="shared" si="1"/>
        <v>46099.85072</v>
      </c>
      <c r="D546" s="4">
        <v>12.63</v>
      </c>
    </row>
    <row r="547" ht="22.5" customHeight="1">
      <c r="A547" s="4" t="s">
        <v>8</v>
      </c>
      <c r="B547" s="5">
        <v>46099.85139686343</v>
      </c>
      <c r="C547" s="6">
        <f t="shared" si="1"/>
        <v>46099.8514</v>
      </c>
      <c r="D547" s="4">
        <v>12.48</v>
      </c>
    </row>
    <row r="548" ht="22.5" customHeight="1">
      <c r="A548" s="4" t="s">
        <v>8</v>
      </c>
      <c r="B548" s="5">
        <v>46099.852767592594</v>
      </c>
      <c r="C548" s="6">
        <f t="shared" si="1"/>
        <v>46099.85277</v>
      </c>
      <c r="D548" s="4">
        <v>12.54</v>
      </c>
    </row>
    <row r="549" ht="22.5" customHeight="1">
      <c r="A549" s="4" t="s">
        <v>8</v>
      </c>
      <c r="B549" s="5">
        <v>46099.85482084491</v>
      </c>
      <c r="C549" s="6">
        <f t="shared" si="1"/>
        <v>46099.85483</v>
      </c>
      <c r="D549" s="4">
        <v>12.48</v>
      </c>
    </row>
    <row r="550" ht="22.5" customHeight="1">
      <c r="A550" s="4" t="s">
        <v>8</v>
      </c>
      <c r="B550" s="5">
        <v>46099.856190844905</v>
      </c>
      <c r="C550" s="6">
        <f t="shared" si="1"/>
        <v>46099.85619</v>
      </c>
      <c r="D550" s="4">
        <v>12.59</v>
      </c>
    </row>
    <row r="551" ht="22.5" customHeight="1">
      <c r="A551" s="4" t="s">
        <v>8</v>
      </c>
      <c r="B551" s="5">
        <v>46099.85687575232</v>
      </c>
      <c r="C551" s="6">
        <f t="shared" si="1"/>
        <v>46099.85688</v>
      </c>
      <c r="D551" s="4">
        <v>12.54</v>
      </c>
    </row>
    <row r="552" ht="22.5" customHeight="1">
      <c r="A552" s="4" t="s">
        <v>8</v>
      </c>
      <c r="B552" s="5">
        <v>46099.85824552083</v>
      </c>
      <c r="C552" s="6">
        <f t="shared" si="1"/>
        <v>46099.85824</v>
      </c>
      <c r="D552" s="4">
        <v>12.59</v>
      </c>
    </row>
    <row r="553" ht="22.5" customHeight="1">
      <c r="A553" s="4" t="s">
        <v>8</v>
      </c>
      <c r="B553" s="5">
        <v>46099.859615601854</v>
      </c>
      <c r="C553" s="6">
        <f t="shared" si="1"/>
        <v>46099.85962</v>
      </c>
      <c r="D553" s="4">
        <v>12.48</v>
      </c>
    </row>
    <row r="554" ht="22.5" customHeight="1">
      <c r="A554" s="4" t="s">
        <v>8</v>
      </c>
      <c r="B554" s="5">
        <v>46099.86029971065</v>
      </c>
      <c r="C554" s="6">
        <f t="shared" si="1"/>
        <v>46099.8603</v>
      </c>
      <c r="D554" s="4">
        <v>11.58</v>
      </c>
    </row>
    <row r="555" ht="22.5" customHeight="1">
      <c r="A555" s="4" t="s">
        <v>8</v>
      </c>
      <c r="B555" s="5">
        <v>46099.902754490744</v>
      </c>
      <c r="C555" s="6">
        <f t="shared" si="1"/>
        <v>46099.90275</v>
      </c>
      <c r="D555" s="4">
        <v>11.54</v>
      </c>
    </row>
    <row r="556" ht="22.5" customHeight="1">
      <c r="A556" s="4" t="s">
        <v>8</v>
      </c>
      <c r="B556" s="5">
        <v>46099.903439375</v>
      </c>
      <c r="C556" s="6">
        <f t="shared" si="1"/>
        <v>46099.90344</v>
      </c>
      <c r="D556" s="4">
        <v>11.58</v>
      </c>
    </row>
    <row r="557" ht="22.5" customHeight="1">
      <c r="A557" s="4" t="s">
        <v>8</v>
      </c>
      <c r="B557" s="5">
        <v>46099.906176944445</v>
      </c>
      <c r="C557" s="6">
        <f t="shared" si="1"/>
        <v>46099.90618</v>
      </c>
      <c r="D557" s="4">
        <v>11.54</v>
      </c>
    </row>
    <row r="558" ht="22.5" customHeight="1">
      <c r="A558" s="4" t="s">
        <v>8</v>
      </c>
      <c r="B558" s="5">
        <v>46099.90686138889</v>
      </c>
      <c r="C558" s="6">
        <f t="shared" si="1"/>
        <v>46099.90686</v>
      </c>
      <c r="D558" s="4">
        <v>11.58</v>
      </c>
    </row>
    <row r="559" ht="22.5" customHeight="1">
      <c r="A559" s="4" t="s">
        <v>8</v>
      </c>
      <c r="B559" s="5">
        <v>46099.91371606482</v>
      </c>
      <c r="C559" s="6">
        <f t="shared" si="1"/>
        <v>46099.91372</v>
      </c>
      <c r="D559" s="4">
        <v>11.54</v>
      </c>
    </row>
    <row r="560" ht="22.5" customHeight="1">
      <c r="A560" s="4" t="s">
        <v>8</v>
      </c>
      <c r="B560" s="5">
        <v>46099.91507814815</v>
      </c>
      <c r="C560" s="6">
        <f t="shared" si="1"/>
        <v>46099.91508</v>
      </c>
      <c r="D560" s="4">
        <v>11.58</v>
      </c>
    </row>
    <row r="561" ht="22.5" customHeight="1">
      <c r="A561" s="4" t="s">
        <v>8</v>
      </c>
      <c r="B561" s="5">
        <v>46099.920555717596</v>
      </c>
      <c r="C561" s="6">
        <f t="shared" si="1"/>
        <v>46099.92056</v>
      </c>
      <c r="D561" s="4">
        <v>11.54</v>
      </c>
    </row>
    <row r="562" ht="22.5" customHeight="1">
      <c r="A562" s="4" t="s">
        <v>8</v>
      </c>
      <c r="B562" s="5">
        <v>46099.92123980324</v>
      </c>
      <c r="C562" s="6">
        <f t="shared" si="1"/>
        <v>46099.92124</v>
      </c>
      <c r="D562" s="4">
        <v>11.58</v>
      </c>
    </row>
    <row r="563" ht="22.5" customHeight="1">
      <c r="A563" s="4" t="s">
        <v>8</v>
      </c>
      <c r="B563" s="5">
        <v>46099.9219247338</v>
      </c>
      <c r="C563" s="6">
        <f t="shared" si="1"/>
        <v>46099.92192</v>
      </c>
      <c r="D563" s="4">
        <v>11.54</v>
      </c>
    </row>
    <row r="564" ht="22.5" customHeight="1">
      <c r="A564" s="4" t="s">
        <v>8</v>
      </c>
      <c r="B564" s="5">
        <v>46099.92261123843</v>
      </c>
      <c r="C564" s="6">
        <f t="shared" si="1"/>
        <v>46099.92262</v>
      </c>
      <c r="D564" s="4">
        <v>11.58</v>
      </c>
    </row>
    <row r="565" ht="22.5" customHeight="1">
      <c r="A565" s="4" t="s">
        <v>8</v>
      </c>
      <c r="B565" s="5">
        <v>46099.92329591435</v>
      </c>
      <c r="C565" s="6">
        <f t="shared" si="1"/>
        <v>46099.9233</v>
      </c>
      <c r="D565" s="4">
        <v>11.54</v>
      </c>
    </row>
    <row r="566" ht="22.5" customHeight="1">
      <c r="A566" s="4" t="s">
        <v>8</v>
      </c>
      <c r="B566" s="5">
        <v>46099.92398018519</v>
      </c>
      <c r="C566" s="6">
        <f t="shared" si="1"/>
        <v>46099.92398</v>
      </c>
      <c r="D566" s="4">
        <v>11.58</v>
      </c>
    </row>
    <row r="567" ht="22.5" customHeight="1">
      <c r="A567" s="4" t="s">
        <v>8</v>
      </c>
      <c r="B567" s="5">
        <v>46099.927402835645</v>
      </c>
      <c r="C567" s="6">
        <f t="shared" si="1"/>
        <v>46099.92741</v>
      </c>
      <c r="D567" s="4">
        <v>11.54</v>
      </c>
    </row>
    <row r="568" ht="22.5" customHeight="1">
      <c r="A568" s="4" t="s">
        <v>8</v>
      </c>
      <c r="B568" s="5">
        <v>46099.928091539354</v>
      </c>
      <c r="C568" s="6">
        <f t="shared" si="1"/>
        <v>46099.92809</v>
      </c>
      <c r="D568" s="4">
        <v>11.58</v>
      </c>
    </row>
    <row r="569" ht="22.5" customHeight="1">
      <c r="A569" s="4" t="s">
        <v>8</v>
      </c>
      <c r="B569" s="5">
        <v>46099.93082783565</v>
      </c>
      <c r="C569" s="6">
        <f t="shared" si="1"/>
        <v>46099.93083</v>
      </c>
      <c r="D569" s="4">
        <v>11.54</v>
      </c>
    </row>
    <row r="570" ht="22.5" customHeight="1">
      <c r="A570" s="4" t="s">
        <v>8</v>
      </c>
      <c r="B570" s="5">
        <v>46099.932196712965</v>
      </c>
      <c r="C570" s="6">
        <f t="shared" si="1"/>
        <v>46099.9322</v>
      </c>
      <c r="D570" s="4">
        <v>11.58</v>
      </c>
    </row>
    <row r="571" ht="22.5" customHeight="1">
      <c r="A571" s="4" t="s">
        <v>8</v>
      </c>
      <c r="B571" s="5">
        <v>46099.934251770836</v>
      </c>
      <c r="C571" s="6">
        <f t="shared" si="1"/>
        <v>46099.93425</v>
      </c>
      <c r="D571" s="4">
        <v>11.54</v>
      </c>
    </row>
    <row r="572" ht="22.5" customHeight="1">
      <c r="A572" s="4" t="s">
        <v>8</v>
      </c>
      <c r="B572" s="5">
        <v>46099.935619502314</v>
      </c>
      <c r="C572" s="6">
        <f t="shared" si="1"/>
        <v>46099.93563</v>
      </c>
      <c r="D572" s="4">
        <v>11.58</v>
      </c>
    </row>
    <row r="573" ht="22.5" customHeight="1">
      <c r="A573" s="4" t="s">
        <v>8</v>
      </c>
      <c r="B573" s="5">
        <v>46099.93630693287</v>
      </c>
      <c r="C573" s="6">
        <f t="shared" si="1"/>
        <v>46099.93631</v>
      </c>
      <c r="D573" s="4">
        <v>11.54</v>
      </c>
    </row>
    <row r="574" ht="22.5" customHeight="1">
      <c r="A574" s="4" t="s">
        <v>8</v>
      </c>
      <c r="B574" s="5">
        <v>46099.937679421295</v>
      </c>
      <c r="C574" s="6">
        <f t="shared" si="1"/>
        <v>46099.93769</v>
      </c>
      <c r="D574" s="4">
        <v>11.58</v>
      </c>
    </row>
    <row r="575" ht="22.5" customHeight="1">
      <c r="A575" s="4" t="s">
        <v>8</v>
      </c>
      <c r="B575" s="5">
        <v>46099.94109789352</v>
      </c>
      <c r="C575" s="6">
        <f t="shared" si="1"/>
        <v>46099.9411</v>
      </c>
      <c r="D575" s="4">
        <v>11.54</v>
      </c>
    </row>
    <row r="576" ht="22.5" customHeight="1">
      <c r="A576" s="4" t="s">
        <v>8</v>
      </c>
      <c r="B576" s="5">
        <v>46099.941783587965</v>
      </c>
      <c r="C576" s="6">
        <f t="shared" si="1"/>
        <v>46099.94178</v>
      </c>
      <c r="D576" s="4">
        <v>11.58</v>
      </c>
    </row>
    <row r="577" ht="22.5" customHeight="1">
      <c r="A577" s="4" t="s">
        <v>8</v>
      </c>
      <c r="B577" s="5">
        <v>46099.942468912035</v>
      </c>
      <c r="C577" s="6">
        <f t="shared" si="1"/>
        <v>46099.94247</v>
      </c>
      <c r="D577" s="4">
        <v>11.54</v>
      </c>
    </row>
    <row r="578" ht="22.5" customHeight="1">
      <c r="A578" s="4" t="s">
        <v>8</v>
      </c>
      <c r="B578" s="5">
        <v>46099.943839907406</v>
      </c>
      <c r="C578" s="6">
        <f t="shared" si="1"/>
        <v>46099.94384</v>
      </c>
      <c r="D578" s="4">
        <v>11.58</v>
      </c>
    </row>
    <row r="579" ht="22.5" customHeight="1">
      <c r="A579" s="4" t="s">
        <v>8</v>
      </c>
      <c r="B579" s="5">
        <v>46099.94452152778</v>
      </c>
      <c r="C579" s="6">
        <f t="shared" si="1"/>
        <v>46099.94453</v>
      </c>
      <c r="D579" s="4">
        <v>11.54</v>
      </c>
    </row>
    <row r="580" ht="22.5" customHeight="1">
      <c r="A580" s="4" t="s">
        <v>8</v>
      </c>
      <c r="B580" s="5">
        <v>46099.945210081016</v>
      </c>
      <c r="C580" s="6">
        <f t="shared" si="1"/>
        <v>46099.94521</v>
      </c>
      <c r="D580" s="4">
        <v>11.49</v>
      </c>
    </row>
    <row r="581" ht="22.5" customHeight="1">
      <c r="A581" s="4" t="s">
        <v>8</v>
      </c>
      <c r="B581" s="5">
        <v>46099.94657891204</v>
      </c>
      <c r="C581" s="6">
        <f t="shared" si="1"/>
        <v>46099.94657</v>
      </c>
      <c r="D581" s="4">
        <v>11.54</v>
      </c>
    </row>
    <row r="582" ht="22.5" customHeight="1">
      <c r="A582" s="4" t="s">
        <v>8</v>
      </c>
      <c r="B582" s="5">
        <v>46099.94727103009</v>
      </c>
      <c r="C582" s="6">
        <f t="shared" si="1"/>
        <v>46099.94727</v>
      </c>
      <c r="D582" s="4">
        <v>11.49</v>
      </c>
    </row>
    <row r="583" ht="22.5" customHeight="1">
      <c r="A583" s="4" t="s">
        <v>8</v>
      </c>
      <c r="B583" s="5">
        <v>46099.94794543982</v>
      </c>
      <c r="C583" s="6">
        <f t="shared" si="1"/>
        <v>46099.94794</v>
      </c>
      <c r="D583" s="4">
        <v>11.42</v>
      </c>
    </row>
    <row r="584" ht="22.5" customHeight="1">
      <c r="A584" s="4" t="s">
        <v>8</v>
      </c>
      <c r="B584" s="5">
        <v>46099.948635243054</v>
      </c>
      <c r="C584" s="6">
        <f t="shared" si="1"/>
        <v>46099.94863</v>
      </c>
      <c r="D584" s="4">
        <v>11.49</v>
      </c>
    </row>
    <row r="585" ht="22.5" customHeight="1">
      <c r="A585" s="4" t="s">
        <v>8</v>
      </c>
      <c r="B585" s="5">
        <v>46099.94931783565</v>
      </c>
      <c r="C585" s="6">
        <f t="shared" si="1"/>
        <v>46099.94932</v>
      </c>
      <c r="D585" s="4">
        <v>11.42</v>
      </c>
    </row>
    <row r="586" ht="22.5" customHeight="1">
      <c r="A586" s="4" t="s">
        <v>8</v>
      </c>
      <c r="B586" s="5">
        <v>46099.949999895834</v>
      </c>
      <c r="C586" s="6">
        <f t="shared" si="1"/>
        <v>46099.95</v>
      </c>
      <c r="D586" s="4">
        <v>11.49</v>
      </c>
    </row>
    <row r="587" ht="22.5" customHeight="1">
      <c r="A587" s="4" t="s">
        <v>8</v>
      </c>
      <c r="B587" s="5">
        <v>46099.95068480324</v>
      </c>
      <c r="C587" s="6">
        <f t="shared" si="1"/>
        <v>46099.95068</v>
      </c>
      <c r="D587" s="4">
        <v>11.42</v>
      </c>
    </row>
    <row r="588" ht="22.5" customHeight="1">
      <c r="A588" s="4" t="s">
        <v>8</v>
      </c>
      <c r="B588" s="5">
        <v>46099.95136983796</v>
      </c>
      <c r="C588" s="6">
        <f t="shared" si="1"/>
        <v>46099.95137</v>
      </c>
      <c r="D588" s="4">
        <v>11.49</v>
      </c>
    </row>
    <row r="589" ht="22.5" customHeight="1">
      <c r="A589" s="4" t="s">
        <v>8</v>
      </c>
      <c r="B589" s="5">
        <v>46099.95205803241</v>
      </c>
      <c r="C589" s="6">
        <f t="shared" si="1"/>
        <v>46099.95206</v>
      </c>
      <c r="D589" s="4">
        <v>11.42</v>
      </c>
    </row>
    <row r="590" ht="22.5" customHeight="1">
      <c r="A590" s="4" t="s">
        <v>8</v>
      </c>
      <c r="B590" s="5">
        <v>46099.952741099536</v>
      </c>
      <c r="C590" s="6">
        <f t="shared" si="1"/>
        <v>46099.95274</v>
      </c>
      <c r="D590" s="4">
        <v>11.49</v>
      </c>
    </row>
    <row r="591" ht="22.5" customHeight="1">
      <c r="A591" s="4" t="s">
        <v>8</v>
      </c>
      <c r="B591" s="5">
        <v>46099.95342708333</v>
      </c>
      <c r="C591" s="6">
        <f t="shared" si="1"/>
        <v>46099.95343</v>
      </c>
      <c r="D591" s="4">
        <v>11.42</v>
      </c>
    </row>
    <row r="592" ht="22.5" customHeight="1">
      <c r="A592" s="4" t="s">
        <v>8</v>
      </c>
      <c r="B592" s="5">
        <v>46099.95479354166</v>
      </c>
      <c r="C592" s="6">
        <f t="shared" si="1"/>
        <v>46099.95479</v>
      </c>
      <c r="D592" s="4">
        <v>11.49</v>
      </c>
    </row>
    <row r="593" ht="22.5" customHeight="1">
      <c r="A593" s="4" t="s">
        <v>8</v>
      </c>
      <c r="B593" s="5">
        <v>46099.95685445602</v>
      </c>
      <c r="C593" s="6">
        <f t="shared" si="1"/>
        <v>46099.95685</v>
      </c>
      <c r="D593" s="4">
        <v>11.42</v>
      </c>
    </row>
    <row r="594" ht="22.5" customHeight="1">
      <c r="A594" s="4" t="s">
        <v>8</v>
      </c>
      <c r="B594" s="5">
        <v>46099.957532789354</v>
      </c>
      <c r="C594" s="6">
        <f t="shared" si="1"/>
        <v>46099.95753</v>
      </c>
      <c r="D594" s="4">
        <v>11.49</v>
      </c>
    </row>
    <row r="595" ht="22.5" customHeight="1">
      <c r="A595" s="4" t="s">
        <v>8</v>
      </c>
      <c r="B595" s="5">
        <v>46099.958902673614</v>
      </c>
      <c r="C595" s="6">
        <f t="shared" si="1"/>
        <v>46099.9589</v>
      </c>
      <c r="D595" s="4">
        <v>11.42</v>
      </c>
    </row>
    <row r="596" ht="22.5" customHeight="1">
      <c r="A596" s="4" t="s">
        <v>8</v>
      </c>
      <c r="B596" s="5">
        <v>46099.959587592595</v>
      </c>
      <c r="C596" s="6">
        <f t="shared" si="1"/>
        <v>46099.95958</v>
      </c>
      <c r="D596" s="4">
        <v>11.49</v>
      </c>
    </row>
    <row r="597" ht="22.5" customHeight="1">
      <c r="A597" s="4" t="s">
        <v>8</v>
      </c>
      <c r="B597" s="5">
        <v>46099.96027258102</v>
      </c>
      <c r="C597" s="6">
        <f t="shared" si="1"/>
        <v>46099.96028</v>
      </c>
      <c r="D597" s="4">
        <v>11.42</v>
      </c>
    </row>
    <row r="598" ht="22.5" customHeight="1">
      <c r="A598" s="4" t="s">
        <v>8</v>
      </c>
      <c r="B598" s="5">
        <v>46099.960962847224</v>
      </c>
      <c r="C598" s="6">
        <f t="shared" si="1"/>
        <v>46099.96096</v>
      </c>
      <c r="D598" s="4">
        <v>11.49</v>
      </c>
    </row>
    <row r="599" ht="22.5" customHeight="1">
      <c r="A599" s="4" t="s">
        <v>8</v>
      </c>
      <c r="B599" s="5">
        <v>46099.96164267361</v>
      </c>
      <c r="C599" s="6">
        <f t="shared" si="1"/>
        <v>46099.96164</v>
      </c>
      <c r="D599" s="4">
        <v>11.42</v>
      </c>
    </row>
    <row r="600" ht="22.5" customHeight="1">
      <c r="A600" s="4" t="s">
        <v>8</v>
      </c>
      <c r="B600" s="5">
        <v>46099.96369902778</v>
      </c>
      <c r="C600" s="6">
        <f t="shared" si="1"/>
        <v>46099.9637</v>
      </c>
      <c r="D600" s="4">
        <v>11.49</v>
      </c>
    </row>
    <row r="601" ht="22.5" customHeight="1">
      <c r="A601" s="4" t="s">
        <v>8</v>
      </c>
      <c r="B601" s="5">
        <v>46099.96438298611</v>
      </c>
      <c r="C601" s="6">
        <f t="shared" si="1"/>
        <v>46099.96439</v>
      </c>
      <c r="D601" s="4">
        <v>11.42</v>
      </c>
    </row>
    <row r="602" ht="22.5" customHeight="1">
      <c r="A602" s="4" t="s">
        <v>8</v>
      </c>
      <c r="B602" s="5">
        <v>46099.96849721065</v>
      </c>
      <c r="C602" s="6">
        <f t="shared" si="1"/>
        <v>46099.9685</v>
      </c>
      <c r="D602" s="4">
        <v>11.49</v>
      </c>
    </row>
    <row r="603" ht="22.5" customHeight="1">
      <c r="A603" s="4" t="s">
        <v>8</v>
      </c>
      <c r="B603" s="5">
        <v>46099.969860868056</v>
      </c>
      <c r="C603" s="6">
        <f t="shared" si="1"/>
        <v>46099.96986</v>
      </c>
      <c r="D603" s="4">
        <v>11.42</v>
      </c>
    </row>
    <row r="604" ht="22.5" customHeight="1">
      <c r="A604" s="4" t="s">
        <v>8</v>
      </c>
      <c r="B604" s="5">
        <v>46099.97191465278</v>
      </c>
      <c r="C604" s="6">
        <f t="shared" si="1"/>
        <v>46099.97191</v>
      </c>
      <c r="D604" s="4">
        <v>11.49</v>
      </c>
    </row>
    <row r="605" ht="22.5" customHeight="1">
      <c r="A605" s="4" t="s">
        <v>8</v>
      </c>
      <c r="B605" s="5">
        <v>46099.97260458333</v>
      </c>
      <c r="C605" s="6">
        <f t="shared" si="1"/>
        <v>46099.9726</v>
      </c>
      <c r="D605" s="4">
        <v>11.42</v>
      </c>
    </row>
    <row r="606" ht="22.5" customHeight="1">
      <c r="A606" s="4" t="s">
        <v>8</v>
      </c>
      <c r="B606" s="5">
        <v>46099.97534222222</v>
      </c>
      <c r="C606" s="6">
        <f t="shared" si="1"/>
        <v>46099.97535</v>
      </c>
      <c r="D606" s="4">
        <v>11.49</v>
      </c>
    </row>
    <row r="607" ht="22.5" customHeight="1">
      <c r="A607" s="4" t="s">
        <v>8</v>
      </c>
      <c r="B607" s="5">
        <v>46099.97602631945</v>
      </c>
      <c r="C607" s="6">
        <f t="shared" si="1"/>
        <v>46099.97603</v>
      </c>
      <c r="D607" s="4">
        <v>11.42</v>
      </c>
    </row>
    <row r="608" ht="22.5" customHeight="1">
      <c r="A608" s="4" t="s">
        <v>8</v>
      </c>
      <c r="B608" s="5">
        <v>46099.97945008102</v>
      </c>
      <c r="C608" s="6">
        <f t="shared" si="1"/>
        <v>46099.97944</v>
      </c>
      <c r="D608" s="4">
        <v>11.49</v>
      </c>
    </row>
    <row r="609" ht="22.5" customHeight="1">
      <c r="A609" s="4" t="s">
        <v>8</v>
      </c>
      <c r="B609" s="5">
        <v>46099.98287936342</v>
      </c>
      <c r="C609" s="6">
        <f t="shared" si="1"/>
        <v>46099.98288</v>
      </c>
      <c r="D609" s="4">
        <v>11.42</v>
      </c>
    </row>
    <row r="610" ht="22.5" customHeight="1">
      <c r="A610" s="4" t="s">
        <v>8</v>
      </c>
      <c r="B610" s="5">
        <v>46099.984936886576</v>
      </c>
      <c r="C610" s="6">
        <f t="shared" si="1"/>
        <v>46099.98494</v>
      </c>
      <c r="D610" s="4">
        <v>11.38</v>
      </c>
    </row>
    <row r="611" ht="22.5" customHeight="1">
      <c r="A611" s="4" t="s">
        <v>8</v>
      </c>
      <c r="B611" s="5">
        <v>46099.98561192129</v>
      </c>
      <c r="C611" s="6">
        <f t="shared" si="1"/>
        <v>46099.98561</v>
      </c>
      <c r="D611" s="4">
        <v>11.42</v>
      </c>
    </row>
    <row r="612" ht="22.5" customHeight="1">
      <c r="A612" s="4" t="s">
        <v>8</v>
      </c>
      <c r="B612" s="5">
        <v>46099.987668263886</v>
      </c>
      <c r="C612" s="6">
        <f t="shared" si="1"/>
        <v>46099.98767</v>
      </c>
      <c r="D612" s="4">
        <v>11.38</v>
      </c>
    </row>
    <row r="613" ht="22.5" customHeight="1">
      <c r="A613" s="4" t="s">
        <v>8</v>
      </c>
      <c r="B613" s="5">
        <v>46099.98835329861</v>
      </c>
      <c r="C613" s="6">
        <f t="shared" si="1"/>
        <v>46099.98836</v>
      </c>
      <c r="D613" s="4">
        <v>11.42</v>
      </c>
    </row>
    <row r="614" ht="22.5" customHeight="1">
      <c r="A614" s="4" t="s">
        <v>8</v>
      </c>
      <c r="B614" s="5">
        <v>46099.99040482639</v>
      </c>
      <c r="C614" s="6">
        <f t="shared" si="1"/>
        <v>46099.99041</v>
      </c>
      <c r="D614" s="4">
        <v>11.38</v>
      </c>
    </row>
    <row r="615" ht="22.5" customHeight="1">
      <c r="A615" s="4" t="s">
        <v>8</v>
      </c>
      <c r="B615" s="5">
        <v>46099.99108990741</v>
      </c>
      <c r="C615" s="6">
        <f t="shared" si="1"/>
        <v>46099.99109</v>
      </c>
      <c r="D615" s="4">
        <v>11.42</v>
      </c>
    </row>
    <row r="616" ht="22.5" customHeight="1">
      <c r="A616" s="4" t="s">
        <v>8</v>
      </c>
      <c r="B616" s="5">
        <v>46099.99178675926</v>
      </c>
      <c r="C616" s="6">
        <f t="shared" si="1"/>
        <v>46099.99178</v>
      </c>
      <c r="D616" s="4">
        <v>11.38</v>
      </c>
    </row>
    <row r="617" ht="22.5" customHeight="1">
      <c r="A617" s="4" t="s">
        <v>8</v>
      </c>
      <c r="B617" s="5">
        <v>46099.99245899305</v>
      </c>
      <c r="C617" s="6">
        <f t="shared" si="1"/>
        <v>46099.99245</v>
      </c>
      <c r="D617" s="4">
        <v>11.42</v>
      </c>
    </row>
    <row r="618" ht="22.5" customHeight="1">
      <c r="A618" s="4" t="s">
        <v>8</v>
      </c>
      <c r="B618" s="5">
        <v>46099.99383607639</v>
      </c>
      <c r="C618" s="6">
        <f t="shared" si="1"/>
        <v>46099.99383</v>
      </c>
      <c r="D618" s="4">
        <v>11.49</v>
      </c>
    </row>
    <row r="619" ht="22.5" customHeight="1">
      <c r="A619" s="4" t="s">
        <v>8</v>
      </c>
      <c r="B619" s="5">
        <v>46099.99451635416</v>
      </c>
      <c r="C619" s="6">
        <f t="shared" si="1"/>
        <v>46099.99451</v>
      </c>
      <c r="D619" s="4">
        <v>11.38</v>
      </c>
    </row>
    <row r="620" ht="22.5" customHeight="1">
      <c r="A620" s="4" t="s">
        <v>8</v>
      </c>
      <c r="B620" s="5">
        <v>46099.99520128472</v>
      </c>
      <c r="C620" s="6">
        <f t="shared" si="1"/>
        <v>46099.9952</v>
      </c>
      <c r="D620" s="4">
        <v>11.42</v>
      </c>
    </row>
    <row r="621" ht="22.5" customHeight="1">
      <c r="A621" s="4" t="s">
        <v>8</v>
      </c>
      <c r="B621" s="5">
        <v>46099.99725400463</v>
      </c>
      <c r="C621" s="6">
        <f t="shared" si="1"/>
        <v>46099.99726</v>
      </c>
      <c r="D621" s="4">
        <v>11.38</v>
      </c>
    </row>
    <row r="622" ht="22.5" customHeight="1">
      <c r="A622" s="4" t="s">
        <v>8</v>
      </c>
      <c r="B622" s="5">
        <v>46099.997938402776</v>
      </c>
      <c r="C622" s="6">
        <f t="shared" si="1"/>
        <v>46099.99794</v>
      </c>
      <c r="D622" s="4">
        <v>11.42</v>
      </c>
    </row>
    <row r="623" ht="22.5" customHeight="1">
      <c r="A623" s="4" t="s">
        <v>8</v>
      </c>
      <c r="B623" s="5">
        <v>46100.00341697917</v>
      </c>
      <c r="C623" s="6">
        <f t="shared" si="1"/>
        <v>46100.00341</v>
      </c>
      <c r="D623" s="4">
        <v>11.38</v>
      </c>
    </row>
    <row r="624" ht="22.5" customHeight="1">
      <c r="A624" s="4" t="s">
        <v>8</v>
      </c>
      <c r="B624" s="5">
        <v>46100.006169050925</v>
      </c>
      <c r="C624" s="6">
        <f t="shared" si="1"/>
        <v>46100.00617</v>
      </c>
      <c r="D624" s="4">
        <v>11.42</v>
      </c>
    </row>
    <row r="625" ht="22.5" customHeight="1">
      <c r="A625" s="4" t="s">
        <v>8</v>
      </c>
      <c r="B625" s="5">
        <v>46100.00684219907</v>
      </c>
      <c r="C625" s="6">
        <f t="shared" si="1"/>
        <v>46100.00684</v>
      </c>
      <c r="D625" s="4">
        <v>11.38</v>
      </c>
    </row>
    <row r="626" ht="22.5" customHeight="1">
      <c r="A626" s="4" t="s">
        <v>8</v>
      </c>
      <c r="B626" s="5">
        <v>46100.0075240625</v>
      </c>
      <c r="C626" s="6">
        <f t="shared" si="1"/>
        <v>46100.00752</v>
      </c>
      <c r="D626" s="4">
        <v>11.42</v>
      </c>
    </row>
    <row r="627" ht="22.5" customHeight="1">
      <c r="A627" s="4" t="s">
        <v>8</v>
      </c>
      <c r="B627" s="5">
        <v>46100.00820988426</v>
      </c>
      <c r="C627" s="6">
        <f t="shared" si="1"/>
        <v>46100.00821</v>
      </c>
      <c r="D627" s="4">
        <v>11.38</v>
      </c>
    </row>
    <row r="628" ht="22.5" customHeight="1">
      <c r="A628" s="4" t="s">
        <v>8</v>
      </c>
      <c r="B628" s="5">
        <v>46100.00957997685</v>
      </c>
      <c r="C628" s="6">
        <f t="shared" si="1"/>
        <v>46100.00958</v>
      </c>
      <c r="D628" s="4">
        <v>11.42</v>
      </c>
    </row>
    <row r="629" ht="22.5" customHeight="1">
      <c r="A629" s="4" t="s">
        <v>8</v>
      </c>
      <c r="B629" s="5">
        <v>46100.01094894676</v>
      </c>
      <c r="C629" s="6">
        <f t="shared" si="1"/>
        <v>46100.01095</v>
      </c>
      <c r="D629" s="4">
        <v>11.38</v>
      </c>
    </row>
    <row r="630" ht="22.5" customHeight="1">
      <c r="A630" s="4" t="s">
        <v>8</v>
      </c>
      <c r="B630" s="5">
        <v>46100.011634421295</v>
      </c>
      <c r="C630" s="6">
        <f t="shared" si="1"/>
        <v>46100.01163</v>
      </c>
      <c r="D630" s="4">
        <v>11.42</v>
      </c>
    </row>
    <row r="631" ht="22.5" customHeight="1">
      <c r="A631" s="4" t="s">
        <v>8</v>
      </c>
      <c r="B631" s="5">
        <v>46100.012322511575</v>
      </c>
      <c r="C631" s="6">
        <f t="shared" si="1"/>
        <v>46100.01233</v>
      </c>
      <c r="D631" s="4">
        <v>11.38</v>
      </c>
    </row>
    <row r="632" ht="22.5" customHeight="1">
      <c r="A632" s="4" t="s">
        <v>8</v>
      </c>
      <c r="B632" s="5">
        <v>46100.01300331019</v>
      </c>
      <c r="C632" s="6">
        <f t="shared" si="1"/>
        <v>46100.013</v>
      </c>
      <c r="D632" s="4">
        <v>11.42</v>
      </c>
    </row>
    <row r="633" ht="22.5" customHeight="1">
      <c r="A633" s="4" t="s">
        <v>8</v>
      </c>
      <c r="B633" s="5">
        <v>46100.013694953705</v>
      </c>
      <c r="C633" s="6">
        <f t="shared" si="1"/>
        <v>46100.01369</v>
      </c>
      <c r="D633" s="4">
        <v>11.38</v>
      </c>
    </row>
    <row r="634" ht="22.5" customHeight="1">
      <c r="A634" s="4" t="s">
        <v>8</v>
      </c>
      <c r="B634" s="5">
        <v>46100.01437168982</v>
      </c>
      <c r="C634" s="6">
        <f t="shared" si="1"/>
        <v>46100.01438</v>
      </c>
      <c r="D634" s="4">
        <v>11.42</v>
      </c>
    </row>
    <row r="635" ht="22.5" customHeight="1">
      <c r="A635" s="4" t="s">
        <v>8</v>
      </c>
      <c r="B635" s="5">
        <v>46100.015742372685</v>
      </c>
      <c r="C635" s="6">
        <f t="shared" si="1"/>
        <v>46100.01574</v>
      </c>
      <c r="D635" s="4">
        <v>11.49</v>
      </c>
    </row>
    <row r="636" ht="22.5" customHeight="1">
      <c r="A636" s="4" t="s">
        <v>8</v>
      </c>
      <c r="B636" s="5">
        <v>46100.01642803241</v>
      </c>
      <c r="C636" s="6">
        <f t="shared" si="1"/>
        <v>46100.01642</v>
      </c>
      <c r="D636" s="4">
        <v>11.42</v>
      </c>
    </row>
    <row r="637" ht="22.5" customHeight="1">
      <c r="A637" s="4" t="s">
        <v>8</v>
      </c>
      <c r="B637" s="5">
        <v>46100.01849502315</v>
      </c>
      <c r="C637" s="6">
        <f t="shared" si="1"/>
        <v>46100.0185</v>
      </c>
      <c r="D637" s="4">
        <v>11.38</v>
      </c>
    </row>
    <row r="638" ht="22.5" customHeight="1">
      <c r="A638" s="4" t="s">
        <v>8</v>
      </c>
      <c r="B638" s="5">
        <v>46100.01985445602</v>
      </c>
      <c r="C638" s="6">
        <f t="shared" si="1"/>
        <v>46100.01985</v>
      </c>
      <c r="D638" s="4">
        <v>11.42</v>
      </c>
    </row>
    <row r="639" ht="22.5" customHeight="1">
      <c r="A639" s="4" t="s">
        <v>8</v>
      </c>
      <c r="B639" s="5">
        <v>46100.02053376158</v>
      </c>
      <c r="C639" s="6">
        <f t="shared" si="1"/>
        <v>46100.02053</v>
      </c>
      <c r="D639" s="4">
        <v>11.38</v>
      </c>
    </row>
    <row r="640" ht="22.5" customHeight="1">
      <c r="A640" s="4" t="s">
        <v>8</v>
      </c>
      <c r="B640" s="5">
        <v>46100.022588645836</v>
      </c>
      <c r="C640" s="6">
        <f t="shared" si="1"/>
        <v>46100.02259</v>
      </c>
      <c r="D640" s="4">
        <v>11.42</v>
      </c>
    </row>
    <row r="641" ht="22.5" customHeight="1">
      <c r="A641" s="4" t="s">
        <v>8</v>
      </c>
      <c r="B641" s="5">
        <v>46100.02327657407</v>
      </c>
      <c r="C641" s="6">
        <f t="shared" si="1"/>
        <v>46100.02328</v>
      </c>
      <c r="D641" s="4">
        <v>11.38</v>
      </c>
    </row>
    <row r="642" ht="22.5" customHeight="1">
      <c r="A642" s="4" t="s">
        <v>8</v>
      </c>
      <c r="B642" s="5">
        <v>46100.02395917824</v>
      </c>
      <c r="C642" s="6">
        <f t="shared" si="1"/>
        <v>46100.02396</v>
      </c>
      <c r="D642" s="4">
        <v>11.42</v>
      </c>
    </row>
    <row r="643" ht="22.5" customHeight="1">
      <c r="A643" s="4" t="s">
        <v>8</v>
      </c>
      <c r="B643" s="5">
        <v>46100.02464372685</v>
      </c>
      <c r="C643" s="6">
        <f t="shared" si="1"/>
        <v>46100.02464</v>
      </c>
      <c r="D643" s="4">
        <v>11.38</v>
      </c>
    </row>
    <row r="644" ht="22.5" customHeight="1">
      <c r="A644" s="4" t="s">
        <v>8</v>
      </c>
      <c r="B644" s="5">
        <v>46100.02669652778</v>
      </c>
      <c r="C644" s="6">
        <f t="shared" si="1"/>
        <v>46100.0267</v>
      </c>
      <c r="D644" s="4">
        <v>11.42</v>
      </c>
    </row>
    <row r="645" ht="22.5" customHeight="1">
      <c r="A645" s="4" t="s">
        <v>8</v>
      </c>
      <c r="B645" s="5">
        <v>46100.02738151621</v>
      </c>
      <c r="C645" s="6">
        <f t="shared" si="1"/>
        <v>46100.02738</v>
      </c>
      <c r="D645" s="4">
        <v>11.38</v>
      </c>
    </row>
    <row r="646" ht="22.5" customHeight="1">
      <c r="A646" s="4" t="s">
        <v>8</v>
      </c>
      <c r="B646" s="5">
        <v>46100.03902019676</v>
      </c>
      <c r="C646" s="6">
        <f t="shared" si="1"/>
        <v>46100.03902</v>
      </c>
      <c r="D646" s="4">
        <v>11.42</v>
      </c>
    </row>
    <row r="647" ht="22.5" customHeight="1">
      <c r="A647" s="4" t="s">
        <v>8</v>
      </c>
      <c r="B647" s="5">
        <v>46100.03971384259</v>
      </c>
      <c r="C647" s="6">
        <f t="shared" si="1"/>
        <v>46100.03971</v>
      </c>
      <c r="D647" s="4">
        <v>11.38</v>
      </c>
    </row>
    <row r="648" ht="22.5" customHeight="1">
      <c r="A648" s="4" t="s">
        <v>8</v>
      </c>
      <c r="B648" s="5">
        <v>46100.04107518519</v>
      </c>
      <c r="C648" s="6">
        <f t="shared" si="1"/>
        <v>46100.04108</v>
      </c>
      <c r="D648" s="4">
        <v>11.42</v>
      </c>
    </row>
    <row r="649" ht="22.5" customHeight="1">
      <c r="A649" s="4" t="s">
        <v>8</v>
      </c>
      <c r="B649" s="5">
        <v>46100.04176383102</v>
      </c>
      <c r="C649" s="6">
        <f t="shared" si="1"/>
        <v>46100.04176</v>
      </c>
      <c r="D649" s="4">
        <v>11.38</v>
      </c>
    </row>
    <row r="650" ht="22.5" customHeight="1">
      <c r="A650" s="4" t="s">
        <v>8</v>
      </c>
      <c r="B650" s="5">
        <v>46100.31484607639</v>
      </c>
      <c r="C650" s="6">
        <f t="shared" si="1"/>
        <v>46100.31485</v>
      </c>
      <c r="D650" s="4">
        <v>11.42</v>
      </c>
    </row>
    <row r="651" ht="22.5" customHeight="1">
      <c r="A651" s="4" t="s">
        <v>8</v>
      </c>
      <c r="B651" s="5">
        <v>46100.3155319213</v>
      </c>
      <c r="C651" s="6">
        <f t="shared" si="1"/>
        <v>46100.31553</v>
      </c>
      <c r="D651" s="4">
        <v>11.54</v>
      </c>
    </row>
    <row r="652" ht="22.5" customHeight="1">
      <c r="A652" s="4" t="s">
        <v>8</v>
      </c>
      <c r="B652" s="5">
        <v>46100.31621578704</v>
      </c>
      <c r="C652" s="6">
        <f t="shared" si="1"/>
        <v>46100.31622</v>
      </c>
      <c r="D652" s="4">
        <v>11.58</v>
      </c>
    </row>
    <row r="653" ht="22.5" customHeight="1">
      <c r="A653" s="4" t="s">
        <v>8</v>
      </c>
      <c r="B653" s="5">
        <v>46100.31827105324</v>
      </c>
      <c r="C653" s="6">
        <f t="shared" si="1"/>
        <v>46100.31828</v>
      </c>
      <c r="D653" s="4">
        <v>11.65</v>
      </c>
    </row>
    <row r="654" ht="22.5" customHeight="1">
      <c r="A654" s="4" t="s">
        <v>8</v>
      </c>
      <c r="B654" s="5">
        <v>46100.31964097222</v>
      </c>
      <c r="C654" s="6">
        <f t="shared" si="1"/>
        <v>46100.31964</v>
      </c>
      <c r="D654" s="4">
        <v>11.69</v>
      </c>
    </row>
    <row r="655" ht="22.5" customHeight="1">
      <c r="A655" s="4" t="s">
        <v>8</v>
      </c>
      <c r="B655" s="5">
        <v>46100.32032475695</v>
      </c>
      <c r="C655" s="6">
        <f t="shared" si="1"/>
        <v>46100.32032</v>
      </c>
      <c r="D655" s="4">
        <v>11.74</v>
      </c>
    </row>
    <row r="656" ht="22.5" customHeight="1">
      <c r="A656" s="4" t="s">
        <v>8</v>
      </c>
      <c r="B656" s="5">
        <v>46100.325115266205</v>
      </c>
      <c r="C656" s="6">
        <f t="shared" si="1"/>
        <v>46100.32512</v>
      </c>
      <c r="D656" s="4">
        <v>11.85</v>
      </c>
    </row>
    <row r="657" ht="22.5" customHeight="1">
      <c r="A657" s="4" t="s">
        <v>8</v>
      </c>
      <c r="B657" s="5">
        <v>46100.32579943287</v>
      </c>
      <c r="C657" s="6">
        <f t="shared" si="1"/>
        <v>46100.3258</v>
      </c>
      <c r="D657" s="4">
        <v>11.96</v>
      </c>
    </row>
    <row r="658" ht="22.5" customHeight="1">
      <c r="A658" s="4" t="s">
        <v>8</v>
      </c>
      <c r="B658" s="5">
        <v>46100.33743767361</v>
      </c>
      <c r="C658" s="6">
        <f t="shared" si="1"/>
        <v>46100.33744</v>
      </c>
      <c r="D658" s="4">
        <v>12.0</v>
      </c>
    </row>
    <row r="659" ht="22.5" customHeight="1">
      <c r="A659" s="4" t="s">
        <v>8</v>
      </c>
      <c r="B659" s="5">
        <v>46100.338121574074</v>
      </c>
      <c r="C659" s="6">
        <f t="shared" si="1"/>
        <v>46100.33813</v>
      </c>
      <c r="D659" s="4">
        <v>11.96</v>
      </c>
    </row>
    <row r="660" ht="22.5" customHeight="1">
      <c r="A660" s="4" t="s">
        <v>8</v>
      </c>
      <c r="B660" s="5">
        <v>46100.338810381945</v>
      </c>
      <c r="C660" s="6">
        <f t="shared" si="1"/>
        <v>46100.33881</v>
      </c>
      <c r="D660" s="4">
        <v>12.0</v>
      </c>
    </row>
    <row r="661" ht="22.5" customHeight="1">
      <c r="A661" s="4" t="s">
        <v>8</v>
      </c>
      <c r="B661" s="5">
        <v>46100.340175972226</v>
      </c>
      <c r="C661" s="6">
        <f t="shared" si="1"/>
        <v>46100.34017</v>
      </c>
      <c r="D661" s="4">
        <v>12.05</v>
      </c>
    </row>
    <row r="662" ht="22.5" customHeight="1">
      <c r="A662" s="4" t="s">
        <v>8</v>
      </c>
      <c r="B662" s="5">
        <v>46100.34086049769</v>
      </c>
      <c r="C662" s="6">
        <f t="shared" si="1"/>
        <v>46100.34086</v>
      </c>
      <c r="D662" s="4">
        <v>12.12</v>
      </c>
    </row>
    <row r="663" ht="22.5" customHeight="1">
      <c r="A663" s="4" t="s">
        <v>8</v>
      </c>
      <c r="B663" s="5">
        <v>46100.3422306713</v>
      </c>
      <c r="C663" s="6">
        <f t="shared" si="1"/>
        <v>46100.34223</v>
      </c>
      <c r="D663" s="4">
        <v>12.05</v>
      </c>
    </row>
    <row r="664" ht="22.5" customHeight="1">
      <c r="A664" s="4" t="s">
        <v>8</v>
      </c>
      <c r="B664" s="5">
        <v>46100.34291460648</v>
      </c>
      <c r="C664" s="6">
        <f t="shared" si="1"/>
        <v>46100.34292</v>
      </c>
      <c r="D664" s="4">
        <v>12.12</v>
      </c>
    </row>
    <row r="665" ht="22.5" customHeight="1">
      <c r="A665" s="4" t="s">
        <v>8</v>
      </c>
      <c r="B665" s="5">
        <v>46100.35249929398</v>
      </c>
      <c r="C665" s="6">
        <f t="shared" si="1"/>
        <v>46100.3525</v>
      </c>
      <c r="D665" s="4">
        <v>12.17</v>
      </c>
    </row>
    <row r="666" ht="22.5" customHeight="1">
      <c r="A666" s="4" t="s">
        <v>8</v>
      </c>
      <c r="B666" s="5">
        <v>46100.35455298611</v>
      </c>
      <c r="C666" s="6">
        <f t="shared" si="1"/>
        <v>46100.35455</v>
      </c>
      <c r="D666" s="4">
        <v>12.21</v>
      </c>
    </row>
    <row r="667" ht="22.5" customHeight="1">
      <c r="A667" s="4" t="s">
        <v>8</v>
      </c>
      <c r="B667" s="5">
        <v>46100.35524059028</v>
      </c>
      <c r="C667" s="6">
        <f t="shared" si="1"/>
        <v>46100.35524</v>
      </c>
      <c r="D667" s="4">
        <v>12.17</v>
      </c>
    </row>
    <row r="668" ht="22.5" customHeight="1">
      <c r="A668" s="4" t="s">
        <v>8</v>
      </c>
      <c r="B668" s="5">
        <v>46100.355923055555</v>
      </c>
      <c r="C668" s="6">
        <f t="shared" si="1"/>
        <v>46100.35593</v>
      </c>
      <c r="D668" s="4">
        <v>12.21</v>
      </c>
    </row>
    <row r="669" ht="22.5" customHeight="1">
      <c r="A669" s="4" t="s">
        <v>8</v>
      </c>
      <c r="B669" s="5">
        <v>46100.36071631945</v>
      </c>
      <c r="C669" s="6">
        <f t="shared" si="1"/>
        <v>46100.36072</v>
      </c>
      <c r="D669" s="4">
        <v>12.28</v>
      </c>
    </row>
    <row r="670" ht="22.5" customHeight="1">
      <c r="A670" s="4" t="s">
        <v>8</v>
      </c>
      <c r="B670" s="5">
        <v>46100.36140101852</v>
      </c>
      <c r="C670" s="6">
        <f t="shared" si="1"/>
        <v>46100.3614</v>
      </c>
      <c r="D670" s="4">
        <v>12.21</v>
      </c>
    </row>
    <row r="671" ht="22.5" customHeight="1">
      <c r="A671" s="4" t="s">
        <v>8</v>
      </c>
      <c r="B671" s="5">
        <v>46100.36208899305</v>
      </c>
      <c r="C671" s="6">
        <f t="shared" si="1"/>
        <v>46100.36208</v>
      </c>
      <c r="D671" s="4">
        <v>12.28</v>
      </c>
    </row>
    <row r="672" ht="22.5" customHeight="1">
      <c r="A672" s="4" t="s">
        <v>8</v>
      </c>
      <c r="B672" s="5">
        <v>46100.365514108795</v>
      </c>
      <c r="C672" s="6">
        <f t="shared" si="1"/>
        <v>46100.36551</v>
      </c>
      <c r="D672" s="4">
        <v>12.21</v>
      </c>
    </row>
    <row r="673" ht="22.5" customHeight="1">
      <c r="A673" s="4" t="s">
        <v>8</v>
      </c>
      <c r="B673" s="5">
        <v>46100.366193912036</v>
      </c>
      <c r="C673" s="6">
        <f t="shared" si="1"/>
        <v>46100.36619</v>
      </c>
      <c r="D673" s="4">
        <v>12.28</v>
      </c>
    </row>
    <row r="674" ht="22.5" hidden="1" customHeight="1">
      <c r="A674" s="4" t="s">
        <v>10</v>
      </c>
      <c r="B674" s="5">
        <v>46098.7917475</v>
      </c>
      <c r="C674" s="6"/>
      <c r="D674" s="4">
        <v>160.0</v>
      </c>
    </row>
    <row r="675" ht="22.5" hidden="1" customHeight="1">
      <c r="A675" s="4" t="s">
        <v>10</v>
      </c>
      <c r="B675" s="5">
        <v>46098.79380230324</v>
      </c>
      <c r="C675" s="6"/>
      <c r="D675" s="4">
        <v>161.0</v>
      </c>
    </row>
    <row r="676" ht="22.5" hidden="1" customHeight="1">
      <c r="A676" s="4" t="s">
        <v>10</v>
      </c>
      <c r="B676" s="5">
        <v>46098.80065506944</v>
      </c>
      <c r="C676" s="6"/>
      <c r="D676" s="4">
        <v>162.0</v>
      </c>
    </row>
    <row r="677" ht="22.5" hidden="1" customHeight="1">
      <c r="A677" s="4" t="s">
        <v>10</v>
      </c>
      <c r="B677" s="5">
        <v>46098.80887421296</v>
      </c>
      <c r="C677" s="6"/>
      <c r="D677" s="4">
        <v>163.0</v>
      </c>
    </row>
    <row r="678" ht="22.5" hidden="1" customHeight="1">
      <c r="A678" s="4" t="s">
        <v>10</v>
      </c>
      <c r="B678" s="5">
        <v>46098.82258211805</v>
      </c>
      <c r="C678" s="6"/>
      <c r="D678" s="4">
        <v>164.0</v>
      </c>
    </row>
    <row r="679" ht="22.5" hidden="1" customHeight="1">
      <c r="A679" s="4" t="s">
        <v>10</v>
      </c>
      <c r="B679" s="5">
        <v>46098.82325886574</v>
      </c>
      <c r="C679" s="6"/>
      <c r="D679" s="4">
        <v>165.0</v>
      </c>
    </row>
    <row r="680" ht="22.5" hidden="1" customHeight="1">
      <c r="A680" s="4" t="s">
        <v>10</v>
      </c>
      <c r="B680" s="5">
        <v>46098.82599716435</v>
      </c>
      <c r="C680" s="6"/>
      <c r="D680" s="4">
        <v>167.0</v>
      </c>
    </row>
    <row r="681" ht="22.5" hidden="1" customHeight="1">
      <c r="A681" s="4" t="s">
        <v>10</v>
      </c>
      <c r="B681" s="5">
        <v>46098.83490015046</v>
      </c>
      <c r="C681" s="6"/>
      <c r="D681" s="4">
        <v>188.0</v>
      </c>
    </row>
    <row r="682" ht="22.5" hidden="1" customHeight="1">
      <c r="A682" s="4" t="s">
        <v>10</v>
      </c>
      <c r="B682" s="5">
        <v>46098.853395081016</v>
      </c>
      <c r="C682" s="6"/>
      <c r="D682" s="4">
        <v>187.0</v>
      </c>
    </row>
    <row r="683" ht="22.5" hidden="1" customHeight="1">
      <c r="A683" s="4" t="s">
        <v>10</v>
      </c>
      <c r="B683" s="5">
        <v>46098.85544665509</v>
      </c>
      <c r="C683" s="6"/>
      <c r="D683" s="4">
        <v>188.0</v>
      </c>
    </row>
    <row r="684" ht="22.5" hidden="1" customHeight="1">
      <c r="A684" s="4" t="s">
        <v>10</v>
      </c>
      <c r="B684" s="5">
        <v>46098.87051472222</v>
      </c>
      <c r="C684" s="6"/>
      <c r="D684" s="4">
        <v>189.0</v>
      </c>
    </row>
    <row r="685" ht="22.5" hidden="1" customHeight="1">
      <c r="A685" s="4" t="s">
        <v>10</v>
      </c>
      <c r="B685" s="5">
        <v>46098.87325390046</v>
      </c>
      <c r="C685" s="6"/>
      <c r="D685" s="4">
        <v>190.0</v>
      </c>
    </row>
    <row r="686" ht="22.5" hidden="1" customHeight="1">
      <c r="A686" s="4" t="s">
        <v>10</v>
      </c>
      <c r="B686" s="5">
        <v>46098.912290381944</v>
      </c>
      <c r="C686" s="6"/>
      <c r="D686" s="4">
        <v>191.0</v>
      </c>
    </row>
    <row r="687" ht="22.5" hidden="1" customHeight="1">
      <c r="A687" s="4" t="s">
        <v>10</v>
      </c>
      <c r="B687" s="5">
        <v>46098.9163984375</v>
      </c>
      <c r="C687" s="6"/>
      <c r="D687" s="4">
        <v>192.0</v>
      </c>
    </row>
    <row r="688" ht="22.5" hidden="1" customHeight="1">
      <c r="A688" s="4" t="s">
        <v>10</v>
      </c>
      <c r="B688" s="5">
        <v>46098.91845136574</v>
      </c>
      <c r="C688" s="6"/>
      <c r="D688" s="4">
        <v>193.0</v>
      </c>
    </row>
    <row r="689" ht="22.5" hidden="1" customHeight="1">
      <c r="A689" s="4" t="s">
        <v>10</v>
      </c>
      <c r="B689" s="5">
        <v>46098.920509930555</v>
      </c>
      <c r="C689" s="6"/>
      <c r="D689" s="4">
        <v>192.0</v>
      </c>
    </row>
    <row r="690" ht="22.5" hidden="1" customHeight="1">
      <c r="A690" s="4" t="s">
        <v>10</v>
      </c>
      <c r="B690" s="5">
        <v>46098.922562465275</v>
      </c>
      <c r="C690" s="6"/>
      <c r="D690" s="4">
        <v>193.0</v>
      </c>
    </row>
    <row r="691" ht="22.5" hidden="1" customHeight="1">
      <c r="A691" s="4" t="s">
        <v>10</v>
      </c>
      <c r="B691" s="5">
        <v>46098.935576875</v>
      </c>
      <c r="C691" s="6"/>
      <c r="D691" s="4">
        <v>194.0</v>
      </c>
    </row>
    <row r="692" ht="22.5" hidden="1" customHeight="1">
      <c r="A692" s="4" t="s">
        <v>10</v>
      </c>
      <c r="B692" s="5">
        <v>46098.93660806713</v>
      </c>
      <c r="C692" s="8"/>
    </row>
    <row r="693" ht="22.5" hidden="1" customHeight="1">
      <c r="A693" s="4" t="s">
        <v>10</v>
      </c>
      <c r="B693" s="5">
        <v>46098.9483758912</v>
      </c>
      <c r="C693" s="6"/>
      <c r="D693" s="4">
        <v>181.0</v>
      </c>
    </row>
    <row r="694" ht="22.5" hidden="1" customHeight="1">
      <c r="A694" s="4" t="s">
        <v>10</v>
      </c>
      <c r="B694" s="5">
        <v>46098.94897078704</v>
      </c>
      <c r="C694" s="6"/>
      <c r="D694" s="4">
        <v>180.0</v>
      </c>
    </row>
    <row r="695" ht="22.5" hidden="1" customHeight="1">
      <c r="A695" s="4" t="s">
        <v>10</v>
      </c>
      <c r="B695" s="5">
        <v>46098.94965581018</v>
      </c>
      <c r="C695" s="6"/>
      <c r="D695" s="4">
        <v>181.0</v>
      </c>
    </row>
    <row r="696" ht="22.5" hidden="1" customHeight="1">
      <c r="A696" s="4" t="s">
        <v>10</v>
      </c>
      <c r="B696" s="5">
        <v>46098.962669733795</v>
      </c>
      <c r="C696" s="6"/>
      <c r="D696" s="4">
        <v>182.0</v>
      </c>
    </row>
    <row r="697" ht="22.5" hidden="1" customHeight="1">
      <c r="A697" s="4" t="s">
        <v>10</v>
      </c>
      <c r="B697" s="5">
        <v>46098.96403931713</v>
      </c>
      <c r="C697" s="6"/>
      <c r="D697" s="4">
        <v>183.0</v>
      </c>
    </row>
    <row r="698" ht="22.5" hidden="1" customHeight="1">
      <c r="A698" s="4" t="s">
        <v>10</v>
      </c>
      <c r="B698" s="5">
        <v>46098.96472674768</v>
      </c>
      <c r="C698" s="6"/>
      <c r="D698" s="4">
        <v>182.0</v>
      </c>
    </row>
    <row r="699" ht="22.5" hidden="1" customHeight="1">
      <c r="A699" s="4" t="s">
        <v>10</v>
      </c>
      <c r="B699" s="5">
        <v>46098.96540990741</v>
      </c>
      <c r="C699" s="6"/>
      <c r="D699" s="4">
        <v>183.0</v>
      </c>
    </row>
    <row r="700" ht="22.5" hidden="1" customHeight="1">
      <c r="A700" s="4" t="s">
        <v>10</v>
      </c>
      <c r="B700" s="5">
        <v>46098.97294471065</v>
      </c>
      <c r="C700" s="6"/>
      <c r="D700" s="4">
        <v>182.0</v>
      </c>
    </row>
    <row r="701" ht="22.5" hidden="1" customHeight="1">
      <c r="A701" s="4" t="s">
        <v>10</v>
      </c>
      <c r="B701" s="5">
        <v>46098.97499918981</v>
      </c>
      <c r="C701" s="6"/>
      <c r="D701" s="4">
        <v>183.0</v>
      </c>
    </row>
    <row r="702" ht="22.5" hidden="1" customHeight="1">
      <c r="A702" s="4" t="s">
        <v>10</v>
      </c>
      <c r="B702" s="5">
        <v>46098.97568633102</v>
      </c>
      <c r="C702" s="6"/>
      <c r="D702" s="4">
        <v>182.0</v>
      </c>
    </row>
    <row r="703" ht="22.5" hidden="1" customHeight="1">
      <c r="A703" s="4" t="s">
        <v>10</v>
      </c>
      <c r="B703" s="5">
        <v>46098.97705612268</v>
      </c>
      <c r="C703" s="6"/>
      <c r="D703" s="4">
        <v>183.0</v>
      </c>
    </row>
    <row r="704" ht="22.5" hidden="1" customHeight="1">
      <c r="A704" s="4" t="s">
        <v>10</v>
      </c>
      <c r="B704" s="5">
        <v>46098.97842863426</v>
      </c>
      <c r="C704" s="6"/>
      <c r="D704" s="4">
        <v>182.0</v>
      </c>
    </row>
    <row r="705" ht="22.5" hidden="1" customHeight="1">
      <c r="A705" s="4" t="s">
        <v>10</v>
      </c>
      <c r="B705" s="5">
        <v>46098.98047814815</v>
      </c>
      <c r="C705" s="6"/>
      <c r="D705" s="4">
        <v>183.0</v>
      </c>
    </row>
    <row r="706" ht="22.5" hidden="1" customHeight="1">
      <c r="A706" s="4" t="s">
        <v>10</v>
      </c>
      <c r="B706" s="5">
        <v>46098.98390533565</v>
      </c>
      <c r="C706" s="6"/>
      <c r="D706" s="4">
        <v>184.0</v>
      </c>
    </row>
    <row r="707" ht="22.5" hidden="1" customHeight="1">
      <c r="A707" s="4" t="s">
        <v>10</v>
      </c>
      <c r="B707" s="5">
        <v>46098.99897877315</v>
      </c>
      <c r="C707" s="6"/>
      <c r="D707" s="4">
        <v>185.0</v>
      </c>
    </row>
    <row r="708" ht="22.5" hidden="1" customHeight="1">
      <c r="A708" s="4" t="s">
        <v>10</v>
      </c>
      <c r="B708" s="5">
        <v>46099.00034413194</v>
      </c>
      <c r="C708" s="6"/>
      <c r="D708" s="4">
        <v>184.0</v>
      </c>
    </row>
    <row r="709" ht="22.5" hidden="1" customHeight="1">
      <c r="A709" s="4" t="s">
        <v>10</v>
      </c>
      <c r="B709" s="5">
        <v>46099.00102895833</v>
      </c>
      <c r="C709" s="6"/>
      <c r="D709" s="4">
        <v>185.0</v>
      </c>
    </row>
    <row r="710" ht="22.5" hidden="1" customHeight="1">
      <c r="A710" s="4" t="s">
        <v>10</v>
      </c>
      <c r="B710" s="5">
        <v>46099.014041608796</v>
      </c>
      <c r="C710" s="6"/>
      <c r="D710" s="4">
        <v>186.0</v>
      </c>
    </row>
    <row r="711" ht="22.5" hidden="1" customHeight="1">
      <c r="A711" s="4" t="s">
        <v>10</v>
      </c>
      <c r="B711" s="5">
        <v>46099.01472511574</v>
      </c>
      <c r="C711" s="6"/>
      <c r="D711" s="4">
        <v>185.0</v>
      </c>
    </row>
    <row r="712" ht="22.5" hidden="1" customHeight="1">
      <c r="A712" s="4" t="s">
        <v>10</v>
      </c>
      <c r="B712" s="5">
        <v>46099.016780405094</v>
      </c>
      <c r="C712" s="6"/>
      <c r="D712" s="4">
        <v>186.0</v>
      </c>
    </row>
    <row r="713" ht="22.5" hidden="1" customHeight="1">
      <c r="A713" s="4" t="s">
        <v>10</v>
      </c>
      <c r="B713" s="5">
        <v>46099.03869591435</v>
      </c>
      <c r="C713" s="6"/>
      <c r="D713" s="4">
        <v>187.0</v>
      </c>
    </row>
    <row r="714" ht="22.5" hidden="1" customHeight="1">
      <c r="A714" s="4" t="s">
        <v>10</v>
      </c>
      <c r="B714" s="5">
        <v>46099.06540736111</v>
      </c>
      <c r="C714" s="6"/>
      <c r="D714" s="4">
        <v>188.0</v>
      </c>
    </row>
    <row r="715" ht="22.5" hidden="1" customHeight="1">
      <c r="A715" s="4" t="s">
        <v>10</v>
      </c>
      <c r="B715" s="5">
        <v>46099.06608875</v>
      </c>
      <c r="C715" s="6"/>
      <c r="D715" s="4">
        <v>187.0</v>
      </c>
    </row>
    <row r="716" ht="22.5" hidden="1" customHeight="1">
      <c r="A716" s="4" t="s">
        <v>10</v>
      </c>
      <c r="B716" s="5">
        <v>46099.06678083333</v>
      </c>
      <c r="C716" s="6"/>
      <c r="D716" s="4">
        <v>188.0</v>
      </c>
    </row>
    <row r="717" ht="22.5" hidden="1" customHeight="1">
      <c r="A717" s="4" t="s">
        <v>10</v>
      </c>
      <c r="B717" s="5">
        <v>46099.072251701386</v>
      </c>
      <c r="C717" s="6"/>
      <c r="D717" s="4">
        <v>189.0</v>
      </c>
    </row>
    <row r="718" ht="22.5" hidden="1" customHeight="1">
      <c r="A718" s="4" t="s">
        <v>10</v>
      </c>
      <c r="B718" s="5">
        <v>46099.07293703704</v>
      </c>
      <c r="C718" s="6"/>
      <c r="D718" s="4">
        <v>188.0</v>
      </c>
    </row>
    <row r="719" ht="22.5" hidden="1" customHeight="1">
      <c r="A719" s="4" t="s">
        <v>10</v>
      </c>
      <c r="B719" s="5">
        <v>46099.0749900463</v>
      </c>
      <c r="C719" s="6"/>
      <c r="D719" s="4">
        <v>189.0</v>
      </c>
    </row>
    <row r="720" ht="22.5" hidden="1" customHeight="1">
      <c r="A720" s="4" t="s">
        <v>10</v>
      </c>
      <c r="B720" s="5">
        <v>46099.10855324074</v>
      </c>
      <c r="C720" s="6"/>
      <c r="D720" s="4">
        <v>190.0</v>
      </c>
    </row>
    <row r="721" ht="22.5" hidden="1" customHeight="1">
      <c r="A721" s="4" t="s">
        <v>10</v>
      </c>
      <c r="B721" s="5">
        <v>46099.10922618055</v>
      </c>
      <c r="C721" s="6"/>
      <c r="D721" s="4">
        <v>189.0</v>
      </c>
    </row>
    <row r="722" ht="22.5" hidden="1" customHeight="1">
      <c r="A722" s="4" t="s">
        <v>10</v>
      </c>
      <c r="B722" s="5">
        <v>46099.10991028935</v>
      </c>
      <c r="C722" s="6"/>
      <c r="D722" s="4">
        <v>190.0</v>
      </c>
    </row>
    <row r="723" ht="22.5" hidden="1" customHeight="1">
      <c r="A723" s="4" t="s">
        <v>10</v>
      </c>
      <c r="B723" s="5">
        <v>46099.113333125</v>
      </c>
      <c r="C723" s="6"/>
      <c r="D723" s="4">
        <v>191.0</v>
      </c>
    </row>
    <row r="724" ht="22.5" hidden="1" customHeight="1">
      <c r="A724" s="4" t="s">
        <v>10</v>
      </c>
      <c r="B724" s="5">
        <v>46099.118126898145</v>
      </c>
      <c r="C724" s="6"/>
      <c r="D724" s="4">
        <v>190.0</v>
      </c>
    </row>
    <row r="725" ht="22.5" hidden="1" customHeight="1">
      <c r="A725" s="4" t="s">
        <v>10</v>
      </c>
      <c r="B725" s="5">
        <v>46099.118812002314</v>
      </c>
      <c r="C725" s="6"/>
      <c r="D725" s="4">
        <v>191.0</v>
      </c>
    </row>
    <row r="726" ht="22.5" hidden="1" customHeight="1">
      <c r="A726" s="4" t="s">
        <v>10</v>
      </c>
      <c r="B726" s="5">
        <v>46099.12018077546</v>
      </c>
      <c r="C726" s="6"/>
      <c r="D726" s="4">
        <v>190.0</v>
      </c>
    </row>
    <row r="727" ht="22.5" hidden="1" customHeight="1">
      <c r="A727" s="4" t="s">
        <v>10</v>
      </c>
      <c r="B727" s="5">
        <v>46099.12087061343</v>
      </c>
      <c r="C727" s="6"/>
      <c r="D727" s="4">
        <v>191.0</v>
      </c>
    </row>
    <row r="728" ht="22.5" hidden="1" customHeight="1">
      <c r="A728" s="4" t="s">
        <v>10</v>
      </c>
      <c r="B728" s="5">
        <v>46099.1461971875</v>
      </c>
      <c r="C728" s="6"/>
      <c r="D728" s="4">
        <v>192.0</v>
      </c>
    </row>
    <row r="729" ht="22.5" hidden="1" customHeight="1">
      <c r="A729" s="4" t="s">
        <v>10</v>
      </c>
      <c r="B729" s="5">
        <v>46099.15851930556</v>
      </c>
      <c r="C729" s="6"/>
      <c r="D729" s="4">
        <v>193.0</v>
      </c>
    </row>
    <row r="730" ht="22.5" hidden="1" customHeight="1">
      <c r="A730" s="4" t="s">
        <v>10</v>
      </c>
      <c r="B730" s="5">
        <v>46099.16468119213</v>
      </c>
      <c r="C730" s="6"/>
      <c r="D730" s="4">
        <v>192.0</v>
      </c>
    </row>
    <row r="731" ht="22.5" hidden="1" customHeight="1">
      <c r="A731" s="4" t="s">
        <v>10</v>
      </c>
      <c r="B731" s="5">
        <v>46099.179741747685</v>
      </c>
      <c r="C731" s="6"/>
      <c r="D731" s="4">
        <v>193.0</v>
      </c>
    </row>
    <row r="732" ht="22.5" hidden="1" customHeight="1">
      <c r="A732" s="4" t="s">
        <v>10</v>
      </c>
      <c r="B732" s="5">
        <v>46099.1804262963</v>
      </c>
      <c r="C732" s="6"/>
      <c r="D732" s="4">
        <v>192.0</v>
      </c>
    </row>
    <row r="733" ht="22.5" hidden="1" customHeight="1">
      <c r="A733" s="4" t="s">
        <v>10</v>
      </c>
      <c r="B733" s="5">
        <v>46099.18316645834</v>
      </c>
      <c r="C733" s="6"/>
      <c r="D733" s="4">
        <v>194.0</v>
      </c>
    </row>
    <row r="734" ht="22.5" hidden="1" customHeight="1">
      <c r="A734" s="4" t="s">
        <v>10</v>
      </c>
      <c r="B734" s="5">
        <v>46099.18384913194</v>
      </c>
      <c r="C734" s="6"/>
      <c r="D734" s="4">
        <v>192.0</v>
      </c>
    </row>
    <row r="735" ht="22.5" hidden="1" customHeight="1">
      <c r="A735" s="4" t="s">
        <v>10</v>
      </c>
      <c r="B735" s="5">
        <v>46099.18727094907</v>
      </c>
      <c r="C735" s="6"/>
      <c r="D735" s="4">
        <v>193.0</v>
      </c>
    </row>
    <row r="736" ht="22.5" hidden="1" customHeight="1">
      <c r="A736" s="4" t="s">
        <v>10</v>
      </c>
      <c r="B736" s="5">
        <v>46099.188646828705</v>
      </c>
      <c r="C736" s="6"/>
      <c r="D736" s="4">
        <v>194.0</v>
      </c>
    </row>
    <row r="737" ht="22.5" hidden="1" customHeight="1">
      <c r="A737" s="4" t="s">
        <v>10</v>
      </c>
      <c r="B737" s="5">
        <v>46099.189331215275</v>
      </c>
      <c r="C737" s="6"/>
      <c r="D737" s="4">
        <v>193.0</v>
      </c>
    </row>
    <row r="738" ht="22.5" hidden="1" customHeight="1">
      <c r="A738" s="4" t="s">
        <v>10</v>
      </c>
      <c r="B738" s="5">
        <v>46099.19138462963</v>
      </c>
      <c r="C738" s="6"/>
      <c r="D738" s="4">
        <v>194.0</v>
      </c>
    </row>
    <row r="739" ht="22.5" hidden="1" customHeight="1">
      <c r="A739" s="4" t="s">
        <v>10</v>
      </c>
      <c r="B739" s="5">
        <v>46099.19206292824</v>
      </c>
      <c r="C739" s="6"/>
      <c r="D739" s="4">
        <v>193.0</v>
      </c>
    </row>
    <row r="740" ht="22.5" hidden="1" customHeight="1">
      <c r="A740" s="4" t="s">
        <v>10</v>
      </c>
      <c r="B740" s="5">
        <v>46099.196169560186</v>
      </c>
      <c r="C740" s="6"/>
      <c r="D740" s="4">
        <v>194.0</v>
      </c>
    </row>
    <row r="741" ht="22.5" hidden="1" customHeight="1">
      <c r="A741" s="4" t="s">
        <v>10</v>
      </c>
      <c r="B741" s="5">
        <v>46099.196855821756</v>
      </c>
      <c r="C741" s="6"/>
      <c r="D741" s="4">
        <v>193.0</v>
      </c>
    </row>
    <row r="742" ht="22.5" hidden="1" customHeight="1">
      <c r="A742" s="4" t="s">
        <v>10</v>
      </c>
      <c r="B742" s="5">
        <v>46099.197543993054</v>
      </c>
      <c r="C742" s="6"/>
      <c r="D742" s="4">
        <v>194.0</v>
      </c>
    </row>
    <row r="743" ht="22.5" hidden="1" customHeight="1">
      <c r="A743" s="4" t="s">
        <v>10</v>
      </c>
      <c r="B743" s="5">
        <v>46099.19822329861</v>
      </c>
      <c r="C743" s="6"/>
      <c r="D743" s="4">
        <v>193.0</v>
      </c>
    </row>
    <row r="744" ht="22.5" hidden="1" customHeight="1">
      <c r="A744" s="4" t="s">
        <v>10</v>
      </c>
      <c r="B744" s="5">
        <v>46099.19890991898</v>
      </c>
      <c r="C744" s="6"/>
      <c r="D744" s="4">
        <v>194.0</v>
      </c>
    </row>
    <row r="745" ht="22.5" hidden="1" customHeight="1">
      <c r="A745" s="4" t="s">
        <v>10</v>
      </c>
      <c r="B745" s="5">
        <v>46099.19959200232</v>
      </c>
      <c r="C745" s="6"/>
      <c r="D745" s="4">
        <v>193.0</v>
      </c>
    </row>
    <row r="746" ht="22.5" hidden="1" customHeight="1">
      <c r="A746" s="4" t="s">
        <v>10</v>
      </c>
      <c r="B746" s="5">
        <v>46099.200277407406</v>
      </c>
      <c r="C746" s="6"/>
      <c r="D746" s="4">
        <v>194.0</v>
      </c>
    </row>
    <row r="747" ht="22.5" hidden="1" customHeight="1">
      <c r="A747" s="4" t="s">
        <v>10</v>
      </c>
      <c r="B747" s="5">
        <v>46099.2016475</v>
      </c>
      <c r="C747" s="6"/>
      <c r="D747" s="4">
        <v>193.0</v>
      </c>
    </row>
    <row r="748" ht="22.5" hidden="1" customHeight="1">
      <c r="A748" s="4" t="s">
        <v>10</v>
      </c>
      <c r="B748" s="5">
        <v>46099.20233215278</v>
      </c>
      <c r="C748" s="6"/>
      <c r="D748" s="4">
        <v>194.0</v>
      </c>
    </row>
    <row r="749" ht="22.5" hidden="1" customHeight="1">
      <c r="A749" s="4" t="s">
        <v>10</v>
      </c>
      <c r="B749" s="5">
        <v>46099.208497604166</v>
      </c>
      <c r="C749" s="6"/>
      <c r="D749" s="4">
        <v>193.0</v>
      </c>
    </row>
    <row r="750" ht="22.5" hidden="1" customHeight="1">
      <c r="A750" s="4" t="s">
        <v>10</v>
      </c>
      <c r="B750" s="5">
        <v>46099.20917545139</v>
      </c>
      <c r="C750" s="6"/>
      <c r="D750" s="4">
        <v>194.0</v>
      </c>
    </row>
    <row r="751" ht="22.5" hidden="1" customHeight="1">
      <c r="A751" s="4" t="s">
        <v>10</v>
      </c>
      <c r="B751" s="5">
        <v>46099.213283310186</v>
      </c>
      <c r="C751" s="6"/>
      <c r="D751" s="4">
        <v>193.0</v>
      </c>
    </row>
    <row r="752" ht="22.5" hidden="1" customHeight="1">
      <c r="A752" s="4" t="s">
        <v>10</v>
      </c>
      <c r="B752" s="5">
        <v>46099.21396716435</v>
      </c>
      <c r="C752" s="6"/>
      <c r="D752" s="4">
        <v>194.0</v>
      </c>
    </row>
    <row r="753" ht="22.5" hidden="1" customHeight="1">
      <c r="A753" s="4" t="s">
        <v>10</v>
      </c>
      <c r="B753" s="5">
        <v>46099.2208128125</v>
      </c>
      <c r="C753" s="6"/>
      <c r="D753" s="4">
        <v>195.0</v>
      </c>
    </row>
    <row r="754" ht="22.5" hidden="1" customHeight="1">
      <c r="A754" s="4" t="s">
        <v>10</v>
      </c>
      <c r="B754" s="5">
        <v>46099.2345018287</v>
      </c>
      <c r="C754" s="6"/>
      <c r="D754" s="4">
        <v>194.0</v>
      </c>
    </row>
    <row r="755" ht="22.5" hidden="1" customHeight="1">
      <c r="A755" s="4" t="s">
        <v>10</v>
      </c>
      <c r="B755" s="5">
        <v>46099.23518607639</v>
      </c>
      <c r="C755" s="6"/>
      <c r="D755" s="4">
        <v>195.0</v>
      </c>
    </row>
    <row r="756" ht="22.5" hidden="1" customHeight="1">
      <c r="A756" s="4" t="s">
        <v>10</v>
      </c>
      <c r="B756" s="5">
        <v>46099.258456840274</v>
      </c>
      <c r="C756" s="6"/>
      <c r="D756" s="4">
        <v>196.0</v>
      </c>
    </row>
    <row r="757" ht="22.5" hidden="1" customHeight="1">
      <c r="A757" s="4" t="s">
        <v>10</v>
      </c>
      <c r="B757" s="5">
        <v>46099.25914715278</v>
      </c>
      <c r="C757" s="6"/>
      <c r="D757" s="4">
        <v>195.0</v>
      </c>
    </row>
    <row r="758" ht="22.5" hidden="1" customHeight="1">
      <c r="A758" s="4" t="s">
        <v>10</v>
      </c>
      <c r="B758" s="5">
        <v>46099.25982716435</v>
      </c>
      <c r="C758" s="6"/>
      <c r="D758" s="4">
        <v>196.0</v>
      </c>
    </row>
    <row r="759" ht="22.5" hidden="1" customHeight="1">
      <c r="A759" s="4" t="s">
        <v>10</v>
      </c>
      <c r="B759" s="5">
        <v>46099.27625591435</v>
      </c>
      <c r="C759" s="6"/>
      <c r="D759" s="4">
        <v>195.0</v>
      </c>
    </row>
    <row r="760" ht="22.5" hidden="1" customHeight="1">
      <c r="A760" s="4" t="s">
        <v>10</v>
      </c>
      <c r="B760" s="5">
        <v>46099.27693774305</v>
      </c>
      <c r="C760" s="6"/>
      <c r="D760" s="4">
        <v>196.0</v>
      </c>
    </row>
    <row r="761" ht="22.5" hidden="1" customHeight="1">
      <c r="A761" s="4" t="s">
        <v>10</v>
      </c>
      <c r="B761" s="5">
        <v>46099.27967643519</v>
      </c>
      <c r="C761" s="6"/>
      <c r="D761" s="4">
        <v>197.0</v>
      </c>
    </row>
    <row r="762" ht="22.5" hidden="1" customHeight="1">
      <c r="A762" s="4" t="s">
        <v>10</v>
      </c>
      <c r="B762" s="5">
        <v>46099.28309711805</v>
      </c>
      <c r="C762" s="6"/>
      <c r="D762" s="4">
        <v>198.0</v>
      </c>
    </row>
    <row r="763" ht="22.5" hidden="1" customHeight="1">
      <c r="A763" s="4" t="s">
        <v>10</v>
      </c>
      <c r="B763" s="5">
        <v>46099.28446578704</v>
      </c>
      <c r="C763" s="6"/>
      <c r="D763" s="4">
        <v>200.0</v>
      </c>
    </row>
    <row r="764" ht="22.5" hidden="1" customHeight="1">
      <c r="A764" s="4" t="s">
        <v>10</v>
      </c>
      <c r="B764" s="5">
        <v>46099.28651851852</v>
      </c>
      <c r="C764" s="6"/>
      <c r="D764" s="4">
        <v>201.0</v>
      </c>
    </row>
    <row r="765" ht="22.5" hidden="1" customHeight="1">
      <c r="A765" s="4" t="s">
        <v>10</v>
      </c>
      <c r="B765" s="5">
        <v>46099.287889976855</v>
      </c>
      <c r="C765" s="6"/>
      <c r="D765" s="4">
        <v>202.0</v>
      </c>
    </row>
    <row r="766" ht="22.5" hidden="1" customHeight="1">
      <c r="A766" s="4" t="s">
        <v>10</v>
      </c>
      <c r="B766" s="5">
        <v>46099.28857269676</v>
      </c>
      <c r="C766" s="6"/>
      <c r="D766" s="4">
        <v>203.0</v>
      </c>
    </row>
    <row r="767" ht="22.5" hidden="1" customHeight="1">
      <c r="A767" s="4" t="s">
        <v>10</v>
      </c>
      <c r="B767" s="5">
        <v>46099.28994134259</v>
      </c>
      <c r="C767" s="6"/>
      <c r="D767" s="4">
        <v>204.0</v>
      </c>
    </row>
    <row r="768" ht="22.5" hidden="1" customHeight="1">
      <c r="A768" s="4" t="s">
        <v>10</v>
      </c>
      <c r="B768" s="5">
        <v>46099.29131496528</v>
      </c>
      <c r="C768" s="6"/>
      <c r="D768" s="4">
        <v>205.0</v>
      </c>
    </row>
    <row r="769" ht="22.5" hidden="1" customHeight="1">
      <c r="A769" s="4" t="s">
        <v>10</v>
      </c>
      <c r="B769" s="5">
        <v>46099.29267916667</v>
      </c>
      <c r="C769" s="6"/>
      <c r="D769" s="4">
        <v>207.0</v>
      </c>
    </row>
    <row r="770" ht="22.5" hidden="1" customHeight="1">
      <c r="A770" s="4" t="s">
        <v>10</v>
      </c>
      <c r="B770" s="5">
        <v>46099.29405038194</v>
      </c>
      <c r="C770" s="6"/>
      <c r="D770" s="4">
        <v>208.0</v>
      </c>
    </row>
    <row r="771" ht="22.5" hidden="1" customHeight="1">
      <c r="A771" s="4" t="s">
        <v>10</v>
      </c>
      <c r="B771" s="5">
        <v>46099.29541934028</v>
      </c>
      <c r="C771" s="6"/>
      <c r="D771" s="4">
        <v>209.0</v>
      </c>
    </row>
    <row r="772" ht="22.5" hidden="1" customHeight="1">
      <c r="A772" s="4" t="s">
        <v>10</v>
      </c>
      <c r="B772" s="5">
        <v>46099.29678829861</v>
      </c>
      <c r="C772" s="6"/>
      <c r="D772" s="4">
        <v>210.0</v>
      </c>
    </row>
    <row r="773" ht="22.5" hidden="1" customHeight="1">
      <c r="A773" s="4" t="s">
        <v>10</v>
      </c>
      <c r="B773" s="5">
        <v>46099.2988397338</v>
      </c>
      <c r="C773" s="6"/>
      <c r="D773" s="4">
        <v>211.0</v>
      </c>
    </row>
    <row r="774" ht="22.5" hidden="1" customHeight="1">
      <c r="A774" s="4" t="s">
        <v>10</v>
      </c>
      <c r="B774" s="5">
        <v>46099.30020863426</v>
      </c>
      <c r="C774" s="6"/>
      <c r="D774" s="4">
        <v>212.0</v>
      </c>
    </row>
    <row r="775" ht="22.5" hidden="1" customHeight="1">
      <c r="A775" s="4" t="s">
        <v>10</v>
      </c>
      <c r="B775" s="5">
        <v>46099.30089248843</v>
      </c>
      <c r="C775" s="6"/>
      <c r="D775" s="4">
        <v>213.0</v>
      </c>
    </row>
    <row r="776" ht="22.5" hidden="1" customHeight="1">
      <c r="A776" s="4" t="s">
        <v>10</v>
      </c>
      <c r="B776" s="5">
        <v>46099.301581087966</v>
      </c>
      <c r="C776" s="6"/>
      <c r="D776" s="4">
        <v>214.0</v>
      </c>
    </row>
    <row r="777" ht="22.5" hidden="1" customHeight="1">
      <c r="A777" s="4" t="s">
        <v>10</v>
      </c>
      <c r="B777" s="5">
        <v>46099.30363263889</v>
      </c>
      <c r="C777" s="6"/>
      <c r="D777" s="4">
        <v>215.0</v>
      </c>
    </row>
    <row r="778" ht="22.5" hidden="1" customHeight="1">
      <c r="A778" s="4" t="s">
        <v>10</v>
      </c>
      <c r="B778" s="5">
        <v>46099.306368391204</v>
      </c>
      <c r="C778" s="6"/>
      <c r="D778" s="4">
        <v>216.0</v>
      </c>
    </row>
    <row r="779" ht="22.5" hidden="1" customHeight="1">
      <c r="A779" s="4" t="s">
        <v>10</v>
      </c>
      <c r="B779" s="5">
        <v>46099.30773827546</v>
      </c>
      <c r="C779" s="6"/>
      <c r="D779" s="4">
        <v>217.0</v>
      </c>
    </row>
    <row r="780" ht="22.5" hidden="1" customHeight="1">
      <c r="A780" s="4" t="s">
        <v>10</v>
      </c>
      <c r="B780" s="5">
        <v>46099.31116113426</v>
      </c>
      <c r="C780" s="6"/>
      <c r="D780" s="4">
        <v>218.0</v>
      </c>
    </row>
    <row r="781" ht="22.5" hidden="1" customHeight="1">
      <c r="A781" s="4" t="s">
        <v>10</v>
      </c>
      <c r="B781" s="5">
        <v>46099.31321378472</v>
      </c>
      <c r="C781" s="6"/>
      <c r="D781" s="4">
        <v>219.0</v>
      </c>
    </row>
    <row r="782" ht="22.5" hidden="1" customHeight="1">
      <c r="A782" s="4" t="s">
        <v>10</v>
      </c>
      <c r="B782" s="5">
        <v>46099.31526789352</v>
      </c>
      <c r="C782" s="6"/>
      <c r="D782" s="4">
        <v>220.0</v>
      </c>
    </row>
    <row r="783" ht="22.5" hidden="1" customHeight="1">
      <c r="A783" s="4" t="s">
        <v>10</v>
      </c>
      <c r="B783" s="5">
        <v>46099.318009131945</v>
      </c>
      <c r="C783" s="6"/>
      <c r="D783" s="4">
        <v>221.0</v>
      </c>
    </row>
    <row r="784" ht="22.5" hidden="1" customHeight="1">
      <c r="A784" s="4" t="s">
        <v>10</v>
      </c>
      <c r="B784" s="5">
        <v>46099.31869412037</v>
      </c>
      <c r="C784" s="6"/>
      <c r="D784" s="4">
        <v>222.0</v>
      </c>
    </row>
    <row r="785" ht="22.5" hidden="1" customHeight="1">
      <c r="A785" s="4" t="s">
        <v>10</v>
      </c>
      <c r="B785" s="5">
        <v>46099.321442719905</v>
      </c>
      <c r="C785" s="6"/>
      <c r="D785" s="4">
        <v>223.0</v>
      </c>
    </row>
    <row r="786" ht="22.5" hidden="1" customHeight="1">
      <c r="A786" s="4" t="s">
        <v>10</v>
      </c>
      <c r="B786" s="5">
        <v>46099.32416662037</v>
      </c>
      <c r="C786" s="6"/>
      <c r="D786" s="4">
        <v>224.0</v>
      </c>
    </row>
    <row r="787" ht="22.5" hidden="1" customHeight="1">
      <c r="A787" s="4" t="s">
        <v>10</v>
      </c>
      <c r="B787" s="5">
        <v>46099.32622016204</v>
      </c>
      <c r="C787" s="6"/>
      <c r="D787" s="4">
        <v>225.0</v>
      </c>
    </row>
    <row r="788" ht="22.5" hidden="1" customHeight="1">
      <c r="A788" s="4" t="s">
        <v>10</v>
      </c>
      <c r="B788" s="5">
        <v>46099.330330219906</v>
      </c>
      <c r="C788" s="6"/>
      <c r="D788" s="4">
        <v>226.0</v>
      </c>
    </row>
    <row r="789" ht="22.5" hidden="1" customHeight="1">
      <c r="A789" s="4" t="s">
        <v>10</v>
      </c>
      <c r="B789" s="5">
        <v>46099.33375899305</v>
      </c>
      <c r="C789" s="6"/>
      <c r="D789" s="4">
        <v>227.0</v>
      </c>
    </row>
    <row r="790" ht="22.5" hidden="1" customHeight="1">
      <c r="A790" s="4" t="s">
        <v>10</v>
      </c>
      <c r="B790" s="5">
        <v>46099.33717586806</v>
      </c>
      <c r="C790" s="6"/>
      <c r="D790" s="4">
        <v>228.0</v>
      </c>
    </row>
    <row r="791" ht="22.5" hidden="1" customHeight="1">
      <c r="A791" s="4" t="s">
        <v>10</v>
      </c>
      <c r="B791" s="5">
        <v>46099.34059918982</v>
      </c>
      <c r="C791" s="6"/>
      <c r="D791" s="4">
        <v>229.0</v>
      </c>
    </row>
    <row r="792" ht="22.5" hidden="1" customHeight="1">
      <c r="A792" s="4" t="s">
        <v>10</v>
      </c>
      <c r="B792" s="5">
        <v>46099.34402285879</v>
      </c>
      <c r="C792" s="6"/>
      <c r="D792" s="4">
        <v>230.0</v>
      </c>
    </row>
    <row r="793" ht="22.5" hidden="1" customHeight="1">
      <c r="A793" s="4" t="s">
        <v>10</v>
      </c>
      <c r="B793" s="5">
        <v>46099.348814606485</v>
      </c>
      <c r="C793" s="6"/>
      <c r="D793" s="4">
        <v>231.0</v>
      </c>
    </row>
    <row r="794" ht="22.5" hidden="1" customHeight="1">
      <c r="A794" s="4" t="s">
        <v>10</v>
      </c>
      <c r="B794" s="5">
        <v>46099.35178615741</v>
      </c>
      <c r="C794" s="6"/>
      <c r="D794" s="4" t="s">
        <v>9</v>
      </c>
    </row>
    <row r="795" ht="22.5" hidden="1" customHeight="1">
      <c r="A795" s="4" t="s">
        <v>10</v>
      </c>
      <c r="B795" s="5">
        <v>46099.35178618055</v>
      </c>
      <c r="C795" s="6"/>
      <c r="D795" s="4">
        <v>231.0</v>
      </c>
    </row>
    <row r="796" ht="22.5" hidden="1" customHeight="1">
      <c r="A796" s="4" t="s">
        <v>10</v>
      </c>
      <c r="B796" s="5">
        <v>46099.35292130787</v>
      </c>
      <c r="C796" s="6"/>
      <c r="D796" s="4">
        <v>233.0</v>
      </c>
    </row>
    <row r="797" ht="22.5" hidden="1" customHeight="1">
      <c r="A797" s="4" t="s">
        <v>10</v>
      </c>
      <c r="B797" s="5">
        <v>46099.35324909722</v>
      </c>
      <c r="C797" s="6"/>
      <c r="D797" s="4" t="s">
        <v>9</v>
      </c>
    </row>
    <row r="798" ht="22.5" hidden="1" customHeight="1">
      <c r="A798" s="4" t="s">
        <v>10</v>
      </c>
      <c r="B798" s="5">
        <v>46099.35324912037</v>
      </c>
      <c r="C798" s="6"/>
      <c r="D798" s="4">
        <v>233.0</v>
      </c>
    </row>
    <row r="799" ht="22.5" hidden="1" customHeight="1">
      <c r="A799" s="4" t="s">
        <v>10</v>
      </c>
      <c r="B799" s="5">
        <v>46099.35429027778</v>
      </c>
      <c r="C799" s="6"/>
      <c r="D799" s="4">
        <v>232.0</v>
      </c>
    </row>
    <row r="800" ht="22.5" hidden="1" customHeight="1">
      <c r="A800" s="4" t="s">
        <v>10</v>
      </c>
      <c r="B800" s="5">
        <v>46099.35566008102</v>
      </c>
      <c r="C800" s="6"/>
      <c r="D800" s="4">
        <v>233.0</v>
      </c>
    </row>
    <row r="801" ht="22.5" hidden="1" customHeight="1">
      <c r="A801" s="4" t="s">
        <v>10</v>
      </c>
      <c r="B801" s="5">
        <v>46099.356345127315</v>
      </c>
      <c r="C801" s="6"/>
      <c r="D801" s="4">
        <v>234.0</v>
      </c>
    </row>
    <row r="802" ht="22.5" hidden="1" customHeight="1">
      <c r="A802" s="4" t="s">
        <v>10</v>
      </c>
      <c r="B802" s="5">
        <v>46099.35703497685</v>
      </c>
      <c r="C802" s="6"/>
      <c r="D802" s="4">
        <v>233.0</v>
      </c>
    </row>
    <row r="803" ht="22.5" hidden="1" customHeight="1">
      <c r="A803" s="4" t="s">
        <v>10</v>
      </c>
      <c r="B803" s="5">
        <v>46099.36113806713</v>
      </c>
      <c r="C803" s="6"/>
      <c r="D803" s="4">
        <v>234.0</v>
      </c>
    </row>
    <row r="804" ht="22.5" hidden="1" customHeight="1">
      <c r="A804" s="4" t="s">
        <v>10</v>
      </c>
      <c r="B804" s="5">
        <v>46099.36524832176</v>
      </c>
      <c r="C804" s="6"/>
      <c r="D804" s="4">
        <v>235.0</v>
      </c>
    </row>
    <row r="805" ht="22.5" hidden="1" customHeight="1">
      <c r="A805" s="4" t="s">
        <v>10</v>
      </c>
      <c r="B805" s="5">
        <v>46099.36867015046</v>
      </c>
      <c r="C805" s="6"/>
      <c r="D805" s="4">
        <v>236.0</v>
      </c>
    </row>
    <row r="806" ht="22.5" hidden="1" customHeight="1">
      <c r="A806" s="4" t="s">
        <v>10</v>
      </c>
      <c r="B806" s="5">
        <v>46099.37484128472</v>
      </c>
      <c r="C806" s="6"/>
      <c r="D806" s="4">
        <v>237.0</v>
      </c>
    </row>
    <row r="807" ht="22.5" hidden="1" customHeight="1">
      <c r="A807" s="4" t="s">
        <v>10</v>
      </c>
      <c r="B807" s="5">
        <v>46099.37757337963</v>
      </c>
      <c r="C807" s="6"/>
      <c r="D807" s="4">
        <v>238.0</v>
      </c>
    </row>
    <row r="808" ht="22.5" hidden="1" customHeight="1">
      <c r="A808" s="4" t="s">
        <v>10</v>
      </c>
      <c r="B808" s="5">
        <v>46099.382365185185</v>
      </c>
      <c r="C808" s="6"/>
      <c r="D808" s="4">
        <v>239.0</v>
      </c>
    </row>
    <row r="809" ht="22.5" hidden="1" customHeight="1">
      <c r="A809" s="4" t="s">
        <v>10</v>
      </c>
      <c r="B809" s="5">
        <v>46099.39079988426</v>
      </c>
      <c r="C809" s="6"/>
      <c r="D809" s="4" t="s">
        <v>9</v>
      </c>
    </row>
    <row r="810" ht="22.5" hidden="1" customHeight="1">
      <c r="A810" s="4" t="s">
        <v>10</v>
      </c>
      <c r="B810" s="5">
        <v>46099.394117986114</v>
      </c>
      <c r="C810" s="6"/>
      <c r="D810" s="4">
        <v>246.0</v>
      </c>
    </row>
    <row r="811" ht="22.5" hidden="1" customHeight="1">
      <c r="A811" s="4" t="s">
        <v>10</v>
      </c>
      <c r="B811" s="5">
        <v>46099.39549913195</v>
      </c>
      <c r="C811" s="6"/>
      <c r="D811" s="4">
        <v>245.0</v>
      </c>
    </row>
    <row r="812" ht="22.5" hidden="1" customHeight="1">
      <c r="A812" s="4" t="s">
        <v>10</v>
      </c>
      <c r="B812" s="5">
        <v>46099.396176030095</v>
      </c>
      <c r="C812" s="6"/>
      <c r="D812" s="4">
        <v>247.0</v>
      </c>
    </row>
    <row r="813" ht="22.5" hidden="1" customHeight="1">
      <c r="A813" s="4" t="s">
        <v>10</v>
      </c>
      <c r="B813" s="5">
        <v>46099.39754266204</v>
      </c>
      <c r="C813" s="6"/>
      <c r="D813" s="4">
        <v>246.0</v>
      </c>
    </row>
    <row r="814" ht="22.5" hidden="1" customHeight="1">
      <c r="A814" s="4" t="s">
        <v>10</v>
      </c>
      <c r="B814" s="5">
        <v>46099.399603541664</v>
      </c>
      <c r="C814" s="6"/>
      <c r="D814" s="4">
        <v>247.0</v>
      </c>
    </row>
    <row r="815" ht="22.5" hidden="1" customHeight="1">
      <c r="A815" s="4" t="s">
        <v>10</v>
      </c>
      <c r="B815" s="5">
        <v>46099.400967546295</v>
      </c>
      <c r="C815" s="6"/>
      <c r="D815" s="4">
        <v>248.0</v>
      </c>
    </row>
    <row r="816" ht="22.5" hidden="1" customHeight="1">
      <c r="A816" s="4" t="s">
        <v>10</v>
      </c>
      <c r="B816" s="5">
        <v>46099.40165289352</v>
      </c>
      <c r="C816" s="6"/>
      <c r="D816" s="4">
        <v>250.0</v>
      </c>
    </row>
    <row r="817" ht="22.5" hidden="1" customHeight="1">
      <c r="A817" s="4" t="s">
        <v>10</v>
      </c>
      <c r="B817" s="5">
        <v>46099.402338125</v>
      </c>
      <c r="C817" s="6"/>
      <c r="D817" s="4">
        <v>251.0</v>
      </c>
    </row>
    <row r="818" ht="22.5" hidden="1" customHeight="1">
      <c r="A818" s="4" t="s">
        <v>10</v>
      </c>
      <c r="B818" s="5">
        <v>46099.40302261574</v>
      </c>
      <c r="C818" s="6"/>
      <c r="D818" s="4">
        <v>252.0</v>
      </c>
    </row>
    <row r="819" ht="22.5" hidden="1" customHeight="1">
      <c r="A819" s="4" t="s">
        <v>10</v>
      </c>
      <c r="B819" s="5">
        <v>46099.40576188658</v>
      </c>
      <c r="C819" s="6"/>
      <c r="D819" s="4">
        <v>251.0</v>
      </c>
    </row>
    <row r="820" ht="22.5" hidden="1" customHeight="1">
      <c r="A820" s="4" t="s">
        <v>10</v>
      </c>
      <c r="B820" s="5">
        <v>46099.40883586805</v>
      </c>
      <c r="C820" s="6"/>
      <c r="D820" s="4">
        <v>256.0</v>
      </c>
    </row>
    <row r="821" ht="22.5" hidden="1" customHeight="1">
      <c r="A821" s="4" t="s">
        <v>10</v>
      </c>
      <c r="B821" s="5">
        <v>46099.41226280093</v>
      </c>
      <c r="C821" s="6"/>
      <c r="D821" s="4">
        <v>257.0</v>
      </c>
    </row>
    <row r="822" ht="22.5" hidden="1" customHeight="1">
      <c r="A822" s="4" t="s">
        <v>10</v>
      </c>
      <c r="B822" s="5">
        <v>46099.41360825232</v>
      </c>
      <c r="C822" s="6"/>
      <c r="D822" s="4" t="s">
        <v>9</v>
      </c>
    </row>
    <row r="823" ht="22.5" hidden="1" customHeight="1">
      <c r="A823" s="4" t="s">
        <v>10</v>
      </c>
      <c r="B823" s="5">
        <v>46099.41360826389</v>
      </c>
      <c r="C823" s="8"/>
    </row>
    <row r="824" ht="22.5" hidden="1" customHeight="1">
      <c r="A824" s="4" t="s">
        <v>10</v>
      </c>
      <c r="B824" s="5">
        <v>46099.41380113426</v>
      </c>
      <c r="C824" s="6"/>
      <c r="D824" s="4">
        <v>257.0</v>
      </c>
    </row>
    <row r="825" ht="22.5" hidden="1" customHeight="1">
      <c r="A825" s="4" t="s">
        <v>10</v>
      </c>
      <c r="B825" s="5">
        <v>46099.41637510416</v>
      </c>
      <c r="C825" s="6"/>
      <c r="D825" s="4">
        <v>256.0</v>
      </c>
    </row>
    <row r="826" ht="22.5" hidden="1" customHeight="1">
      <c r="A826" s="4" t="s">
        <v>10</v>
      </c>
      <c r="B826" s="5">
        <v>46099.41705783565</v>
      </c>
      <c r="C826" s="6"/>
      <c r="D826" s="4">
        <v>257.0</v>
      </c>
    </row>
    <row r="827" ht="22.5" hidden="1" customHeight="1">
      <c r="A827" s="4" t="s">
        <v>10</v>
      </c>
      <c r="B827" s="5">
        <v>46099.417745150466</v>
      </c>
      <c r="C827" s="6"/>
      <c r="D827" s="4">
        <v>256.0</v>
      </c>
    </row>
    <row r="828" ht="22.5" hidden="1" customHeight="1">
      <c r="A828" s="4" t="s">
        <v>10</v>
      </c>
      <c r="B828" s="5">
        <v>46099.418430115744</v>
      </c>
      <c r="C828" s="6"/>
      <c r="D828" s="4">
        <v>258.0</v>
      </c>
    </row>
    <row r="829" ht="22.5" hidden="1" customHeight="1">
      <c r="A829" s="4" t="s">
        <v>10</v>
      </c>
      <c r="B829" s="5">
        <v>46099.41979827546</v>
      </c>
      <c r="C829" s="6"/>
      <c r="D829" s="4">
        <v>259.0</v>
      </c>
    </row>
    <row r="830" ht="22.5" hidden="1" customHeight="1">
      <c r="A830" s="4" t="s">
        <v>10</v>
      </c>
      <c r="B830" s="5">
        <v>46099.42049467593</v>
      </c>
      <c r="C830" s="6"/>
      <c r="D830" s="4">
        <v>258.0</v>
      </c>
    </row>
    <row r="831" ht="22.5" hidden="1" customHeight="1">
      <c r="A831" s="4" t="s">
        <v>10</v>
      </c>
      <c r="B831" s="5">
        <v>46099.42117261574</v>
      </c>
      <c r="C831" s="6"/>
      <c r="D831" s="4">
        <v>259.0</v>
      </c>
    </row>
    <row r="832" ht="22.5" hidden="1" customHeight="1">
      <c r="A832" s="4" t="s">
        <v>10</v>
      </c>
      <c r="B832" s="5">
        <v>46099.42365408565</v>
      </c>
      <c r="C832" s="6"/>
      <c r="D832" s="4">
        <v>258.0</v>
      </c>
    </row>
    <row r="833" ht="22.5" hidden="1" customHeight="1">
      <c r="A833" s="4" t="s">
        <v>10</v>
      </c>
      <c r="B833" s="5">
        <v>46099.42414309028</v>
      </c>
      <c r="C833" s="6"/>
      <c r="D833" s="4" t="s">
        <v>9</v>
      </c>
    </row>
    <row r="834" ht="22.5" hidden="1" customHeight="1">
      <c r="A834" s="4" t="s">
        <v>10</v>
      </c>
      <c r="B834" s="5">
        <v>46099.42414310185</v>
      </c>
      <c r="C834" s="8"/>
    </row>
    <row r="835" ht="22.5" hidden="1" customHeight="1">
      <c r="A835" s="4" t="s">
        <v>10</v>
      </c>
      <c r="B835" s="5">
        <v>46099.42430020833</v>
      </c>
      <c r="C835" s="6"/>
      <c r="D835" s="4">
        <v>258.0</v>
      </c>
    </row>
    <row r="836" ht="22.5" hidden="1" customHeight="1">
      <c r="A836" s="4" t="s">
        <v>10</v>
      </c>
      <c r="B836" s="5">
        <v>46099.425708773146</v>
      </c>
      <c r="C836" s="6"/>
      <c r="D836" s="4">
        <v>259.0</v>
      </c>
    </row>
    <row r="837" ht="22.5" hidden="1" customHeight="1">
      <c r="A837" s="4" t="s">
        <v>10</v>
      </c>
      <c r="B837" s="5">
        <v>46099.427078506946</v>
      </c>
      <c r="C837" s="6"/>
      <c r="D837" s="4">
        <v>260.0</v>
      </c>
    </row>
    <row r="838" ht="22.5" hidden="1" customHeight="1">
      <c r="A838" s="4" t="s">
        <v>10</v>
      </c>
      <c r="B838" s="5">
        <v>46099.43346853009</v>
      </c>
      <c r="C838" s="6"/>
      <c r="D838" s="4" t="s">
        <v>9</v>
      </c>
    </row>
    <row r="839" ht="22.5" hidden="1" customHeight="1">
      <c r="A839" s="4" t="s">
        <v>10</v>
      </c>
      <c r="B839" s="5">
        <v>46099.43346854167</v>
      </c>
      <c r="C839" s="8"/>
    </row>
    <row r="840" ht="22.5" hidden="1" customHeight="1">
      <c r="A840" s="4" t="s">
        <v>10</v>
      </c>
      <c r="B840" s="5">
        <v>46099.436334398146</v>
      </c>
      <c r="C840" s="6"/>
      <c r="D840" s="4">
        <v>261.0</v>
      </c>
    </row>
    <row r="841" ht="22.5" hidden="1" customHeight="1">
      <c r="A841" s="4" t="s">
        <v>10</v>
      </c>
      <c r="B841" s="5">
        <v>46099.44403277778</v>
      </c>
      <c r="C841" s="6"/>
      <c r="D841" s="4">
        <v>262.0</v>
      </c>
    </row>
    <row r="842" ht="22.5" hidden="1" customHeight="1">
      <c r="A842" s="4" t="s">
        <v>10</v>
      </c>
      <c r="B842" s="5">
        <v>46099.45087608796</v>
      </c>
      <c r="C842" s="6"/>
      <c r="D842" s="4">
        <v>263.0</v>
      </c>
    </row>
    <row r="843" ht="22.5" hidden="1" customHeight="1">
      <c r="A843" s="4" t="s">
        <v>10</v>
      </c>
      <c r="B843" s="5">
        <v>46099.45224708333</v>
      </c>
      <c r="C843" s="6"/>
      <c r="D843" s="4">
        <v>264.0</v>
      </c>
    </row>
    <row r="844" ht="22.5" hidden="1" customHeight="1">
      <c r="A844" s="4" t="s">
        <v>10</v>
      </c>
      <c r="B844" s="5">
        <v>46099.46046998843</v>
      </c>
      <c r="C844" s="6"/>
      <c r="D844" s="4">
        <v>263.0</v>
      </c>
    </row>
    <row r="845" ht="22.5" hidden="1" customHeight="1">
      <c r="A845" s="4" t="s">
        <v>10</v>
      </c>
      <c r="B845" s="5">
        <v>46099.46115415509</v>
      </c>
      <c r="C845" s="6"/>
      <c r="D845" s="4">
        <v>265.0</v>
      </c>
    </row>
    <row r="846" ht="22.5" hidden="1" customHeight="1">
      <c r="A846" s="4" t="s">
        <v>10</v>
      </c>
      <c r="B846" s="5">
        <v>46099.46321957176</v>
      </c>
      <c r="C846" s="6"/>
      <c r="D846" s="4">
        <v>266.0</v>
      </c>
    </row>
    <row r="847" ht="22.5" hidden="1" customHeight="1">
      <c r="A847" s="4" t="s">
        <v>10</v>
      </c>
      <c r="B847" s="5">
        <v>46099.464577858795</v>
      </c>
      <c r="C847" s="6"/>
      <c r="D847" s="4">
        <v>265.0</v>
      </c>
    </row>
    <row r="848" ht="22.5" hidden="1" customHeight="1">
      <c r="A848" s="4" t="s">
        <v>10</v>
      </c>
      <c r="B848" s="5">
        <v>46099.46526413195</v>
      </c>
      <c r="C848" s="6"/>
      <c r="D848" s="4">
        <v>266.0</v>
      </c>
    </row>
    <row r="849" ht="22.5" hidden="1" customHeight="1">
      <c r="A849" s="4" t="s">
        <v>10</v>
      </c>
      <c r="B849" s="5">
        <v>46099.465949247686</v>
      </c>
      <c r="C849" s="6"/>
      <c r="D849" s="4">
        <v>265.0</v>
      </c>
    </row>
    <row r="850" ht="22.5" hidden="1" customHeight="1">
      <c r="A850" s="4" t="s">
        <v>10</v>
      </c>
      <c r="B850" s="5">
        <v>46099.480335520835</v>
      </c>
      <c r="C850" s="6"/>
      <c r="D850" s="4">
        <v>266.0</v>
      </c>
    </row>
    <row r="851" ht="22.5" hidden="1" customHeight="1">
      <c r="A851" s="4" t="s">
        <v>10</v>
      </c>
      <c r="B851" s="5">
        <v>46099.481711064815</v>
      </c>
      <c r="C851" s="6"/>
      <c r="D851" s="4">
        <v>267.0</v>
      </c>
    </row>
    <row r="852" ht="22.5" hidden="1" customHeight="1">
      <c r="A852" s="4" t="s">
        <v>10</v>
      </c>
      <c r="B852" s="5">
        <v>46099.48513253472</v>
      </c>
      <c r="C852" s="6"/>
      <c r="D852" s="4">
        <v>268.0</v>
      </c>
    </row>
    <row r="853" ht="22.5" hidden="1" customHeight="1">
      <c r="A853" s="4" t="s">
        <v>10</v>
      </c>
      <c r="B853" s="5">
        <v>46099.49335236111</v>
      </c>
      <c r="C853" s="6"/>
      <c r="D853" s="4">
        <v>269.0</v>
      </c>
    </row>
    <row r="854" ht="22.5" hidden="1" customHeight="1">
      <c r="A854" s="4" t="s">
        <v>10</v>
      </c>
      <c r="B854" s="5">
        <v>46099.49814833333</v>
      </c>
      <c r="C854" s="6"/>
      <c r="D854" s="4">
        <v>270.0</v>
      </c>
    </row>
    <row r="855" ht="22.5" hidden="1" customHeight="1">
      <c r="A855" s="4" t="s">
        <v>10</v>
      </c>
      <c r="B855" s="5">
        <v>46099.50705502315</v>
      </c>
      <c r="C855" s="6"/>
      <c r="D855" s="4">
        <v>269.0</v>
      </c>
    </row>
    <row r="856" ht="22.5" hidden="1" customHeight="1">
      <c r="A856" s="4" t="s">
        <v>10</v>
      </c>
      <c r="B856" s="5">
        <v>46099.50774001158</v>
      </c>
      <c r="C856" s="6"/>
      <c r="D856" s="4">
        <v>270.0</v>
      </c>
    </row>
    <row r="857" ht="22.5" hidden="1" customHeight="1">
      <c r="A857" s="4" t="s">
        <v>10</v>
      </c>
      <c r="B857" s="5">
        <v>46099.509110162035</v>
      </c>
      <c r="C857" s="6"/>
      <c r="D857" s="4">
        <v>271.0</v>
      </c>
    </row>
    <row r="858" ht="22.5" hidden="1" customHeight="1">
      <c r="A858" s="4" t="s">
        <v>10</v>
      </c>
      <c r="B858" s="5">
        <v>46099.50979513889</v>
      </c>
      <c r="C858" s="6"/>
      <c r="D858" s="4">
        <v>270.0</v>
      </c>
    </row>
    <row r="859" ht="22.5" hidden="1" customHeight="1">
      <c r="A859" s="4" t="s">
        <v>10</v>
      </c>
      <c r="B859" s="5">
        <v>46099.51390537037</v>
      </c>
      <c r="C859" s="6"/>
      <c r="D859" s="4">
        <v>271.0</v>
      </c>
    </row>
    <row r="860" ht="22.5" hidden="1" customHeight="1">
      <c r="A860" s="4" t="s">
        <v>10</v>
      </c>
      <c r="B860" s="5">
        <v>46099.51459096065</v>
      </c>
      <c r="C860" s="6"/>
      <c r="D860" s="4">
        <v>269.0</v>
      </c>
    </row>
    <row r="861" ht="22.5" hidden="1" customHeight="1">
      <c r="A861" s="4" t="s">
        <v>10</v>
      </c>
      <c r="B861" s="5">
        <v>46099.52007100695</v>
      </c>
      <c r="C861" s="6"/>
      <c r="D861" s="4">
        <v>270.0</v>
      </c>
    </row>
    <row r="862" ht="22.5" hidden="1" customHeight="1">
      <c r="A862" s="4" t="s">
        <v>10</v>
      </c>
      <c r="B862" s="5">
        <v>46099.52486878472</v>
      </c>
      <c r="C862" s="6"/>
      <c r="D862" s="4">
        <v>271.0</v>
      </c>
    </row>
    <row r="863" ht="22.5" hidden="1" customHeight="1">
      <c r="A863" s="4" t="s">
        <v>10</v>
      </c>
      <c r="B863" s="5">
        <v>46099.53514395833</v>
      </c>
      <c r="C863" s="6"/>
      <c r="D863" s="4">
        <v>272.0</v>
      </c>
    </row>
    <row r="864" ht="22.5" hidden="1" customHeight="1">
      <c r="A864" s="4" t="s">
        <v>10</v>
      </c>
      <c r="B864" s="5">
        <v>46099.542001712965</v>
      </c>
      <c r="C864" s="6"/>
      <c r="D864" s="4">
        <v>273.0</v>
      </c>
    </row>
    <row r="865" ht="22.5" hidden="1" customHeight="1">
      <c r="A865" s="4" t="s">
        <v>10</v>
      </c>
      <c r="B865" s="5">
        <v>46099.55113101852</v>
      </c>
      <c r="C865" s="6"/>
      <c r="D865" s="4">
        <v>274.0</v>
      </c>
    </row>
    <row r="866" ht="22.5" hidden="1" customHeight="1">
      <c r="A866" s="4" t="s">
        <v>10</v>
      </c>
      <c r="B866" s="5">
        <v>46099.55600550926</v>
      </c>
      <c r="C866" s="6"/>
      <c r="D866" s="4" t="s">
        <v>9</v>
      </c>
    </row>
    <row r="867" ht="22.5" hidden="1" customHeight="1">
      <c r="A867" s="4" t="s">
        <v>10</v>
      </c>
      <c r="B867" s="5">
        <v>46099.55600552083</v>
      </c>
      <c r="C867" s="8"/>
    </row>
    <row r="868" ht="22.5" hidden="1" customHeight="1">
      <c r="A868" s="4" t="s">
        <v>10</v>
      </c>
      <c r="B868" s="5">
        <v>46099.556371782404</v>
      </c>
      <c r="C868" s="6"/>
      <c r="D868" s="4">
        <v>274.0</v>
      </c>
    </row>
    <row r="869" ht="22.5" hidden="1" customHeight="1">
      <c r="A869" s="4" t="s">
        <v>10</v>
      </c>
      <c r="B869" s="5">
        <v>46099.55729773148</v>
      </c>
      <c r="C869" s="6"/>
      <c r="D869" s="4">
        <v>275.0</v>
      </c>
    </row>
    <row r="870" ht="22.5" hidden="1" customHeight="1">
      <c r="A870" s="4" t="s">
        <v>10</v>
      </c>
      <c r="B870" s="5">
        <v>46099.564149143516</v>
      </c>
      <c r="C870" s="6"/>
      <c r="D870" s="4">
        <v>276.0</v>
      </c>
    </row>
    <row r="871" ht="22.5" hidden="1" customHeight="1">
      <c r="A871" s="4" t="s">
        <v>10</v>
      </c>
      <c r="B871" s="5">
        <v>46099.564835335645</v>
      </c>
      <c r="C871" s="6"/>
      <c r="D871" s="4">
        <v>275.0</v>
      </c>
    </row>
    <row r="872" ht="22.5" hidden="1" customHeight="1">
      <c r="A872" s="4" t="s">
        <v>10</v>
      </c>
      <c r="B872" s="5">
        <v>46099.56552037037</v>
      </c>
      <c r="C872" s="6"/>
      <c r="D872" s="4">
        <v>276.0</v>
      </c>
    </row>
    <row r="873" ht="22.5" hidden="1" customHeight="1">
      <c r="A873" s="4" t="s">
        <v>10</v>
      </c>
      <c r="B873" s="5">
        <v>46099.567573125</v>
      </c>
      <c r="C873" s="6"/>
      <c r="D873" s="4">
        <v>275.0</v>
      </c>
    </row>
    <row r="874" ht="22.5" hidden="1" customHeight="1">
      <c r="A874" s="4" t="s">
        <v>10</v>
      </c>
      <c r="B874" s="5">
        <v>46099.56826331018</v>
      </c>
      <c r="C874" s="6"/>
      <c r="D874" s="4">
        <v>276.0</v>
      </c>
    </row>
    <row r="875" ht="22.5" hidden="1" customHeight="1">
      <c r="A875" s="4" t="s">
        <v>10</v>
      </c>
      <c r="B875" s="5">
        <v>46099.57023631944</v>
      </c>
      <c r="C875" s="6"/>
      <c r="D875" s="4" t="s">
        <v>9</v>
      </c>
    </row>
    <row r="876" ht="22.5" hidden="1" customHeight="1">
      <c r="A876" s="4" t="s">
        <v>10</v>
      </c>
      <c r="B876" s="5">
        <v>46099.570236342595</v>
      </c>
      <c r="C876" s="8"/>
    </row>
    <row r="877" ht="22.5" hidden="1" customHeight="1">
      <c r="A877" s="4" t="s">
        <v>10</v>
      </c>
      <c r="B877" s="5">
        <v>46099.570377048614</v>
      </c>
      <c r="C877" s="6"/>
      <c r="D877" s="4">
        <v>276.0</v>
      </c>
    </row>
    <row r="878" ht="22.5" hidden="1" customHeight="1">
      <c r="A878" s="4" t="s">
        <v>10</v>
      </c>
      <c r="B878" s="5">
        <v>46099.57117261574</v>
      </c>
      <c r="C878" s="6"/>
      <c r="D878" s="4">
        <v>277.0</v>
      </c>
    </row>
    <row r="879" ht="22.5" hidden="1" customHeight="1">
      <c r="A879" s="4" t="s">
        <v>10</v>
      </c>
      <c r="B879" s="5">
        <v>46099.578566979166</v>
      </c>
      <c r="C879" s="6"/>
      <c r="D879" s="4">
        <v>278.0</v>
      </c>
    </row>
    <row r="880" ht="22.5" hidden="1" customHeight="1">
      <c r="A880" s="4" t="s">
        <v>10</v>
      </c>
      <c r="B880" s="5">
        <v>46099.58032234954</v>
      </c>
      <c r="C880" s="6"/>
      <c r="D880" s="4" t="s">
        <v>9</v>
      </c>
    </row>
    <row r="881" ht="22.5" hidden="1" customHeight="1">
      <c r="A881" s="4" t="s">
        <v>10</v>
      </c>
      <c r="B881" s="5">
        <v>46099.580322361115</v>
      </c>
      <c r="C881" s="8"/>
    </row>
    <row r="882" ht="22.5" hidden="1" customHeight="1">
      <c r="A882" s="4" t="s">
        <v>10</v>
      </c>
      <c r="B882" s="5">
        <v>46099.62425864583</v>
      </c>
      <c r="C882" s="6"/>
      <c r="D882" s="4">
        <v>280.0</v>
      </c>
    </row>
    <row r="883" ht="22.5" hidden="1" customHeight="1">
      <c r="A883" s="4" t="s">
        <v>10</v>
      </c>
      <c r="B883" s="5">
        <v>46099.628587141204</v>
      </c>
      <c r="C883" s="6"/>
      <c r="D883" s="4">
        <v>281.0</v>
      </c>
    </row>
    <row r="884" ht="22.5" hidden="1" customHeight="1">
      <c r="A884" s="4" t="s">
        <v>10</v>
      </c>
      <c r="B884" s="5">
        <v>46099.63315997685</v>
      </c>
      <c r="C884" s="6"/>
      <c r="D884" s="4" t="s">
        <v>9</v>
      </c>
    </row>
    <row r="885" ht="22.5" hidden="1" customHeight="1">
      <c r="A885" s="4" t="s">
        <v>10</v>
      </c>
      <c r="B885" s="5">
        <v>46099.63315998843</v>
      </c>
      <c r="C885" s="8"/>
    </row>
    <row r="886" ht="22.5" hidden="1" customHeight="1">
      <c r="A886" s="4" t="s">
        <v>10</v>
      </c>
      <c r="B886" s="5">
        <v>46099.63487841435</v>
      </c>
      <c r="C886" s="6"/>
      <c r="D886" s="4">
        <v>280.0</v>
      </c>
    </row>
    <row r="887" ht="22.5" hidden="1" customHeight="1">
      <c r="A887" s="4" t="s">
        <v>10</v>
      </c>
      <c r="B887" s="5">
        <v>46099.63676059028</v>
      </c>
      <c r="C887" s="6"/>
      <c r="D887" s="4" t="s">
        <v>9</v>
      </c>
    </row>
    <row r="888" ht="22.5" hidden="1" customHeight="1">
      <c r="A888" s="4" t="s">
        <v>10</v>
      </c>
      <c r="B888" s="5">
        <v>46099.63676061342</v>
      </c>
      <c r="C888" s="8"/>
    </row>
    <row r="889" ht="22.5" hidden="1" customHeight="1">
      <c r="A889" s="4" t="s">
        <v>10</v>
      </c>
      <c r="B889" s="5">
        <v>46099.63709457176</v>
      </c>
      <c r="C889" s="6"/>
      <c r="D889" s="4">
        <v>280.0</v>
      </c>
    </row>
    <row r="890" ht="22.5" hidden="1" customHeight="1">
      <c r="A890" s="4" t="s">
        <v>10</v>
      </c>
      <c r="B890" s="5">
        <v>46099.63765467593</v>
      </c>
      <c r="C890" s="6"/>
      <c r="D890" s="4">
        <v>281.0</v>
      </c>
    </row>
    <row r="891" ht="22.5" hidden="1" customHeight="1">
      <c r="A891" s="4" t="s">
        <v>10</v>
      </c>
      <c r="B891" s="5">
        <v>46099.64039587963</v>
      </c>
      <c r="C891" s="6"/>
      <c r="D891" s="4">
        <v>283.0</v>
      </c>
    </row>
    <row r="892" ht="22.5" hidden="1" customHeight="1">
      <c r="A892" s="4" t="s">
        <v>10</v>
      </c>
      <c r="B892" s="5">
        <v>46099.641082118054</v>
      </c>
      <c r="C892" s="6"/>
      <c r="D892" s="4">
        <v>285.0</v>
      </c>
    </row>
    <row r="893" ht="22.5" hidden="1" customHeight="1">
      <c r="A893" s="4" t="s">
        <v>10</v>
      </c>
      <c r="B893" s="5">
        <v>46099.64128549769</v>
      </c>
      <c r="C893" s="6"/>
      <c r="D893" s="4" t="s">
        <v>9</v>
      </c>
    </row>
    <row r="894" ht="22.5" hidden="1" customHeight="1">
      <c r="A894" s="4" t="s">
        <v>10</v>
      </c>
      <c r="B894" s="5">
        <v>46099.64128553241</v>
      </c>
      <c r="C894" s="6"/>
      <c r="D894" s="4">
        <v>285.0</v>
      </c>
    </row>
    <row r="895" ht="22.5" hidden="1" customHeight="1">
      <c r="A895" s="4" t="s">
        <v>10</v>
      </c>
      <c r="B895" s="5">
        <v>46099.64176726852</v>
      </c>
      <c r="C895" s="6"/>
      <c r="D895" s="4">
        <v>286.0</v>
      </c>
    </row>
    <row r="896" ht="22.5" hidden="1" customHeight="1">
      <c r="A896" s="4" t="s">
        <v>10</v>
      </c>
      <c r="B896" s="5">
        <v>46099.6424522338</v>
      </c>
      <c r="C896" s="6"/>
      <c r="D896" s="4">
        <v>288.0</v>
      </c>
    </row>
    <row r="897" ht="22.5" hidden="1" customHeight="1">
      <c r="A897" s="4" t="s">
        <v>10</v>
      </c>
      <c r="B897" s="5">
        <v>46099.643141064815</v>
      </c>
      <c r="C897" s="6"/>
      <c r="D897" s="4">
        <v>289.0</v>
      </c>
    </row>
    <row r="898" ht="22.5" hidden="1" customHeight="1">
      <c r="A898" s="4" t="s">
        <v>10</v>
      </c>
      <c r="B898" s="5">
        <v>46099.643822349535</v>
      </c>
      <c r="C898" s="6"/>
      <c r="D898" s="4">
        <v>291.0</v>
      </c>
    </row>
    <row r="899" ht="22.5" hidden="1" customHeight="1">
      <c r="A899" s="4" t="s">
        <v>10</v>
      </c>
      <c r="B899" s="5">
        <v>46099.644525069445</v>
      </c>
      <c r="C899" s="6"/>
      <c r="D899" s="4">
        <v>292.0</v>
      </c>
    </row>
    <row r="900" ht="22.5" hidden="1" customHeight="1">
      <c r="A900" s="4" t="s">
        <v>10</v>
      </c>
      <c r="B900" s="5">
        <v>46099.645193888886</v>
      </c>
      <c r="C900" s="6"/>
      <c r="D900" s="4">
        <v>294.0</v>
      </c>
    </row>
    <row r="901" ht="22.5" hidden="1" customHeight="1">
      <c r="A901" s="4" t="s">
        <v>10</v>
      </c>
      <c r="B901" s="5">
        <v>46099.6458809375</v>
      </c>
      <c r="C901" s="6"/>
      <c r="D901" s="4">
        <v>297.0</v>
      </c>
    </row>
    <row r="902" ht="22.5" hidden="1" customHeight="1">
      <c r="A902" s="4" t="s">
        <v>10</v>
      </c>
      <c r="B902" s="5">
        <v>46099.64724884259</v>
      </c>
      <c r="C902" s="6"/>
      <c r="D902" s="4">
        <v>299.0</v>
      </c>
    </row>
    <row r="903" ht="22.5" hidden="1" customHeight="1">
      <c r="A903" s="4" t="s">
        <v>10</v>
      </c>
      <c r="B903" s="5">
        <v>46099.64862237268</v>
      </c>
      <c r="C903" s="6"/>
      <c r="D903" s="4">
        <v>301.0</v>
      </c>
    </row>
    <row r="904" ht="22.5" hidden="1" customHeight="1">
      <c r="A904" s="4" t="s">
        <v>10</v>
      </c>
      <c r="B904" s="5">
        <v>46099.64999130787</v>
      </c>
      <c r="C904" s="6"/>
      <c r="D904" s="4">
        <v>302.0</v>
      </c>
    </row>
    <row r="905" ht="22.5" hidden="1" customHeight="1">
      <c r="A905" s="4" t="s">
        <v>10</v>
      </c>
      <c r="B905" s="5">
        <v>46099.650676226855</v>
      </c>
      <c r="C905" s="6"/>
      <c r="D905" s="4">
        <v>303.0</v>
      </c>
    </row>
    <row r="906" ht="22.5" hidden="1" customHeight="1">
      <c r="A906" s="4" t="s">
        <v>10</v>
      </c>
      <c r="B906" s="5">
        <v>46099.652048668984</v>
      </c>
      <c r="C906" s="6"/>
      <c r="D906" s="4">
        <v>304.0</v>
      </c>
    </row>
    <row r="907" ht="22.5" hidden="1" customHeight="1">
      <c r="A907" s="4" t="s">
        <v>10</v>
      </c>
      <c r="B907" s="5">
        <v>46099.65273388889</v>
      </c>
      <c r="C907" s="6"/>
      <c r="D907" s="4">
        <v>306.0</v>
      </c>
    </row>
    <row r="908" ht="22.5" hidden="1" customHeight="1">
      <c r="A908" s="4" t="s">
        <v>10</v>
      </c>
      <c r="B908" s="5">
        <v>46099.653425868055</v>
      </c>
      <c r="C908" s="6"/>
      <c r="D908" s="4">
        <v>305.0</v>
      </c>
    </row>
    <row r="909" ht="22.5" hidden="1" customHeight="1">
      <c r="A909" s="4" t="s">
        <v>10</v>
      </c>
      <c r="B909" s="5">
        <v>46099.65410513889</v>
      </c>
      <c r="C909" s="6"/>
      <c r="D909" s="4">
        <v>307.0</v>
      </c>
    </row>
    <row r="910" ht="22.5" hidden="1" customHeight="1">
      <c r="A910" s="4" t="s">
        <v>10</v>
      </c>
      <c r="B910" s="5">
        <v>46099.654787708336</v>
      </c>
      <c r="C910" s="6"/>
      <c r="D910" s="4">
        <v>308.0</v>
      </c>
    </row>
    <row r="911" ht="22.5" hidden="1" customHeight="1">
      <c r="A911" s="4" t="s">
        <v>10</v>
      </c>
      <c r="B911" s="5">
        <v>46099.656159328704</v>
      </c>
      <c r="C911" s="6"/>
      <c r="D911" s="4">
        <v>309.0</v>
      </c>
    </row>
    <row r="912" ht="22.5" hidden="1" customHeight="1">
      <c r="A912" s="4" t="s">
        <v>10</v>
      </c>
      <c r="B912" s="5">
        <v>46099.65684287037</v>
      </c>
      <c r="C912" s="6"/>
      <c r="D912" s="4">
        <v>310.0</v>
      </c>
    </row>
    <row r="913" ht="22.5" hidden="1" customHeight="1">
      <c r="A913" s="4" t="s">
        <v>10</v>
      </c>
      <c r="B913" s="5">
        <v>46099.65752907407</v>
      </c>
      <c r="C913" s="6"/>
      <c r="D913" s="4">
        <v>311.0</v>
      </c>
    </row>
    <row r="914" ht="22.5" hidden="1" customHeight="1">
      <c r="A914" s="4" t="s">
        <v>10</v>
      </c>
      <c r="B914" s="5">
        <v>46099.65889840278</v>
      </c>
      <c r="C914" s="6"/>
      <c r="D914" s="4">
        <v>312.0</v>
      </c>
    </row>
    <row r="915" ht="22.5" hidden="1" customHeight="1">
      <c r="A915" s="4" t="s">
        <v>10</v>
      </c>
      <c r="B915" s="5">
        <v>46099.65958546296</v>
      </c>
      <c r="C915" s="6"/>
      <c r="D915" s="4">
        <v>313.0</v>
      </c>
    </row>
    <row r="916" ht="22.5" hidden="1" customHeight="1">
      <c r="A916" s="4" t="s">
        <v>10</v>
      </c>
      <c r="B916" s="5">
        <v>46099.66164167824</v>
      </c>
      <c r="C916" s="6"/>
      <c r="D916" s="4">
        <v>314.0</v>
      </c>
    </row>
    <row r="917" ht="22.5" hidden="1" customHeight="1">
      <c r="A917" s="4" t="s">
        <v>10</v>
      </c>
      <c r="B917" s="5">
        <v>46099.66232559028</v>
      </c>
      <c r="C917" s="6"/>
      <c r="D917" s="4">
        <v>315.0</v>
      </c>
    </row>
    <row r="918" ht="22.5" hidden="1" customHeight="1">
      <c r="A918" s="4" t="s">
        <v>10</v>
      </c>
      <c r="B918" s="5">
        <v>46099.664382939816</v>
      </c>
      <c r="C918" s="6"/>
      <c r="D918" s="4">
        <v>316.0</v>
      </c>
    </row>
    <row r="919" ht="22.5" hidden="1" customHeight="1">
      <c r="A919" s="4" t="s">
        <v>10</v>
      </c>
      <c r="B919" s="5">
        <v>46099.66507407407</v>
      </c>
      <c r="C919" s="6"/>
      <c r="D919" s="4">
        <v>317.0</v>
      </c>
    </row>
    <row r="920" ht="22.5" hidden="1" customHeight="1">
      <c r="A920" s="4" t="s">
        <v>10</v>
      </c>
      <c r="B920" s="5">
        <v>46099.66712356482</v>
      </c>
      <c r="C920" s="6"/>
      <c r="D920" s="4">
        <v>318.0</v>
      </c>
    </row>
    <row r="921" ht="22.5" hidden="1" customHeight="1">
      <c r="A921" s="4" t="s">
        <v>10</v>
      </c>
      <c r="B921" s="5">
        <v>46099.66780753472</v>
      </c>
      <c r="C921" s="6"/>
      <c r="D921" s="4">
        <v>319.0</v>
      </c>
    </row>
    <row r="922" ht="22.5" hidden="1" customHeight="1">
      <c r="A922" s="4" t="s">
        <v>10</v>
      </c>
      <c r="B922" s="5">
        <v>46099.668494363425</v>
      </c>
      <c r="C922" s="6"/>
      <c r="D922" s="4">
        <v>320.0</v>
      </c>
    </row>
    <row r="923" ht="22.5" hidden="1" customHeight="1">
      <c r="A923" s="4" t="s">
        <v>10</v>
      </c>
      <c r="B923" s="5">
        <v>46099.671246875</v>
      </c>
      <c r="C923" s="6"/>
      <c r="D923" s="4">
        <v>322.0</v>
      </c>
    </row>
    <row r="924" ht="22.5" hidden="1" customHeight="1">
      <c r="A924" s="4" t="s">
        <v>10</v>
      </c>
      <c r="B924" s="5">
        <v>46099.67397363426</v>
      </c>
      <c r="C924" s="6"/>
      <c r="D924" s="4">
        <v>324.0</v>
      </c>
    </row>
    <row r="925" ht="22.5" hidden="1" customHeight="1">
      <c r="A925" s="4" t="s">
        <v>10</v>
      </c>
      <c r="B925" s="5">
        <v>46099.674658842596</v>
      </c>
      <c r="C925" s="6"/>
      <c r="D925" s="4">
        <v>325.0</v>
      </c>
    </row>
    <row r="926" ht="22.5" hidden="1" customHeight="1">
      <c r="A926" s="4" t="s">
        <v>10</v>
      </c>
      <c r="B926" s="5">
        <v>46099.67740033565</v>
      </c>
      <c r="C926" s="6"/>
      <c r="D926" s="4">
        <v>326.0</v>
      </c>
    </row>
    <row r="927" ht="22.5" hidden="1" customHeight="1">
      <c r="A927" s="4" t="s">
        <v>10</v>
      </c>
      <c r="B927" s="5">
        <v>46099.67808510417</v>
      </c>
      <c r="C927" s="6"/>
      <c r="D927" s="4">
        <v>327.0</v>
      </c>
    </row>
    <row r="928" ht="22.5" hidden="1" customHeight="1">
      <c r="A928" s="4" t="s">
        <v>10</v>
      </c>
      <c r="B928" s="5">
        <v>46099.68014626158</v>
      </c>
      <c r="C928" s="6"/>
      <c r="D928" s="4">
        <v>328.0</v>
      </c>
    </row>
    <row r="929" ht="22.5" hidden="1" customHeight="1">
      <c r="A929" s="4" t="s">
        <v>10</v>
      </c>
      <c r="B929" s="5">
        <v>46099.68356765046</v>
      </c>
      <c r="C929" s="6"/>
      <c r="D929" s="4">
        <v>329.0</v>
      </c>
    </row>
    <row r="930" ht="22.5" hidden="1" customHeight="1">
      <c r="A930" s="4" t="s">
        <v>10</v>
      </c>
      <c r="B930" s="5">
        <v>46099.684252708335</v>
      </c>
      <c r="C930" s="6"/>
      <c r="D930" s="4">
        <v>330.0</v>
      </c>
    </row>
    <row r="931" ht="22.5" hidden="1" customHeight="1">
      <c r="A931" s="4" t="s">
        <v>10</v>
      </c>
      <c r="B931" s="5">
        <v>46099.68630893518</v>
      </c>
      <c r="C931" s="6"/>
      <c r="D931" s="4">
        <v>331.0</v>
      </c>
    </row>
    <row r="932" ht="22.5" hidden="1" customHeight="1">
      <c r="A932" s="4" t="s">
        <v>10</v>
      </c>
      <c r="B932" s="5">
        <v>46099.68973436343</v>
      </c>
      <c r="C932" s="6"/>
      <c r="D932" s="4">
        <v>332.0</v>
      </c>
    </row>
    <row r="933" ht="22.5" hidden="1" customHeight="1">
      <c r="A933" s="4" t="s">
        <v>10</v>
      </c>
      <c r="B933" s="5">
        <v>46099.69110657407</v>
      </c>
      <c r="C933" s="6"/>
      <c r="D933" s="4">
        <v>333.0</v>
      </c>
    </row>
    <row r="934" ht="22.5" hidden="1" customHeight="1">
      <c r="A934" s="4" t="s">
        <v>10</v>
      </c>
      <c r="B934" s="5">
        <v>46099.69452967593</v>
      </c>
      <c r="C934" s="6"/>
      <c r="D934" s="4">
        <v>334.0</v>
      </c>
    </row>
    <row r="935" ht="22.5" hidden="1" customHeight="1">
      <c r="A935" s="4" t="s">
        <v>10</v>
      </c>
      <c r="B935" s="5">
        <v>46099.69796533565</v>
      </c>
      <c r="C935" s="6"/>
      <c r="D935" s="4">
        <v>335.0</v>
      </c>
    </row>
    <row r="936" ht="22.5" hidden="1" customHeight="1">
      <c r="A936" s="4" t="s">
        <v>10</v>
      </c>
      <c r="B936" s="5">
        <v>46099.70069858796</v>
      </c>
      <c r="C936" s="6"/>
      <c r="D936" s="4">
        <v>337.0</v>
      </c>
    </row>
    <row r="937" ht="22.5" hidden="1" customHeight="1">
      <c r="A937" s="4" t="s">
        <v>10</v>
      </c>
      <c r="B937" s="5">
        <v>46099.701382175925</v>
      </c>
      <c r="C937" s="6"/>
      <c r="D937" s="4">
        <v>336.0</v>
      </c>
    </row>
    <row r="938" ht="22.5" hidden="1" customHeight="1">
      <c r="A938" s="4" t="s">
        <v>10</v>
      </c>
      <c r="B938" s="5">
        <v>46099.70206729167</v>
      </c>
      <c r="C938" s="6"/>
      <c r="D938" s="4">
        <v>337.0</v>
      </c>
    </row>
    <row r="939" ht="22.5" hidden="1" customHeight="1">
      <c r="A939" s="4" t="s">
        <v>10</v>
      </c>
      <c r="B939" s="5">
        <v>46099.70480871528</v>
      </c>
      <c r="C939" s="6"/>
      <c r="D939" s="4">
        <v>338.0</v>
      </c>
    </row>
    <row r="940" ht="22.5" hidden="1" customHeight="1">
      <c r="A940" s="4" t="s">
        <v>10</v>
      </c>
      <c r="B940" s="5">
        <v>46099.7082340625</v>
      </c>
      <c r="C940" s="6"/>
      <c r="D940" s="4">
        <v>339.0</v>
      </c>
    </row>
    <row r="941" ht="22.5" hidden="1" customHeight="1">
      <c r="A941" s="4" t="s">
        <v>10</v>
      </c>
      <c r="B941" s="5">
        <v>46099.71645594908</v>
      </c>
      <c r="C941" s="6"/>
      <c r="D941" s="4">
        <v>340.0</v>
      </c>
    </row>
    <row r="942" ht="22.5" hidden="1" customHeight="1">
      <c r="A942" s="4" t="s">
        <v>10</v>
      </c>
      <c r="B942" s="5">
        <v>46099.719200300926</v>
      </c>
      <c r="C942" s="6"/>
      <c r="D942" s="4">
        <v>341.0</v>
      </c>
    </row>
    <row r="943" ht="22.5" hidden="1" customHeight="1">
      <c r="A943" s="4" t="s">
        <v>10</v>
      </c>
      <c r="B943" s="5">
        <v>46099.72330936343</v>
      </c>
      <c r="C943" s="6"/>
      <c r="D943" s="4">
        <v>342.0</v>
      </c>
    </row>
    <row r="944" ht="22.5" hidden="1" customHeight="1">
      <c r="A944" s="4" t="s">
        <v>10</v>
      </c>
      <c r="B944" s="5">
        <v>46099.72399251157</v>
      </c>
      <c r="C944" s="6"/>
      <c r="D944" s="4">
        <v>341.0</v>
      </c>
    </row>
    <row r="945" ht="22.5" hidden="1" customHeight="1">
      <c r="A945" s="4" t="s">
        <v>10</v>
      </c>
      <c r="B945" s="5">
        <v>46099.728791064816</v>
      </c>
      <c r="C945" s="6"/>
      <c r="D945" s="4">
        <v>342.0</v>
      </c>
    </row>
    <row r="946" ht="22.5" hidden="1" customHeight="1">
      <c r="A946" s="4" t="s">
        <v>10</v>
      </c>
      <c r="B946" s="5">
        <v>46099.72947359954</v>
      </c>
      <c r="C946" s="6"/>
      <c r="D946" s="4">
        <v>341.0</v>
      </c>
    </row>
    <row r="947" ht="22.5" hidden="1" customHeight="1">
      <c r="A947" s="4" t="s">
        <v>10</v>
      </c>
      <c r="B947" s="5">
        <v>46099.73016092592</v>
      </c>
      <c r="C947" s="6"/>
      <c r="D947" s="4">
        <v>342.0</v>
      </c>
    </row>
    <row r="948" ht="22.5" hidden="1" customHeight="1">
      <c r="A948" s="4" t="s">
        <v>10</v>
      </c>
      <c r="B948" s="5">
        <v>46099.74111953704</v>
      </c>
      <c r="C948" s="6"/>
      <c r="D948" s="4">
        <v>343.0</v>
      </c>
    </row>
    <row r="949" ht="22.5" hidden="1" customHeight="1">
      <c r="A949" s="4" t="s">
        <v>10</v>
      </c>
      <c r="B949" s="5">
        <v>46099.745915671294</v>
      </c>
      <c r="C949" s="6"/>
      <c r="D949" s="4">
        <v>344.0</v>
      </c>
    </row>
    <row r="950" ht="22.5" hidden="1" customHeight="1">
      <c r="A950" s="4" t="s">
        <v>10</v>
      </c>
      <c r="B950" s="5">
        <v>46099.75002828704</v>
      </c>
      <c r="C950" s="6"/>
      <c r="D950" s="4">
        <v>345.0</v>
      </c>
    </row>
    <row r="951" ht="22.5" hidden="1" customHeight="1">
      <c r="A951" s="4" t="s">
        <v>10</v>
      </c>
      <c r="B951" s="5">
        <v>46099.75893376157</v>
      </c>
      <c r="C951" s="6"/>
      <c r="D951" s="4">
        <v>346.0</v>
      </c>
    </row>
    <row r="952" ht="22.5" hidden="1" customHeight="1">
      <c r="A952" s="4" t="s">
        <v>10</v>
      </c>
      <c r="B952" s="5">
        <v>46099.75961685185</v>
      </c>
      <c r="C952" s="6"/>
      <c r="D952" s="4">
        <v>345.0</v>
      </c>
    </row>
    <row r="953" ht="22.5" hidden="1" customHeight="1">
      <c r="A953" s="4" t="s">
        <v>10</v>
      </c>
      <c r="B953" s="5">
        <v>46099.76441408565</v>
      </c>
      <c r="C953" s="6"/>
      <c r="D953" s="4">
        <v>351.0</v>
      </c>
    </row>
    <row r="954" ht="22.5" hidden="1" customHeight="1">
      <c r="A954" s="4" t="s">
        <v>10</v>
      </c>
      <c r="B954" s="5">
        <v>46099.765099131946</v>
      </c>
      <c r="C954" s="6"/>
      <c r="D954" s="4">
        <v>355.0</v>
      </c>
    </row>
    <row r="955" ht="22.5" hidden="1" customHeight="1">
      <c r="A955" s="4" t="s">
        <v>10</v>
      </c>
      <c r="B955" s="5">
        <v>46099.76578303241</v>
      </c>
      <c r="C955" s="6"/>
      <c r="D955" s="4">
        <v>372.0</v>
      </c>
    </row>
    <row r="956" ht="22.5" hidden="1" customHeight="1">
      <c r="A956" s="4" t="s">
        <v>10</v>
      </c>
      <c r="B956" s="5">
        <v>46099.766474027776</v>
      </c>
      <c r="C956" s="6"/>
      <c r="D956" s="4">
        <v>379.0</v>
      </c>
    </row>
    <row r="957" ht="22.5" hidden="1" customHeight="1">
      <c r="A957" s="4" t="s">
        <v>10</v>
      </c>
      <c r="B957" s="5">
        <v>46099.76715305555</v>
      </c>
      <c r="C957" s="6"/>
      <c r="D957" s="4">
        <v>380.0</v>
      </c>
    </row>
    <row r="958" ht="22.5" hidden="1" customHeight="1">
      <c r="A958" s="4" t="s">
        <v>10</v>
      </c>
      <c r="B958" s="5">
        <v>46099.767839375</v>
      </c>
      <c r="C958" s="6"/>
      <c r="D958" s="4">
        <v>386.0</v>
      </c>
    </row>
    <row r="959" ht="22.5" hidden="1" customHeight="1">
      <c r="A959" s="4" t="s">
        <v>10</v>
      </c>
      <c r="B959" s="5">
        <v>46099.76920753472</v>
      </c>
      <c r="C959" s="6"/>
      <c r="D959" s="4">
        <v>384.0</v>
      </c>
    </row>
    <row r="960" ht="22.5" hidden="1" customHeight="1">
      <c r="A960" s="4" t="s">
        <v>10</v>
      </c>
      <c r="B960" s="5">
        <v>46099.76989440972</v>
      </c>
      <c r="C960" s="6"/>
      <c r="D960" s="4">
        <v>383.0</v>
      </c>
    </row>
    <row r="961" ht="22.5" hidden="1" customHeight="1">
      <c r="A961" s="4" t="s">
        <v>10</v>
      </c>
      <c r="B961" s="5">
        <v>46099.77057825231</v>
      </c>
      <c r="C961" s="6"/>
      <c r="D961" s="4">
        <v>381.0</v>
      </c>
    </row>
    <row r="962" ht="22.5" hidden="1" customHeight="1">
      <c r="A962" s="4" t="s">
        <v>10</v>
      </c>
      <c r="B962" s="5">
        <v>46099.77126690972</v>
      </c>
      <c r="C962" s="6"/>
      <c r="D962" s="4">
        <v>384.0</v>
      </c>
    </row>
    <row r="963" ht="22.5" hidden="1" customHeight="1">
      <c r="A963" s="4" t="s">
        <v>10</v>
      </c>
      <c r="B963" s="5">
        <v>46099.77194832176</v>
      </c>
      <c r="C963" s="6"/>
      <c r="D963" s="4">
        <v>382.0</v>
      </c>
    </row>
    <row r="964" ht="22.5" hidden="1" customHeight="1">
      <c r="A964" s="4" t="s">
        <v>10</v>
      </c>
      <c r="B964" s="5">
        <v>46099.772632534725</v>
      </c>
      <c r="C964" s="6"/>
      <c r="D964" s="4">
        <v>376.0</v>
      </c>
    </row>
    <row r="965" ht="22.5" hidden="1" customHeight="1">
      <c r="A965" s="4" t="s">
        <v>10</v>
      </c>
      <c r="B965" s="5">
        <v>46099.773319594904</v>
      </c>
      <c r="C965" s="6"/>
      <c r="D965" s="4">
        <v>369.0</v>
      </c>
    </row>
    <row r="966" ht="22.5" hidden="1" customHeight="1">
      <c r="A966" s="4" t="s">
        <v>10</v>
      </c>
      <c r="B966" s="5">
        <v>46099.77400239583</v>
      </c>
      <c r="C966" s="6"/>
      <c r="D966" s="4">
        <v>368.0</v>
      </c>
    </row>
    <row r="967" ht="22.5" hidden="1" customHeight="1">
      <c r="A967" s="4" t="s">
        <v>10</v>
      </c>
      <c r="B967" s="5">
        <v>46099.77948737268</v>
      </c>
      <c r="C967" s="6"/>
      <c r="D967" s="4">
        <v>369.0</v>
      </c>
    </row>
    <row r="968" ht="22.5" hidden="1" customHeight="1">
      <c r="A968" s="4" t="s">
        <v>10</v>
      </c>
      <c r="B968" s="5">
        <v>46099.783597835645</v>
      </c>
      <c r="C968" s="6"/>
      <c r="D968" s="4">
        <v>370.0</v>
      </c>
    </row>
    <row r="969" ht="22.5" hidden="1" customHeight="1">
      <c r="A969" s="4" t="s">
        <v>10</v>
      </c>
      <c r="B969" s="5">
        <v>46099.78427710648</v>
      </c>
      <c r="C969" s="6"/>
      <c r="D969" s="4">
        <v>369.0</v>
      </c>
    </row>
    <row r="970" ht="22.5" hidden="1" customHeight="1">
      <c r="A970" s="4" t="s">
        <v>10</v>
      </c>
      <c r="B970" s="5">
        <v>46099.78564695602</v>
      </c>
      <c r="C970" s="6"/>
      <c r="D970" s="4">
        <v>370.0</v>
      </c>
    </row>
    <row r="971" ht="22.5" hidden="1" customHeight="1">
      <c r="A971" s="4" t="s">
        <v>10</v>
      </c>
      <c r="B971" s="5">
        <v>46099.787702395835</v>
      </c>
      <c r="C971" s="6"/>
      <c r="D971" s="4">
        <v>371.0</v>
      </c>
    </row>
    <row r="972" ht="22.5" hidden="1" customHeight="1">
      <c r="A972" s="4" t="s">
        <v>10</v>
      </c>
      <c r="B972" s="5">
        <v>46099.7904468287</v>
      </c>
      <c r="C972" s="6"/>
      <c r="D972" s="4">
        <v>370.0</v>
      </c>
    </row>
    <row r="973" ht="22.5" hidden="1" customHeight="1">
      <c r="A973" s="4" t="s">
        <v>10</v>
      </c>
      <c r="B973" s="5">
        <v>46099.79112849537</v>
      </c>
      <c r="C973" s="6"/>
      <c r="D973" s="4">
        <v>371.0</v>
      </c>
    </row>
    <row r="974" ht="22.5" hidden="1" customHeight="1">
      <c r="A974" s="4" t="s">
        <v>10</v>
      </c>
      <c r="B974" s="5">
        <v>46099.791813668984</v>
      </c>
      <c r="C974" s="6"/>
      <c r="D974" s="4">
        <v>370.0</v>
      </c>
    </row>
    <row r="975" ht="22.5" hidden="1" customHeight="1">
      <c r="A975" s="4" t="s">
        <v>10</v>
      </c>
      <c r="B975" s="5">
        <v>46099.79250545139</v>
      </c>
      <c r="C975" s="6"/>
      <c r="D975" s="4">
        <v>371.0</v>
      </c>
    </row>
    <row r="976" ht="22.5" hidden="1" customHeight="1">
      <c r="A976" s="4" t="s">
        <v>10</v>
      </c>
      <c r="B976" s="5">
        <v>46099.79318346065</v>
      </c>
      <c r="C976" s="6"/>
      <c r="D976" s="4">
        <v>372.0</v>
      </c>
    </row>
    <row r="977" ht="22.5" hidden="1" customHeight="1">
      <c r="A977" s="4" t="s">
        <v>10</v>
      </c>
      <c r="B977" s="5">
        <v>46099.79386730324</v>
      </c>
      <c r="C977" s="6"/>
      <c r="D977" s="4">
        <v>371.0</v>
      </c>
    </row>
    <row r="978" ht="22.5" hidden="1" customHeight="1">
      <c r="A978" s="4" t="s">
        <v>10</v>
      </c>
      <c r="B978" s="5">
        <v>46099.79455462963</v>
      </c>
      <c r="C978" s="6"/>
      <c r="D978" s="4">
        <v>372.0</v>
      </c>
    </row>
    <row r="979" ht="22.5" hidden="1" customHeight="1">
      <c r="A979" s="4" t="s">
        <v>10</v>
      </c>
      <c r="B979" s="5">
        <v>46099.79592525463</v>
      </c>
      <c r="C979" s="6"/>
      <c r="D979" s="4">
        <v>373.0</v>
      </c>
    </row>
    <row r="980" ht="22.5" hidden="1" customHeight="1">
      <c r="A980" s="4" t="s">
        <v>10</v>
      </c>
      <c r="B980" s="5">
        <v>46099.79660763889</v>
      </c>
      <c r="C980" s="6"/>
      <c r="D980" s="4">
        <v>372.0</v>
      </c>
    </row>
    <row r="981" ht="22.5" hidden="1" customHeight="1">
      <c r="A981" s="4" t="s">
        <v>10</v>
      </c>
      <c r="B981" s="5">
        <v>46099.798662650464</v>
      </c>
      <c r="C981" s="6"/>
      <c r="D981" s="4">
        <v>373.0</v>
      </c>
    </row>
    <row r="982" ht="22.5" hidden="1" customHeight="1">
      <c r="A982" s="4" t="s">
        <v>10</v>
      </c>
      <c r="B982" s="5">
        <v>46099.80003140046</v>
      </c>
      <c r="C982" s="6"/>
      <c r="D982" s="4">
        <v>372.0</v>
      </c>
    </row>
    <row r="983" ht="22.5" hidden="1" customHeight="1">
      <c r="A983" s="4" t="s">
        <v>10</v>
      </c>
      <c r="B983" s="5">
        <v>46099.801401516204</v>
      </c>
      <c r="C983" s="6"/>
      <c r="D983" s="4">
        <v>373.0</v>
      </c>
    </row>
    <row r="984" ht="22.5" hidden="1" customHeight="1">
      <c r="A984" s="4" t="s">
        <v>10</v>
      </c>
      <c r="B984" s="5">
        <v>46099.8020866088</v>
      </c>
      <c r="C984" s="6"/>
      <c r="D984" s="4">
        <v>372.0</v>
      </c>
    </row>
    <row r="985" ht="22.5" hidden="1" customHeight="1">
      <c r="A985" s="4" t="s">
        <v>10</v>
      </c>
      <c r="B985" s="5">
        <v>46099.80277155092</v>
      </c>
      <c r="C985" s="6"/>
      <c r="D985" s="4">
        <v>373.0</v>
      </c>
    </row>
    <row r="986" ht="22.5" hidden="1" customHeight="1">
      <c r="A986" s="4" t="s">
        <v>10</v>
      </c>
      <c r="B986" s="5">
        <v>46099.803457974536</v>
      </c>
      <c r="C986" s="6"/>
      <c r="D986" s="4">
        <v>372.0</v>
      </c>
    </row>
    <row r="987" ht="22.5" hidden="1" customHeight="1">
      <c r="A987" s="4" t="s">
        <v>10</v>
      </c>
      <c r="B987" s="5">
        <v>46099.80414208333</v>
      </c>
      <c r="C987" s="6"/>
      <c r="D987" s="4">
        <v>373.0</v>
      </c>
    </row>
    <row r="988" ht="22.5" hidden="1" customHeight="1">
      <c r="A988" s="4" t="s">
        <v>10</v>
      </c>
      <c r="B988" s="5">
        <v>46099.80482671296</v>
      </c>
      <c r="C988" s="6"/>
      <c r="D988" s="4">
        <v>372.0</v>
      </c>
    </row>
    <row r="989" ht="22.5" hidden="1" customHeight="1">
      <c r="A989" s="4" t="s">
        <v>10</v>
      </c>
      <c r="B989" s="5">
        <v>46099.80551652778</v>
      </c>
      <c r="C989" s="6"/>
      <c r="D989" s="4">
        <v>373.0</v>
      </c>
    </row>
    <row r="990" ht="22.5" hidden="1" customHeight="1">
      <c r="A990" s="4" t="s">
        <v>10</v>
      </c>
      <c r="B990" s="5">
        <v>46099.80620048611</v>
      </c>
      <c r="C990" s="6"/>
      <c r="D990" s="4">
        <v>372.0</v>
      </c>
    </row>
    <row r="991" ht="22.5" hidden="1" customHeight="1">
      <c r="A991" s="4" t="s">
        <v>10</v>
      </c>
      <c r="B991" s="5">
        <v>46099.81578506945</v>
      </c>
      <c r="C991" s="6"/>
      <c r="D991" s="4">
        <v>371.0</v>
      </c>
    </row>
    <row r="992" ht="22.5" hidden="1" customHeight="1">
      <c r="A992" s="4" t="s">
        <v>10</v>
      </c>
      <c r="B992" s="5">
        <v>46099.81715511574</v>
      </c>
      <c r="C992" s="6"/>
      <c r="D992" s="4">
        <v>372.0</v>
      </c>
    </row>
    <row r="993" ht="22.5" hidden="1" customHeight="1">
      <c r="A993" s="4" t="s">
        <v>10</v>
      </c>
      <c r="B993" s="5">
        <v>46099.81784150463</v>
      </c>
      <c r="C993" s="6"/>
      <c r="D993" s="4">
        <v>371.0</v>
      </c>
    </row>
    <row r="994" ht="22.5" hidden="1" customHeight="1">
      <c r="A994" s="4" t="s">
        <v>10</v>
      </c>
      <c r="B994" s="5">
        <v>46099.82400422454</v>
      </c>
      <c r="C994" s="6"/>
      <c r="D994" s="4">
        <v>372.0</v>
      </c>
    </row>
    <row r="995" ht="22.5" hidden="1" customHeight="1">
      <c r="A995" s="4" t="s">
        <v>10</v>
      </c>
      <c r="B995" s="5">
        <v>46099.824688657405</v>
      </c>
      <c r="C995" s="6"/>
      <c r="D995" s="4">
        <v>371.0</v>
      </c>
    </row>
    <row r="996" ht="22.5" hidden="1" customHeight="1">
      <c r="A996" s="4" t="s">
        <v>10</v>
      </c>
      <c r="B996" s="5">
        <v>46099.826060520834</v>
      </c>
      <c r="C996" s="6"/>
      <c r="D996" s="4">
        <v>372.0</v>
      </c>
    </row>
    <row r="997" ht="22.5" hidden="1" customHeight="1">
      <c r="A997" s="4" t="s">
        <v>10</v>
      </c>
      <c r="B997" s="5">
        <v>46099.82743534722</v>
      </c>
      <c r="C997" s="6"/>
      <c r="D997" s="4">
        <v>371.0</v>
      </c>
    </row>
    <row r="998" ht="22.5" hidden="1" customHeight="1">
      <c r="A998" s="4" t="s">
        <v>10</v>
      </c>
      <c r="B998" s="5">
        <v>46099.83222241898</v>
      </c>
      <c r="C998" s="6"/>
      <c r="D998" s="4">
        <v>372.0</v>
      </c>
    </row>
    <row r="999" ht="22.5" hidden="1" customHeight="1">
      <c r="A999" s="4" t="s">
        <v>10</v>
      </c>
      <c r="B999" s="5">
        <v>46099.833591400464</v>
      </c>
      <c r="C999" s="6"/>
      <c r="D999" s="4">
        <v>371.0</v>
      </c>
    </row>
    <row r="1000" ht="22.5" hidden="1" customHeight="1">
      <c r="A1000" s="4" t="s">
        <v>10</v>
      </c>
      <c r="B1000" s="5">
        <v>46099.841124328705</v>
      </c>
      <c r="C1000" s="6"/>
      <c r="D1000" s="4">
        <v>372.0</v>
      </c>
    </row>
    <row r="1001" ht="22.5" hidden="1" customHeight="1">
      <c r="A1001" s="4" t="s">
        <v>10</v>
      </c>
      <c r="B1001" s="5">
        <v>46099.85002748843</v>
      </c>
      <c r="C1001" s="6"/>
      <c r="D1001" s="4">
        <v>373.0</v>
      </c>
    </row>
    <row r="1002" ht="22.5" hidden="1" customHeight="1">
      <c r="A1002" s="4" t="s">
        <v>10</v>
      </c>
      <c r="B1002" s="5">
        <v>46099.850712465275</v>
      </c>
      <c r="C1002" s="6"/>
      <c r="D1002" s="4">
        <v>375.0</v>
      </c>
    </row>
    <row r="1003" ht="22.5" hidden="1" customHeight="1">
      <c r="A1003" s="4" t="s">
        <v>10</v>
      </c>
      <c r="B1003" s="5">
        <v>46099.853451967596</v>
      </c>
      <c r="C1003" s="6"/>
      <c r="D1003" s="4">
        <v>376.0</v>
      </c>
    </row>
    <row r="1004" ht="22.5" hidden="1" customHeight="1">
      <c r="A1004" s="4" t="s">
        <v>10</v>
      </c>
      <c r="B1004" s="5">
        <v>46099.860989733796</v>
      </c>
      <c r="C1004" s="6"/>
      <c r="D1004" s="4">
        <v>373.0</v>
      </c>
    </row>
    <row r="1005" ht="22.5" hidden="1" customHeight="1">
      <c r="A1005" s="4" t="s">
        <v>10</v>
      </c>
      <c r="B1005" s="5">
        <v>46099.86166953704</v>
      </c>
      <c r="C1005" s="6"/>
      <c r="D1005" s="4">
        <v>372.0</v>
      </c>
    </row>
    <row r="1006" ht="22.5" hidden="1" customHeight="1">
      <c r="A1006" s="4" t="s">
        <v>10</v>
      </c>
      <c r="B1006" s="5">
        <v>46099.863040219905</v>
      </c>
      <c r="C1006" s="6"/>
      <c r="D1006" s="4">
        <v>371.0</v>
      </c>
    </row>
    <row r="1007" ht="22.5" hidden="1" customHeight="1">
      <c r="A1007" s="4" t="s">
        <v>10</v>
      </c>
      <c r="B1007" s="5">
        <v>46099.88289685185</v>
      </c>
      <c r="C1007" s="6"/>
      <c r="D1007" s="4">
        <v>372.0</v>
      </c>
    </row>
    <row r="1008" ht="22.5" hidden="1" customHeight="1">
      <c r="A1008" s="4" t="s">
        <v>10</v>
      </c>
      <c r="B1008" s="5">
        <v>46099.891798206016</v>
      </c>
      <c r="C1008" s="6"/>
      <c r="D1008" s="4">
        <v>371.0</v>
      </c>
    </row>
    <row r="1009" ht="22.5" hidden="1" customHeight="1">
      <c r="A1009" s="4" t="s">
        <v>10</v>
      </c>
      <c r="B1009" s="5">
        <v>46099.892485902776</v>
      </c>
      <c r="C1009" s="6"/>
      <c r="D1009" s="4">
        <v>372.0</v>
      </c>
    </row>
    <row r="1010" ht="22.5" hidden="1" customHeight="1">
      <c r="A1010" s="4" t="s">
        <v>10</v>
      </c>
      <c r="B1010" s="5">
        <v>46099.89590732639</v>
      </c>
      <c r="C1010" s="6"/>
      <c r="D1010" s="4">
        <v>371.0</v>
      </c>
    </row>
    <row r="1011" ht="22.5" hidden="1" customHeight="1">
      <c r="A1011" s="4" t="s">
        <v>10</v>
      </c>
      <c r="B1011" s="5">
        <v>46099.89659113426</v>
      </c>
      <c r="C1011" s="6"/>
      <c r="D1011" s="4">
        <v>372.0</v>
      </c>
    </row>
    <row r="1012" ht="22.5" hidden="1" customHeight="1">
      <c r="A1012" s="4" t="s">
        <v>10</v>
      </c>
      <c r="B1012" s="5">
        <v>46099.89727912037</v>
      </c>
      <c r="C1012" s="6"/>
      <c r="D1012" s="4">
        <v>371.0</v>
      </c>
    </row>
    <row r="1013" ht="22.5" hidden="1" customHeight="1">
      <c r="A1013" s="4" t="s">
        <v>10</v>
      </c>
      <c r="B1013" s="5">
        <v>46099.900015196756</v>
      </c>
      <c r="C1013" s="6"/>
      <c r="D1013" s="4">
        <v>370.0</v>
      </c>
    </row>
    <row r="1014" ht="22.5" hidden="1" customHeight="1">
      <c r="A1014" s="4" t="s">
        <v>10</v>
      </c>
      <c r="B1014" s="5">
        <v>46099.901383206015</v>
      </c>
      <c r="C1014" s="6"/>
      <c r="D1014" s="4">
        <v>371.0</v>
      </c>
    </row>
    <row r="1015" ht="22.5" hidden="1" customHeight="1">
      <c r="A1015" s="4" t="s">
        <v>10</v>
      </c>
      <c r="B1015" s="5">
        <v>46099.903439375</v>
      </c>
      <c r="C1015" s="6"/>
      <c r="D1015" s="4">
        <v>370.0</v>
      </c>
    </row>
    <row r="1016" ht="22.5" hidden="1" customHeight="1">
      <c r="A1016" s="4" t="s">
        <v>10</v>
      </c>
      <c r="B1016" s="5">
        <v>46099.92261123843</v>
      </c>
      <c r="C1016" s="6"/>
      <c r="D1016" s="4">
        <v>371.0</v>
      </c>
    </row>
    <row r="1017" ht="22.5" hidden="1" customHeight="1">
      <c r="A1017" s="4" t="s">
        <v>10</v>
      </c>
      <c r="B1017" s="5">
        <v>46099.949999895834</v>
      </c>
      <c r="C1017" s="6"/>
      <c r="D1017" s="4">
        <v>370.0</v>
      </c>
    </row>
    <row r="1018" ht="22.5" hidden="1" customHeight="1">
      <c r="A1018" s="4" t="s">
        <v>10</v>
      </c>
      <c r="B1018" s="5">
        <v>46099.95068480324</v>
      </c>
      <c r="C1018" s="6"/>
      <c r="D1018" s="4">
        <v>371.0</v>
      </c>
    </row>
    <row r="1019" ht="22.5" hidden="1" customHeight="1">
      <c r="A1019" s="4" t="s">
        <v>10</v>
      </c>
      <c r="B1019" s="5">
        <v>46099.96643681713</v>
      </c>
      <c r="C1019" s="6"/>
      <c r="D1019" s="4">
        <v>370.0</v>
      </c>
    </row>
    <row r="1020" ht="22.5" hidden="1" customHeight="1">
      <c r="A1020" s="4" t="s">
        <v>10</v>
      </c>
      <c r="B1020" s="5">
        <v>46099.967125393516</v>
      </c>
      <c r="C1020" s="6"/>
      <c r="D1020" s="4">
        <v>371.0</v>
      </c>
    </row>
    <row r="1021" ht="22.5" hidden="1" customHeight="1">
      <c r="A1021" s="4" t="s">
        <v>10</v>
      </c>
      <c r="B1021" s="5">
        <v>46099.98629739583</v>
      </c>
      <c r="C1021" s="6"/>
      <c r="D1021" s="4">
        <v>370.0</v>
      </c>
    </row>
    <row r="1022" ht="22.5" hidden="1" customHeight="1">
      <c r="A1022" s="4" t="s">
        <v>10</v>
      </c>
      <c r="B1022" s="5">
        <v>46099.98698259259</v>
      </c>
      <c r="C1022" s="6"/>
      <c r="D1022" s="4">
        <v>371.0</v>
      </c>
    </row>
    <row r="1023" ht="22.5" hidden="1" customHeight="1">
      <c r="A1023" s="4" t="s">
        <v>10</v>
      </c>
      <c r="B1023" s="5">
        <v>46099.98972106481</v>
      </c>
      <c r="C1023" s="6"/>
      <c r="D1023" s="4">
        <v>370.0</v>
      </c>
    </row>
    <row r="1024" ht="22.5" hidden="1" customHeight="1">
      <c r="A1024" s="4" t="s">
        <v>10</v>
      </c>
      <c r="B1024" s="5">
        <v>46099.99040483796</v>
      </c>
      <c r="C1024" s="6"/>
      <c r="D1024" s="4">
        <v>371.0</v>
      </c>
    </row>
    <row r="1025" ht="22.5" hidden="1" customHeight="1">
      <c r="A1025" s="4" t="s">
        <v>10</v>
      </c>
      <c r="B1025" s="5">
        <v>46099.99108990741</v>
      </c>
      <c r="C1025" s="6"/>
      <c r="D1025" s="4">
        <v>370.0</v>
      </c>
    </row>
    <row r="1026" ht="22.5" hidden="1" customHeight="1">
      <c r="A1026" s="4" t="s">
        <v>10</v>
      </c>
      <c r="B1026" s="5">
        <v>46099.99245900463</v>
      </c>
      <c r="C1026" s="6"/>
      <c r="D1026" s="4">
        <v>371.0</v>
      </c>
    </row>
    <row r="1027" ht="22.5" hidden="1" customHeight="1">
      <c r="A1027" s="4" t="s">
        <v>10</v>
      </c>
      <c r="B1027" s="5">
        <v>46099.99314381945</v>
      </c>
      <c r="C1027" s="6"/>
      <c r="D1027" s="4">
        <v>370.0</v>
      </c>
    </row>
    <row r="1028" ht="22.5" hidden="1" customHeight="1">
      <c r="A1028" s="4" t="s">
        <v>10</v>
      </c>
      <c r="B1028" s="5">
        <v>46099.99383607639</v>
      </c>
      <c r="C1028" s="6"/>
      <c r="D1028" s="4">
        <v>371.0</v>
      </c>
    </row>
    <row r="1029" ht="22.5" hidden="1" customHeight="1">
      <c r="A1029" s="4" t="s">
        <v>10</v>
      </c>
      <c r="B1029" s="5">
        <v>46099.99451635416</v>
      </c>
      <c r="C1029" s="6"/>
      <c r="D1029" s="4">
        <v>370.0</v>
      </c>
    </row>
    <row r="1030" ht="22.5" hidden="1" customHeight="1">
      <c r="A1030" s="4" t="s">
        <v>10</v>
      </c>
      <c r="B1030" s="5">
        <v>46099.99862439815</v>
      </c>
      <c r="C1030" s="6"/>
      <c r="D1030" s="4">
        <v>369.0</v>
      </c>
    </row>
    <row r="1031" ht="22.5" hidden="1" customHeight="1">
      <c r="A1031" s="4" t="s">
        <v>10</v>
      </c>
      <c r="B1031" s="5">
        <v>46100.00684219907</v>
      </c>
      <c r="C1031" s="6"/>
      <c r="D1031" s="4">
        <v>368.0</v>
      </c>
    </row>
    <row r="1032" ht="22.5" hidden="1" customHeight="1">
      <c r="A1032" s="4" t="s">
        <v>10</v>
      </c>
      <c r="B1032" s="5">
        <v>46100.036282280096</v>
      </c>
      <c r="C1032" s="6"/>
      <c r="D1032" s="4">
        <v>369.0</v>
      </c>
    </row>
    <row r="1033" ht="22.5" hidden="1" customHeight="1">
      <c r="A1033" s="4" t="s">
        <v>10</v>
      </c>
      <c r="B1033" s="5">
        <v>46100.03765599537</v>
      </c>
      <c r="C1033" s="6"/>
      <c r="D1033" s="4">
        <v>368.0</v>
      </c>
    </row>
    <row r="1034" ht="22.5" hidden="1" customHeight="1">
      <c r="A1034" s="4" t="s">
        <v>10</v>
      </c>
      <c r="B1034" s="5">
        <v>46100.038335081015</v>
      </c>
      <c r="C1034" s="6"/>
      <c r="D1034" s="4">
        <v>369.0</v>
      </c>
    </row>
    <row r="1035" ht="22.5" hidden="1" customHeight="1">
      <c r="A1035" s="4" t="s">
        <v>10</v>
      </c>
      <c r="B1035" s="5">
        <v>46100.044497222225</v>
      </c>
      <c r="C1035" s="6"/>
      <c r="D1035" s="4">
        <v>368.0</v>
      </c>
    </row>
    <row r="1036" ht="22.5" hidden="1" customHeight="1">
      <c r="A1036" s="4" t="s">
        <v>10</v>
      </c>
      <c r="B1036" s="5">
        <v>46100.04518311343</v>
      </c>
      <c r="C1036" s="6"/>
      <c r="D1036" s="4">
        <v>369.0</v>
      </c>
    </row>
    <row r="1037" ht="22.5" hidden="1" customHeight="1">
      <c r="A1037" s="4" t="s">
        <v>10</v>
      </c>
      <c r="B1037" s="5">
        <v>46100.04655194445</v>
      </c>
      <c r="C1037" s="6"/>
      <c r="D1037" s="4">
        <v>368.0</v>
      </c>
    </row>
    <row r="1038" ht="22.5" hidden="1" customHeight="1">
      <c r="A1038" s="4" t="s">
        <v>10</v>
      </c>
      <c r="B1038" s="5">
        <v>46100.047238252315</v>
      </c>
      <c r="C1038" s="6"/>
      <c r="D1038" s="4">
        <v>369.0</v>
      </c>
    </row>
    <row r="1039" ht="22.5" hidden="1" customHeight="1">
      <c r="A1039" s="4" t="s">
        <v>10</v>
      </c>
      <c r="B1039" s="5">
        <v>46100.047925590276</v>
      </c>
      <c r="C1039" s="6"/>
      <c r="D1039" s="4">
        <v>368.0</v>
      </c>
    </row>
    <row r="1040" ht="22.5" hidden="1" customHeight="1">
      <c r="A1040" s="4" t="s">
        <v>10</v>
      </c>
      <c r="B1040" s="5">
        <v>46100.05545157407</v>
      </c>
      <c r="C1040" s="6"/>
      <c r="D1040" s="4">
        <v>367.0</v>
      </c>
    </row>
    <row r="1041" ht="22.5" hidden="1" customHeight="1">
      <c r="A1041" s="4" t="s">
        <v>10</v>
      </c>
      <c r="B1041" s="5">
        <v>46100.05613670139</v>
      </c>
      <c r="C1041" s="6"/>
      <c r="D1041" s="4">
        <v>368.0</v>
      </c>
    </row>
    <row r="1042" ht="22.5" hidden="1" customHeight="1">
      <c r="A1042" s="4" t="s">
        <v>10</v>
      </c>
      <c r="B1042" s="5">
        <v>46100.056828726854</v>
      </c>
      <c r="C1042" s="6"/>
      <c r="D1042" s="4">
        <v>367.0</v>
      </c>
    </row>
    <row r="1043" ht="22.5" hidden="1" customHeight="1">
      <c r="A1043" s="4" t="s">
        <v>10</v>
      </c>
      <c r="B1043" s="5">
        <v>46100.057505868055</v>
      </c>
      <c r="C1043" s="6"/>
      <c r="D1043" s="4">
        <v>368.0</v>
      </c>
    </row>
    <row r="1044" ht="22.5" hidden="1" customHeight="1">
      <c r="A1044" s="4" t="s">
        <v>10</v>
      </c>
      <c r="B1044" s="5">
        <v>46100.058189641204</v>
      </c>
      <c r="C1044" s="6"/>
      <c r="D1044" s="4">
        <v>367.0</v>
      </c>
    </row>
    <row r="1045" ht="22.5" hidden="1" customHeight="1">
      <c r="A1045" s="4" t="s">
        <v>10</v>
      </c>
      <c r="B1045" s="5">
        <v>46100.06914412037</v>
      </c>
      <c r="C1045" s="6"/>
      <c r="D1045" s="4">
        <v>368.0</v>
      </c>
    </row>
    <row r="1046" ht="22.5" hidden="1" customHeight="1">
      <c r="A1046" s="4" t="s">
        <v>10</v>
      </c>
      <c r="B1046" s="5">
        <v>46100.086257546296</v>
      </c>
      <c r="C1046" s="6"/>
      <c r="D1046" s="4">
        <v>369.0</v>
      </c>
    </row>
    <row r="1047" ht="22.5" hidden="1" customHeight="1">
      <c r="A1047" s="4" t="s">
        <v>10</v>
      </c>
      <c r="B1047" s="5">
        <v>46100.08694210648</v>
      </c>
      <c r="C1047" s="6"/>
      <c r="D1047" s="4">
        <v>368.0</v>
      </c>
    </row>
    <row r="1048" ht="22.5" hidden="1" customHeight="1">
      <c r="A1048" s="4" t="s">
        <v>10</v>
      </c>
      <c r="B1048" s="5">
        <v>46100.087635613425</v>
      </c>
      <c r="C1048" s="6"/>
      <c r="D1048" s="4">
        <v>369.0</v>
      </c>
    </row>
    <row r="1049" ht="22.5" hidden="1" customHeight="1">
      <c r="A1049" s="4" t="s">
        <v>10</v>
      </c>
      <c r="B1049" s="5">
        <v>46100.08831478009</v>
      </c>
      <c r="C1049" s="6"/>
      <c r="D1049" s="4">
        <v>368.0</v>
      </c>
    </row>
    <row r="1050" ht="22.5" hidden="1" customHeight="1">
      <c r="A1050" s="4" t="s">
        <v>10</v>
      </c>
      <c r="B1050" s="5">
        <v>46100.09104890046</v>
      </c>
      <c r="C1050" s="6"/>
      <c r="D1050" s="4">
        <v>369.0</v>
      </c>
    </row>
    <row r="1051" ht="22.5" hidden="1" customHeight="1">
      <c r="A1051" s="4" t="s">
        <v>10</v>
      </c>
      <c r="B1051" s="5">
        <v>46100.09173384259</v>
      </c>
      <c r="C1051" s="6"/>
      <c r="D1051" s="4">
        <v>368.0</v>
      </c>
    </row>
    <row r="1052" ht="22.5" hidden="1" customHeight="1">
      <c r="A1052" s="4" t="s">
        <v>10</v>
      </c>
      <c r="B1052" s="5">
        <v>46100.09995076389</v>
      </c>
      <c r="C1052" s="6"/>
      <c r="D1052" s="4">
        <v>367.0</v>
      </c>
    </row>
    <row r="1053" ht="22.5" hidden="1" customHeight="1">
      <c r="A1053" s="4" t="s">
        <v>10</v>
      </c>
      <c r="B1053" s="5">
        <v>46100.10131972222</v>
      </c>
      <c r="C1053" s="6"/>
      <c r="D1053" s="4">
        <v>368.0</v>
      </c>
    </row>
    <row r="1054" ht="22.5" hidden="1" customHeight="1">
      <c r="A1054" s="4" t="s">
        <v>10</v>
      </c>
      <c r="B1054" s="5">
        <v>46100.10200131944</v>
      </c>
      <c r="C1054" s="6"/>
      <c r="D1054" s="4">
        <v>367.0</v>
      </c>
    </row>
    <row r="1055" ht="22.5" hidden="1" customHeight="1">
      <c r="A1055" s="4" t="s">
        <v>10</v>
      </c>
      <c r="B1055" s="5">
        <v>46100.10405504629</v>
      </c>
      <c r="C1055" s="6"/>
      <c r="D1055" s="4">
        <v>368.0</v>
      </c>
    </row>
    <row r="1056" ht="22.5" hidden="1" customHeight="1">
      <c r="A1056" s="4" t="s">
        <v>10</v>
      </c>
      <c r="B1056" s="5">
        <v>46100.106111319445</v>
      </c>
      <c r="C1056" s="6"/>
      <c r="D1056" s="4">
        <v>367.0</v>
      </c>
    </row>
    <row r="1057" ht="22.5" hidden="1" customHeight="1">
      <c r="A1057" s="4" t="s">
        <v>10</v>
      </c>
      <c r="B1057" s="5">
        <v>46100.11090097222</v>
      </c>
      <c r="C1057" s="6"/>
      <c r="D1057" s="4">
        <v>366.0</v>
      </c>
    </row>
    <row r="1058" ht="22.5" hidden="1" customHeight="1">
      <c r="A1058" s="4" t="s">
        <v>10</v>
      </c>
      <c r="B1058" s="5">
        <v>46100.116377384256</v>
      </c>
      <c r="C1058" s="6"/>
      <c r="D1058" s="4">
        <v>367.0</v>
      </c>
    </row>
    <row r="1059" ht="22.5" hidden="1" customHeight="1">
      <c r="A1059" s="4" t="s">
        <v>10</v>
      </c>
      <c r="B1059" s="5">
        <v>46100.135546909725</v>
      </c>
      <c r="C1059" s="6"/>
      <c r="D1059" s="4">
        <v>368.0</v>
      </c>
    </row>
    <row r="1060" ht="22.5" hidden="1" customHeight="1">
      <c r="A1060" s="4" t="s">
        <v>10</v>
      </c>
      <c r="B1060" s="5">
        <v>46100.136910787034</v>
      </c>
      <c r="C1060" s="6"/>
      <c r="D1060" s="4">
        <v>366.0</v>
      </c>
    </row>
    <row r="1061" ht="22.5" hidden="1" customHeight="1">
      <c r="A1061" s="4" t="s">
        <v>10</v>
      </c>
      <c r="B1061" s="5">
        <v>46100.137596342596</v>
      </c>
      <c r="C1061" s="6"/>
      <c r="D1061" s="4">
        <v>368.0</v>
      </c>
    </row>
    <row r="1062" ht="22.5" hidden="1" customHeight="1">
      <c r="A1062" s="4" t="s">
        <v>10</v>
      </c>
      <c r="B1062" s="5">
        <v>46100.13828090278</v>
      </c>
      <c r="C1062" s="6"/>
      <c r="D1062" s="4">
        <v>367.0</v>
      </c>
    </row>
    <row r="1063" ht="22.5" hidden="1" customHeight="1">
      <c r="A1063" s="4" t="s">
        <v>10</v>
      </c>
      <c r="B1063" s="5">
        <v>46100.14786347222</v>
      </c>
      <c r="C1063" s="6"/>
      <c r="D1063" s="4">
        <v>366.0</v>
      </c>
    </row>
    <row r="1064" ht="22.5" hidden="1" customHeight="1">
      <c r="A1064" s="4" t="s">
        <v>10</v>
      </c>
      <c r="B1064" s="5">
        <v>46100.14923137731</v>
      </c>
      <c r="C1064" s="6"/>
      <c r="D1064" s="4">
        <v>367.0</v>
      </c>
    </row>
    <row r="1065" ht="22.5" hidden="1" customHeight="1">
      <c r="A1065" s="4" t="s">
        <v>10</v>
      </c>
      <c r="B1065" s="5">
        <v>46100.150600891204</v>
      </c>
      <c r="C1065" s="6"/>
      <c r="D1065" s="4">
        <v>366.0</v>
      </c>
    </row>
    <row r="1066" ht="22.5" hidden="1" customHeight="1">
      <c r="A1066" s="4" t="s">
        <v>10</v>
      </c>
      <c r="B1066" s="5">
        <v>46100.159498402776</v>
      </c>
      <c r="C1066" s="6"/>
      <c r="D1066" s="4">
        <v>365.0</v>
      </c>
    </row>
    <row r="1067" ht="22.5" hidden="1" customHeight="1">
      <c r="A1067" s="4" t="s">
        <v>10</v>
      </c>
      <c r="B1067" s="5">
        <v>46100.16018565972</v>
      </c>
      <c r="C1067" s="6"/>
      <c r="D1067" s="4">
        <v>366.0</v>
      </c>
    </row>
    <row r="1068" ht="22.5" hidden="1" customHeight="1">
      <c r="A1068" s="4" t="s">
        <v>10</v>
      </c>
      <c r="B1068" s="5">
        <v>46100.184139502315</v>
      </c>
      <c r="C1068" s="6"/>
      <c r="D1068" s="4">
        <v>367.0</v>
      </c>
    </row>
    <row r="1069" ht="22.5" hidden="1" customHeight="1">
      <c r="A1069" s="4" t="s">
        <v>10</v>
      </c>
      <c r="B1069" s="5">
        <v>46100.18482018518</v>
      </c>
      <c r="C1069" s="6"/>
      <c r="D1069" s="4">
        <v>366.0</v>
      </c>
    </row>
    <row r="1070" ht="22.5" hidden="1" customHeight="1">
      <c r="A1070" s="4" t="s">
        <v>10</v>
      </c>
      <c r="B1070" s="5">
        <v>46100.18618887731</v>
      </c>
      <c r="C1070" s="6"/>
      <c r="D1070" s="4">
        <v>367.0</v>
      </c>
    </row>
    <row r="1071" ht="22.5" hidden="1" customHeight="1">
      <c r="A1071" s="4" t="s">
        <v>10</v>
      </c>
      <c r="B1071" s="5">
        <v>46100.18687597222</v>
      </c>
      <c r="C1071" s="6"/>
      <c r="D1071" s="4">
        <v>366.0</v>
      </c>
    </row>
    <row r="1072" ht="22.5" hidden="1" customHeight="1">
      <c r="A1072" s="4" t="s">
        <v>10</v>
      </c>
      <c r="B1072" s="5">
        <v>46100.18755864583</v>
      </c>
      <c r="C1072" s="6"/>
      <c r="D1072" s="4">
        <v>367.0</v>
      </c>
    </row>
    <row r="1073" ht="22.5" hidden="1" customHeight="1">
      <c r="A1073" s="4" t="s">
        <v>10</v>
      </c>
      <c r="B1073" s="5">
        <v>46100.18824420139</v>
      </c>
      <c r="C1073" s="6"/>
      <c r="D1073" s="4">
        <v>366.0</v>
      </c>
    </row>
    <row r="1074" ht="22.5" hidden="1" customHeight="1">
      <c r="A1074" s="4" t="s">
        <v>10</v>
      </c>
      <c r="B1074" s="5">
        <v>46100.20467196759</v>
      </c>
      <c r="C1074" s="6"/>
      <c r="D1074" s="4">
        <v>365.0</v>
      </c>
    </row>
    <row r="1075" ht="22.5" hidden="1" customHeight="1">
      <c r="A1075" s="4" t="s">
        <v>10</v>
      </c>
      <c r="B1075" s="5">
        <v>46100.20603619213</v>
      </c>
      <c r="C1075" s="6"/>
      <c r="D1075" s="4">
        <v>366.0</v>
      </c>
    </row>
    <row r="1076" ht="22.5" hidden="1" customHeight="1">
      <c r="A1076" s="4" t="s">
        <v>10</v>
      </c>
      <c r="B1076" s="5">
        <v>46100.20671960648</v>
      </c>
      <c r="C1076" s="6"/>
      <c r="D1076" s="4">
        <v>365.0</v>
      </c>
    </row>
    <row r="1077" ht="22.5" hidden="1" customHeight="1">
      <c r="A1077" s="4" t="s">
        <v>10</v>
      </c>
      <c r="B1077" s="5">
        <v>46100.20877391204</v>
      </c>
      <c r="C1077" s="6"/>
      <c r="D1077" s="4">
        <v>366.0</v>
      </c>
    </row>
    <row r="1078" ht="22.5" hidden="1" customHeight="1">
      <c r="A1078" s="4" t="s">
        <v>10</v>
      </c>
      <c r="B1078" s="5">
        <v>46100.210142488424</v>
      </c>
      <c r="C1078" s="6"/>
      <c r="D1078" s="4">
        <v>367.0</v>
      </c>
    </row>
    <row r="1079" ht="22.5" hidden="1" customHeight="1">
      <c r="A1079" s="4" t="s">
        <v>10</v>
      </c>
      <c r="B1079" s="5">
        <v>46100.21219517361</v>
      </c>
      <c r="C1079" s="6"/>
      <c r="D1079" s="4">
        <v>366.0</v>
      </c>
    </row>
    <row r="1080" ht="22.5" hidden="1" customHeight="1">
      <c r="A1080" s="4" t="s">
        <v>10</v>
      </c>
      <c r="B1080" s="5">
        <v>46100.21425152778</v>
      </c>
      <c r="C1080" s="6"/>
      <c r="D1080" s="4">
        <v>367.0</v>
      </c>
    </row>
    <row r="1081" ht="22.5" hidden="1" customHeight="1">
      <c r="A1081" s="4" t="s">
        <v>10</v>
      </c>
      <c r="B1081" s="5">
        <v>46100.21494773148</v>
      </c>
      <c r="C1081" s="6"/>
      <c r="D1081" s="4">
        <v>366.0</v>
      </c>
    </row>
    <row r="1082" ht="22.5" hidden="1" customHeight="1">
      <c r="A1082" s="4" t="s">
        <v>10</v>
      </c>
      <c r="B1082" s="5">
        <v>46100.215616863425</v>
      </c>
      <c r="C1082" s="6"/>
      <c r="D1082" s="4">
        <v>367.0</v>
      </c>
    </row>
    <row r="1083" ht="22.5" hidden="1" customHeight="1">
      <c r="A1083" s="4" t="s">
        <v>10</v>
      </c>
      <c r="B1083" s="5">
        <v>46100.21698577546</v>
      </c>
      <c r="C1083" s="6"/>
      <c r="D1083" s="4">
        <v>366.0</v>
      </c>
    </row>
    <row r="1084" ht="22.5" hidden="1" customHeight="1">
      <c r="A1084" s="4" t="s">
        <v>10</v>
      </c>
      <c r="B1084" s="5">
        <v>46100.22040734954</v>
      </c>
      <c r="C1084" s="6"/>
      <c r="D1084" s="4">
        <v>367.0</v>
      </c>
    </row>
    <row r="1085" ht="22.5" hidden="1" customHeight="1">
      <c r="A1085" s="4" t="s">
        <v>10</v>
      </c>
      <c r="B1085" s="5">
        <v>46100.22109258102</v>
      </c>
      <c r="C1085" s="6"/>
      <c r="D1085" s="4">
        <v>366.0</v>
      </c>
    </row>
    <row r="1086" ht="22.5" hidden="1" customHeight="1">
      <c r="A1086" s="4" t="s">
        <v>10</v>
      </c>
      <c r="B1086" s="5">
        <v>46100.23135890046</v>
      </c>
      <c r="C1086" s="6"/>
      <c r="D1086" s="4">
        <v>367.0</v>
      </c>
    </row>
    <row r="1087" ht="22.5" hidden="1" customHeight="1">
      <c r="A1087" s="4" t="s">
        <v>10</v>
      </c>
      <c r="B1087" s="5">
        <v>46100.23615041667</v>
      </c>
      <c r="C1087" s="6"/>
      <c r="D1087" s="4">
        <v>366.0</v>
      </c>
    </row>
    <row r="1088" ht="22.5" hidden="1" customHeight="1">
      <c r="A1088" s="4" t="s">
        <v>10</v>
      </c>
      <c r="B1088" s="5">
        <v>46100.23751556713</v>
      </c>
      <c r="C1088" s="6"/>
      <c r="D1088" s="4">
        <v>367.0</v>
      </c>
    </row>
    <row r="1089" ht="22.5" hidden="1" customHeight="1">
      <c r="A1089" s="4" t="s">
        <v>10</v>
      </c>
      <c r="B1089" s="5">
        <v>46100.23819945602</v>
      </c>
      <c r="C1089" s="6"/>
      <c r="D1089" s="4">
        <v>366.0</v>
      </c>
    </row>
    <row r="1090" ht="22.5" hidden="1" customHeight="1">
      <c r="A1090" s="4" t="s">
        <v>10</v>
      </c>
      <c r="B1090" s="5">
        <v>46100.25393990741</v>
      </c>
      <c r="C1090" s="6"/>
      <c r="D1090" s="4">
        <v>365.0</v>
      </c>
    </row>
    <row r="1091" ht="22.5" hidden="1" customHeight="1">
      <c r="A1091" s="4" t="s">
        <v>10</v>
      </c>
      <c r="B1091" s="5">
        <v>46100.25462380787</v>
      </c>
      <c r="C1091" s="6"/>
      <c r="D1091" s="4">
        <v>366.0</v>
      </c>
    </row>
    <row r="1092" ht="22.5" hidden="1" customHeight="1">
      <c r="A1092" s="4" t="s">
        <v>10</v>
      </c>
      <c r="B1092" s="5">
        <v>46100.257366736114</v>
      </c>
      <c r="C1092" s="6"/>
      <c r="D1092" s="4">
        <v>367.0</v>
      </c>
    </row>
    <row r="1093" ht="22.5" hidden="1" customHeight="1">
      <c r="A1093" s="4" t="s">
        <v>10</v>
      </c>
      <c r="B1093" s="5">
        <v>46100.26078341435</v>
      </c>
      <c r="C1093" s="6"/>
      <c r="D1093" s="4">
        <v>366.0</v>
      </c>
    </row>
    <row r="1094" ht="22.5" hidden="1" customHeight="1">
      <c r="A1094" s="4" t="s">
        <v>10</v>
      </c>
      <c r="B1094" s="5">
        <v>46100.26146527778</v>
      </c>
      <c r="C1094" s="6"/>
      <c r="D1094" s="4">
        <v>367.0</v>
      </c>
    </row>
    <row r="1095" ht="22.5" hidden="1" customHeight="1">
      <c r="A1095" s="4" t="s">
        <v>10</v>
      </c>
      <c r="B1095" s="5">
        <v>46100.26215483796</v>
      </c>
      <c r="C1095" s="6"/>
      <c r="D1095" s="4">
        <v>366.0</v>
      </c>
    </row>
    <row r="1096" ht="22.5" hidden="1" customHeight="1">
      <c r="A1096" s="4" t="s">
        <v>10</v>
      </c>
      <c r="B1096" s="5">
        <v>46100.26967847222</v>
      </c>
      <c r="C1096" s="6"/>
      <c r="D1096" s="4">
        <v>365.0</v>
      </c>
    </row>
    <row r="1097" ht="22.5" hidden="1" customHeight="1">
      <c r="A1097" s="4" t="s">
        <v>10</v>
      </c>
      <c r="B1097" s="5">
        <v>46100.270361296294</v>
      </c>
      <c r="C1097" s="6"/>
      <c r="D1097" s="4">
        <v>366.0</v>
      </c>
    </row>
    <row r="1098" ht="22.5" hidden="1" customHeight="1">
      <c r="A1098" s="4" t="s">
        <v>10</v>
      </c>
      <c r="B1098" s="5">
        <v>46100.27378239583</v>
      </c>
      <c r="C1098" s="6"/>
      <c r="D1098" s="4">
        <v>365.0</v>
      </c>
    </row>
    <row r="1099" ht="22.5" hidden="1" customHeight="1">
      <c r="A1099" s="4" t="s">
        <v>10</v>
      </c>
      <c r="B1099" s="5">
        <v>46100.27447716435</v>
      </c>
      <c r="C1099" s="6"/>
      <c r="D1099" s="4">
        <v>366.0</v>
      </c>
    </row>
    <row r="1100" ht="22.5" hidden="1" customHeight="1">
      <c r="A1100" s="4" t="s">
        <v>10</v>
      </c>
      <c r="B1100" s="5">
        <v>46100.27925792824</v>
      </c>
      <c r="C1100" s="6"/>
      <c r="D1100" s="4">
        <v>365.0</v>
      </c>
    </row>
    <row r="1101" ht="22.5" hidden="1" customHeight="1">
      <c r="A1101" s="4" t="s">
        <v>10</v>
      </c>
      <c r="B1101" s="5">
        <v>46100.281322662035</v>
      </c>
      <c r="C1101" s="6"/>
      <c r="D1101" s="4">
        <v>366.0</v>
      </c>
    </row>
    <row r="1102" ht="22.5" hidden="1" customHeight="1">
      <c r="A1102" s="4" t="s">
        <v>10</v>
      </c>
      <c r="B1102" s="5">
        <v>46100.28268237269</v>
      </c>
      <c r="C1102" s="6"/>
      <c r="D1102" s="4">
        <v>365.0</v>
      </c>
    </row>
    <row r="1103" ht="22.5" hidden="1" customHeight="1">
      <c r="A1103" s="4" t="s">
        <v>10</v>
      </c>
      <c r="B1103" s="5">
        <v>46100.283366041665</v>
      </c>
      <c r="C1103" s="6"/>
      <c r="D1103" s="4">
        <v>366.0</v>
      </c>
    </row>
    <row r="1104" ht="22.5" hidden="1" customHeight="1">
      <c r="A1104" s="4" t="s">
        <v>10</v>
      </c>
      <c r="B1104" s="5">
        <v>46100.28473292824</v>
      </c>
      <c r="C1104" s="6"/>
      <c r="D1104" s="4">
        <v>365.0</v>
      </c>
    </row>
    <row r="1105" ht="22.5" hidden="1" customHeight="1">
      <c r="A1105" s="4" t="s">
        <v>10</v>
      </c>
      <c r="B1105" s="5">
        <v>46100.28611328704</v>
      </c>
      <c r="C1105" s="6"/>
      <c r="D1105" s="4">
        <v>366.0</v>
      </c>
    </row>
    <row r="1106" ht="22.5" hidden="1" customHeight="1">
      <c r="A1106" s="4" t="s">
        <v>10</v>
      </c>
      <c r="B1106" s="5">
        <v>46100.288156539355</v>
      </c>
      <c r="C1106" s="6"/>
      <c r="D1106" s="4">
        <v>365.0</v>
      </c>
    </row>
    <row r="1107" ht="22.5" hidden="1" customHeight="1">
      <c r="A1107" s="4" t="s">
        <v>10</v>
      </c>
      <c r="B1107" s="5">
        <v>46100.288839155095</v>
      </c>
      <c r="C1107" s="6"/>
      <c r="D1107" s="4">
        <v>366.0</v>
      </c>
    </row>
    <row r="1108" ht="22.5" hidden="1" customHeight="1">
      <c r="A1108" s="4" t="s">
        <v>10</v>
      </c>
      <c r="B1108" s="5">
        <v>46100.2895253125</v>
      </c>
      <c r="C1108" s="6"/>
      <c r="D1108" s="4">
        <v>365.0</v>
      </c>
    </row>
    <row r="1109" ht="22.5" hidden="1" customHeight="1">
      <c r="A1109" s="4" t="s">
        <v>10</v>
      </c>
      <c r="B1109" s="5">
        <v>46100.29089229167</v>
      </c>
      <c r="C1109" s="6"/>
      <c r="D1109" s="4">
        <v>366.0</v>
      </c>
    </row>
    <row r="1110" ht="22.5" hidden="1" customHeight="1">
      <c r="A1110" s="4" t="s">
        <v>10</v>
      </c>
      <c r="B1110" s="5">
        <v>46100.29157572917</v>
      </c>
      <c r="C1110" s="6"/>
      <c r="D1110" s="4">
        <v>365.0</v>
      </c>
    </row>
    <row r="1111" ht="22.5" hidden="1" customHeight="1">
      <c r="A1111" s="4" t="s">
        <v>10</v>
      </c>
      <c r="B1111" s="5">
        <v>46100.2922665625</v>
      </c>
      <c r="C1111" s="6"/>
      <c r="D1111" s="4">
        <v>366.0</v>
      </c>
    </row>
    <row r="1112" ht="22.5" hidden="1" customHeight="1">
      <c r="A1112" s="4" t="s">
        <v>10</v>
      </c>
      <c r="B1112" s="5">
        <v>46100.297736319444</v>
      </c>
      <c r="C1112" s="6"/>
      <c r="D1112" s="4">
        <v>365.0</v>
      </c>
    </row>
    <row r="1113" ht="22.5" hidden="1" customHeight="1">
      <c r="A1113" s="4" t="s">
        <v>10</v>
      </c>
      <c r="B1113" s="5">
        <v>46100.29910423611</v>
      </c>
      <c r="C1113" s="6"/>
      <c r="D1113" s="4">
        <v>366.0</v>
      </c>
    </row>
    <row r="1114" ht="22.5" hidden="1" customHeight="1">
      <c r="A1114" s="4" t="s">
        <v>10</v>
      </c>
      <c r="B1114" s="5">
        <v>46100.29978949074</v>
      </c>
      <c r="C1114" s="6"/>
      <c r="D1114" s="4">
        <v>365.0</v>
      </c>
    </row>
    <row r="1115" ht="22.5" hidden="1" customHeight="1">
      <c r="A1115" s="4" t="s">
        <v>10</v>
      </c>
      <c r="B1115" s="5">
        <v>46100.30115704861</v>
      </c>
      <c r="C1115" s="6"/>
      <c r="D1115" s="4">
        <v>366.0</v>
      </c>
    </row>
    <row r="1116" ht="22.5" hidden="1" customHeight="1">
      <c r="A1116" s="4" t="s">
        <v>10</v>
      </c>
      <c r="B1116" s="5">
        <v>46100.30184431713</v>
      </c>
      <c r="C1116" s="6"/>
      <c r="D1116" s="4">
        <v>365.0</v>
      </c>
    </row>
    <row r="1117" ht="22.5" hidden="1" customHeight="1">
      <c r="A1117" s="4" t="s">
        <v>10</v>
      </c>
      <c r="B1117" s="5">
        <v>46100.30252600695</v>
      </c>
      <c r="C1117" s="6"/>
      <c r="D1117" s="4">
        <v>366.0</v>
      </c>
    </row>
    <row r="1118" ht="22.5" hidden="1" customHeight="1">
      <c r="A1118" s="4" t="s">
        <v>10</v>
      </c>
      <c r="B1118" s="5">
        <v>46100.303212962965</v>
      </c>
      <c r="C1118" s="6"/>
      <c r="D1118" s="4">
        <v>365.0</v>
      </c>
    </row>
    <row r="1119" ht="22.5" hidden="1" customHeight="1">
      <c r="A1119" s="4" t="s">
        <v>10</v>
      </c>
      <c r="B1119" s="5">
        <v>46100.30389578704</v>
      </c>
      <c r="C1119" s="6"/>
      <c r="D1119" s="4">
        <v>366.0</v>
      </c>
    </row>
    <row r="1120" ht="22.5" hidden="1" customHeight="1">
      <c r="A1120" s="4" t="s">
        <v>10</v>
      </c>
      <c r="B1120" s="5">
        <v>46100.304581909724</v>
      </c>
      <c r="C1120" s="6"/>
      <c r="D1120" s="4">
        <v>365.0</v>
      </c>
    </row>
    <row r="1121" ht="22.5" hidden="1" customHeight="1">
      <c r="A1121" s="4" t="s">
        <v>10</v>
      </c>
      <c r="B1121" s="5">
        <v>46100.31416410879</v>
      </c>
      <c r="C1121" s="6"/>
      <c r="D1121" s="4">
        <v>366.0</v>
      </c>
    </row>
    <row r="1122" ht="22.5" hidden="1" customHeight="1">
      <c r="A1122" s="4" t="s">
        <v>10</v>
      </c>
      <c r="B1122" s="5">
        <v>46100.3155319213</v>
      </c>
      <c r="C1122" s="6"/>
      <c r="D1122" s="4">
        <v>367.0</v>
      </c>
    </row>
    <row r="1123" ht="22.5" hidden="1" customHeight="1">
      <c r="A1123" s="4" t="s">
        <v>10</v>
      </c>
      <c r="B1123" s="5">
        <v>46100.31621578704</v>
      </c>
      <c r="C1123" s="6"/>
      <c r="D1123" s="4">
        <v>368.0</v>
      </c>
    </row>
    <row r="1124" ht="22.5" hidden="1" customHeight="1">
      <c r="A1124" s="4" t="s">
        <v>10</v>
      </c>
      <c r="B1124" s="5">
        <v>46100.31690081018</v>
      </c>
      <c r="C1124" s="6"/>
      <c r="D1124" s="4">
        <v>369.0</v>
      </c>
    </row>
    <row r="1125" ht="22.5" hidden="1" customHeight="1">
      <c r="A1125" s="4" t="s">
        <v>10</v>
      </c>
      <c r="B1125" s="5">
        <v>46100.31758599537</v>
      </c>
      <c r="C1125" s="6"/>
      <c r="D1125" s="4">
        <v>371.0</v>
      </c>
    </row>
    <row r="1126" ht="22.5" hidden="1" customHeight="1">
      <c r="A1126" s="4" t="s">
        <v>10</v>
      </c>
      <c r="B1126" s="5">
        <v>46100.31827105324</v>
      </c>
      <c r="C1126" s="6"/>
      <c r="D1126" s="4">
        <v>372.0</v>
      </c>
    </row>
    <row r="1127" ht="22.5" hidden="1" customHeight="1">
      <c r="A1127" s="4" t="s">
        <v>10</v>
      </c>
      <c r="B1127" s="5">
        <v>46100.318957268515</v>
      </c>
      <c r="C1127" s="6"/>
      <c r="D1127" s="4">
        <v>374.0</v>
      </c>
    </row>
    <row r="1128" ht="22.5" hidden="1" customHeight="1">
      <c r="A1128" s="4" t="s">
        <v>10</v>
      </c>
      <c r="B1128" s="5">
        <v>46100.32032475695</v>
      </c>
      <c r="C1128" s="6"/>
      <c r="D1128" s="4">
        <v>377.0</v>
      </c>
    </row>
    <row r="1129" ht="22.5" hidden="1" customHeight="1">
      <c r="A1129" s="4" t="s">
        <v>10</v>
      </c>
      <c r="B1129" s="5">
        <v>46100.32100886574</v>
      </c>
      <c r="C1129" s="6"/>
      <c r="D1129" s="4">
        <v>378.0</v>
      </c>
    </row>
    <row r="1130" ht="22.5" hidden="1" customHeight="1">
      <c r="A1130" s="4" t="s">
        <v>10</v>
      </c>
      <c r="B1130" s="5">
        <v>46100.322378969904</v>
      </c>
      <c r="C1130" s="6"/>
      <c r="D1130" s="4">
        <v>379.0</v>
      </c>
    </row>
    <row r="1131" ht="22.5" hidden="1" customHeight="1">
      <c r="A1131" s="4" t="s">
        <v>10</v>
      </c>
      <c r="B1131" s="5">
        <v>46100.32306043981</v>
      </c>
      <c r="C1131" s="6"/>
      <c r="D1131" s="4">
        <v>380.0</v>
      </c>
    </row>
    <row r="1132" ht="22.5" hidden="1" customHeight="1">
      <c r="A1132" s="4" t="s">
        <v>10</v>
      </c>
      <c r="B1132" s="5">
        <v>46100.323752627315</v>
      </c>
      <c r="C1132" s="6"/>
      <c r="D1132" s="4">
        <v>381.0</v>
      </c>
    </row>
    <row r="1133" ht="22.5" hidden="1" customHeight="1">
      <c r="A1133" s="4" t="s">
        <v>10</v>
      </c>
      <c r="B1133" s="5">
        <v>46100.32443054398</v>
      </c>
      <c r="C1133" s="6"/>
      <c r="D1133" s="4">
        <v>382.0</v>
      </c>
    </row>
    <row r="1134" ht="22.5" hidden="1" customHeight="1">
      <c r="A1134" s="4" t="s">
        <v>10</v>
      </c>
      <c r="B1134" s="5">
        <v>46100.32511527778</v>
      </c>
      <c r="C1134" s="6"/>
      <c r="D1134" s="4">
        <v>383.0</v>
      </c>
    </row>
    <row r="1135" ht="22.5" hidden="1" customHeight="1">
      <c r="A1135" s="4" t="s">
        <v>10</v>
      </c>
      <c r="B1135" s="5">
        <v>46100.326484606485</v>
      </c>
      <c r="C1135" s="6"/>
      <c r="D1135" s="4">
        <v>385.0</v>
      </c>
    </row>
    <row r="1136" ht="22.5" hidden="1" customHeight="1">
      <c r="A1136" s="4" t="s">
        <v>10</v>
      </c>
      <c r="B1136" s="5">
        <v>46100.32717631944</v>
      </c>
      <c r="C1136" s="6"/>
      <c r="D1136" s="4">
        <v>386.0</v>
      </c>
    </row>
    <row r="1137" ht="22.5" hidden="1" customHeight="1">
      <c r="A1137" s="4" t="s">
        <v>10</v>
      </c>
      <c r="B1137" s="5">
        <v>46100.32785311343</v>
      </c>
      <c r="C1137" s="6"/>
      <c r="D1137" s="4">
        <v>387.0</v>
      </c>
    </row>
    <row r="1138" ht="22.5" hidden="1" customHeight="1">
      <c r="A1138" s="4" t="s">
        <v>10</v>
      </c>
      <c r="B1138" s="5">
        <v>46100.32990704861</v>
      </c>
      <c r="C1138" s="6"/>
      <c r="D1138" s="4">
        <v>388.0</v>
      </c>
    </row>
    <row r="1139" ht="22.5" hidden="1" customHeight="1">
      <c r="A1139" s="4" t="s">
        <v>10</v>
      </c>
      <c r="B1139" s="5">
        <v>46100.33059924768</v>
      </c>
      <c r="C1139" s="6"/>
      <c r="D1139" s="4">
        <v>389.0</v>
      </c>
    </row>
    <row r="1140" ht="22.5" hidden="1" customHeight="1">
      <c r="A1140" s="4" t="s">
        <v>10</v>
      </c>
      <c r="B1140" s="5">
        <v>46100.33196091435</v>
      </c>
      <c r="C1140" s="6"/>
      <c r="D1140" s="4">
        <v>390.0</v>
      </c>
    </row>
    <row r="1141" ht="22.5" hidden="1" customHeight="1">
      <c r="A1141" s="4" t="s">
        <v>10</v>
      </c>
      <c r="B1141" s="5">
        <v>46100.332647222225</v>
      </c>
      <c r="C1141" s="6"/>
      <c r="D1141" s="4">
        <v>389.0</v>
      </c>
    </row>
    <row r="1142" ht="22.5" hidden="1" customHeight="1">
      <c r="A1142" s="4" t="s">
        <v>10</v>
      </c>
      <c r="B1142" s="5">
        <v>46100.33333119213</v>
      </c>
      <c r="C1142" s="6"/>
      <c r="D1142" s="4">
        <v>390.0</v>
      </c>
    </row>
    <row r="1143" ht="22.5" hidden="1" customHeight="1">
      <c r="A1143" s="4" t="s">
        <v>10</v>
      </c>
      <c r="B1143" s="5">
        <v>46100.33401618055</v>
      </c>
      <c r="C1143" s="6"/>
      <c r="D1143" s="4">
        <v>392.0</v>
      </c>
    </row>
    <row r="1144" ht="22.5" hidden="1" customHeight="1">
      <c r="A1144" s="4" t="s">
        <v>10</v>
      </c>
      <c r="B1144" s="5">
        <v>46100.337437685186</v>
      </c>
      <c r="C1144" s="6"/>
      <c r="D1144" s="4">
        <v>394.0</v>
      </c>
    </row>
    <row r="1145" ht="22.5" hidden="1" customHeight="1">
      <c r="A1145" s="4" t="s">
        <v>10</v>
      </c>
      <c r="B1145" s="5">
        <v>46100.338810381945</v>
      </c>
      <c r="C1145" s="6"/>
      <c r="D1145" s="4">
        <v>396.0</v>
      </c>
    </row>
    <row r="1146" ht="22.5" hidden="1" customHeight="1">
      <c r="A1146" s="4" t="s">
        <v>10</v>
      </c>
      <c r="B1146" s="5">
        <v>46100.341556273146</v>
      </c>
      <c r="C1146" s="6"/>
      <c r="D1146" s="4">
        <v>395.0</v>
      </c>
    </row>
    <row r="1147" ht="22.5" hidden="1" customHeight="1">
      <c r="A1147" s="4" t="s">
        <v>10</v>
      </c>
      <c r="B1147" s="5">
        <v>46100.34291461806</v>
      </c>
      <c r="C1147" s="6"/>
      <c r="D1147" s="4">
        <v>396.0</v>
      </c>
    </row>
    <row r="1148" ht="22.5" hidden="1" customHeight="1">
      <c r="A1148" s="4" t="s">
        <v>10</v>
      </c>
      <c r="B1148" s="5">
        <v>46100.34360208333</v>
      </c>
      <c r="C1148" s="6"/>
      <c r="D1148" s="4">
        <v>398.0</v>
      </c>
    </row>
    <row r="1149" ht="22.5" hidden="1" customHeight="1">
      <c r="A1149" s="4" t="s">
        <v>10</v>
      </c>
      <c r="B1149" s="5">
        <v>46100.34428496528</v>
      </c>
      <c r="C1149" s="6"/>
      <c r="D1149" s="4">
        <v>399.0</v>
      </c>
    </row>
    <row r="1150" ht="22.5" hidden="1" customHeight="1">
      <c r="A1150" s="4" t="s">
        <v>10</v>
      </c>
      <c r="B1150" s="5">
        <v>46100.346339780095</v>
      </c>
      <c r="C1150" s="6"/>
      <c r="D1150" s="4">
        <v>398.0</v>
      </c>
    </row>
    <row r="1151" ht="22.5" hidden="1" customHeight="1">
      <c r="A1151" s="4" t="s">
        <v>10</v>
      </c>
      <c r="B1151" s="5">
        <v>46100.3470275463</v>
      </c>
      <c r="C1151" s="6"/>
      <c r="D1151" s="4">
        <v>399.0</v>
      </c>
    </row>
    <row r="1152" ht="22.5" hidden="1" customHeight="1">
      <c r="A1152" s="4" t="s">
        <v>10</v>
      </c>
      <c r="B1152" s="5">
        <v>46100.347706423614</v>
      </c>
      <c r="C1152" s="6"/>
      <c r="D1152" s="4">
        <v>398.0</v>
      </c>
    </row>
    <row r="1153" ht="22.5" hidden="1" customHeight="1">
      <c r="A1153" s="4" t="s">
        <v>10</v>
      </c>
      <c r="B1153" s="5">
        <v>46100.34907775463</v>
      </c>
      <c r="C1153" s="6"/>
      <c r="D1153" s="4">
        <v>400.0</v>
      </c>
    </row>
    <row r="1154" ht="22.5" hidden="1" customHeight="1">
      <c r="A1154" s="4" t="s">
        <v>10</v>
      </c>
      <c r="B1154" s="5">
        <v>46100.34976133102</v>
      </c>
      <c r="C1154" s="6"/>
      <c r="D1154" s="4">
        <v>401.0</v>
      </c>
    </row>
    <row r="1155" ht="22.5" hidden="1" customHeight="1">
      <c r="A1155" s="4" t="s">
        <v>10</v>
      </c>
      <c r="B1155" s="5">
        <v>46100.351132592594</v>
      </c>
      <c r="C1155" s="6"/>
      <c r="D1155" s="4">
        <v>400.0</v>
      </c>
    </row>
    <row r="1156" ht="22.5" hidden="1" customHeight="1">
      <c r="A1156" s="4" t="s">
        <v>10</v>
      </c>
      <c r="B1156" s="5">
        <v>46100.35524059028</v>
      </c>
      <c r="C1156" s="6"/>
      <c r="D1156" s="4">
        <v>401.0</v>
      </c>
    </row>
    <row r="1157" ht="22.5" hidden="1" customHeight="1">
      <c r="A1157" s="4" t="s">
        <v>10</v>
      </c>
      <c r="B1157" s="5">
        <v>46100.35729356481</v>
      </c>
      <c r="C1157" s="6"/>
      <c r="D1157" s="4">
        <v>402.0</v>
      </c>
    </row>
    <row r="1158" ht="22.5" hidden="1" customHeight="1">
      <c r="A1158" s="4" t="s">
        <v>10</v>
      </c>
      <c r="B1158" s="5">
        <v>46100.35797935185</v>
      </c>
      <c r="C1158" s="6"/>
      <c r="D1158" s="4">
        <v>403.0</v>
      </c>
    </row>
    <row r="1159" ht="22.5" hidden="1" customHeight="1">
      <c r="A1159" s="4" t="s">
        <v>10</v>
      </c>
      <c r="B1159" s="5">
        <v>46100.36345532408</v>
      </c>
      <c r="C1159" s="6"/>
      <c r="D1159" s="4">
        <v>404.0</v>
      </c>
    </row>
    <row r="1160" ht="22.5" hidden="1" customHeight="1">
      <c r="A1160" s="4" t="s">
        <v>10</v>
      </c>
      <c r="B1160" s="5">
        <v>46100.36687942129</v>
      </c>
      <c r="C1160" s="6"/>
      <c r="D1160" s="4">
        <v>405.0</v>
      </c>
    </row>
    <row r="1161" ht="22.5" hidden="1" customHeight="1">
      <c r="A1161" s="4" t="s">
        <v>10</v>
      </c>
      <c r="B1161" s="5">
        <v>46100.368252719905</v>
      </c>
      <c r="C1161" s="6"/>
      <c r="D1161" s="4">
        <v>406.0</v>
      </c>
    </row>
    <row r="1162" ht="22.5" hidden="1" customHeight="1">
      <c r="A1162" s="4" t="s">
        <v>10</v>
      </c>
      <c r="B1162" s="5">
        <v>46100.37372590278</v>
      </c>
      <c r="C1162" s="6"/>
      <c r="D1162" s="4">
        <v>405.0</v>
      </c>
    </row>
    <row r="1163" ht="22.5" hidden="1" customHeight="1">
      <c r="A1163" s="4" t="s">
        <v>11</v>
      </c>
      <c r="B1163" s="5">
        <v>46097.0</v>
      </c>
      <c r="C1163" s="6"/>
      <c r="D1163" s="4">
        <v>19.17</v>
      </c>
    </row>
    <row r="1164" ht="22.5" hidden="1" customHeight="1">
      <c r="A1164" s="4" t="s">
        <v>11</v>
      </c>
      <c r="B1164" s="5">
        <v>46097.00248137731</v>
      </c>
      <c r="C1164" s="6"/>
      <c r="D1164" s="4">
        <v>19.14</v>
      </c>
    </row>
    <row r="1165" ht="22.5" hidden="1" customHeight="1">
      <c r="A1165" s="4" t="s">
        <v>11</v>
      </c>
      <c r="B1165" s="5">
        <v>46097.00316627315</v>
      </c>
      <c r="C1165" s="6"/>
      <c r="D1165" s="4">
        <v>19.17</v>
      </c>
    </row>
    <row r="1166" ht="22.5" hidden="1" customHeight="1">
      <c r="A1166" s="4" t="s">
        <v>11</v>
      </c>
      <c r="B1166" s="5">
        <v>46097.00522009259</v>
      </c>
      <c r="C1166" s="6"/>
      <c r="D1166" s="4">
        <v>19.14</v>
      </c>
    </row>
    <row r="1167" ht="22.5" hidden="1" customHeight="1">
      <c r="A1167" s="4" t="s">
        <v>11</v>
      </c>
      <c r="B1167" s="5">
        <v>46097.00727589121</v>
      </c>
      <c r="C1167" s="6"/>
      <c r="D1167" s="4">
        <v>19.11</v>
      </c>
    </row>
    <row r="1168" ht="22.5" hidden="1" customHeight="1">
      <c r="A1168" s="4" t="s">
        <v>11</v>
      </c>
      <c r="B1168" s="5">
        <v>46097.01343613426</v>
      </c>
      <c r="C1168" s="6"/>
      <c r="D1168" s="4">
        <v>19.09</v>
      </c>
    </row>
    <row r="1169" ht="22.5" hidden="1" customHeight="1">
      <c r="A1169" s="4" t="s">
        <v>11</v>
      </c>
      <c r="B1169" s="5">
        <v>46097.020284502316</v>
      </c>
      <c r="C1169" s="6"/>
      <c r="D1169" s="4">
        <v>19.06</v>
      </c>
    </row>
    <row r="1170" ht="22.5" hidden="1" customHeight="1">
      <c r="A1170" s="4" t="s">
        <v>11</v>
      </c>
      <c r="B1170" s="5">
        <v>46097.02849806713</v>
      </c>
      <c r="C1170" s="6"/>
      <c r="D1170" s="4">
        <v>18.98</v>
      </c>
    </row>
    <row r="1171" ht="22.5" hidden="1" customHeight="1">
      <c r="A1171" s="4" t="s">
        <v>11</v>
      </c>
      <c r="B1171" s="5">
        <v>46097.03671309028</v>
      </c>
      <c r="C1171" s="6"/>
      <c r="D1171" s="4">
        <v>18.93</v>
      </c>
    </row>
    <row r="1172" ht="22.5" hidden="1" customHeight="1">
      <c r="A1172" s="4" t="s">
        <v>11</v>
      </c>
      <c r="B1172" s="5">
        <v>46097.039451585646</v>
      </c>
      <c r="C1172" s="6"/>
      <c r="D1172" s="4">
        <v>18.9</v>
      </c>
    </row>
    <row r="1173" ht="22.5" hidden="1" customHeight="1">
      <c r="A1173" s="4" t="s">
        <v>11</v>
      </c>
      <c r="B1173" s="5">
        <v>46097.046297280096</v>
      </c>
      <c r="C1173" s="6"/>
      <c r="D1173" s="4">
        <v>18.86</v>
      </c>
    </row>
    <row r="1174" ht="22.5" hidden="1" customHeight="1">
      <c r="A1174" s="4" t="s">
        <v>11</v>
      </c>
      <c r="B1174" s="5">
        <v>46097.04835113426</v>
      </c>
      <c r="C1174" s="6"/>
      <c r="D1174" s="4">
        <v>18.85</v>
      </c>
    </row>
    <row r="1175" ht="22.5" hidden="1" customHeight="1">
      <c r="A1175" s="4" t="s">
        <v>11</v>
      </c>
      <c r="B1175" s="5">
        <v>46097.050408194445</v>
      </c>
      <c r="C1175" s="6"/>
      <c r="D1175" s="4">
        <v>18.82</v>
      </c>
    </row>
    <row r="1176" ht="22.5" hidden="1" customHeight="1">
      <c r="A1176" s="4" t="s">
        <v>11</v>
      </c>
      <c r="B1176" s="5">
        <v>46097.05793483796</v>
      </c>
      <c r="C1176" s="6"/>
      <c r="D1176" s="4">
        <v>18.77</v>
      </c>
    </row>
    <row r="1177" ht="22.5" hidden="1" customHeight="1">
      <c r="A1177" s="4" t="s">
        <v>11</v>
      </c>
      <c r="B1177" s="5">
        <v>46097.064095960646</v>
      </c>
      <c r="C1177" s="6"/>
      <c r="D1177" s="4">
        <v>18.74</v>
      </c>
    </row>
    <row r="1178" ht="22.5" hidden="1" customHeight="1">
      <c r="A1178" s="4" t="s">
        <v>11</v>
      </c>
      <c r="B1178" s="5">
        <v>46097.06478015046</v>
      </c>
      <c r="C1178" s="6"/>
      <c r="D1178" s="4">
        <v>18.7</v>
      </c>
    </row>
    <row r="1179" ht="22.5" hidden="1" customHeight="1">
      <c r="A1179" s="4" t="s">
        <v>11</v>
      </c>
      <c r="B1179" s="5">
        <v>46097.07299371528</v>
      </c>
      <c r="C1179" s="6"/>
      <c r="D1179" s="4">
        <v>18.66</v>
      </c>
    </row>
    <row r="1180" ht="22.5" hidden="1" customHeight="1">
      <c r="A1180" s="4" t="s">
        <v>11</v>
      </c>
      <c r="B1180" s="5">
        <v>46097.08121256944</v>
      </c>
      <c r="C1180" s="6"/>
      <c r="D1180" s="4">
        <v>18.62</v>
      </c>
    </row>
    <row r="1181" ht="22.5" hidden="1" customHeight="1">
      <c r="A1181" s="4" t="s">
        <v>11</v>
      </c>
      <c r="B1181" s="5">
        <v>46097.0846294213</v>
      </c>
      <c r="C1181" s="6"/>
      <c r="D1181" s="4">
        <v>18.58</v>
      </c>
    </row>
    <row r="1182" ht="22.5" hidden="1" customHeight="1">
      <c r="A1182" s="4" t="s">
        <v>11</v>
      </c>
      <c r="B1182" s="5">
        <v>46097.087367291664</v>
      </c>
      <c r="C1182" s="6"/>
      <c r="D1182" s="4">
        <v>18.54</v>
      </c>
    </row>
    <row r="1183" ht="22.5" hidden="1" customHeight="1">
      <c r="A1183" s="4" t="s">
        <v>11</v>
      </c>
      <c r="B1183" s="5">
        <v>46097.09215824074</v>
      </c>
      <c r="C1183" s="6"/>
      <c r="D1183" s="4">
        <v>18.52</v>
      </c>
    </row>
    <row r="1184" ht="22.5" hidden="1" customHeight="1">
      <c r="A1184" s="4" t="s">
        <v>11</v>
      </c>
      <c r="B1184" s="5">
        <v>46097.09831887732</v>
      </c>
      <c r="C1184" s="6"/>
      <c r="D1184" s="4">
        <v>18.49</v>
      </c>
    </row>
    <row r="1185" ht="22.5" hidden="1" customHeight="1">
      <c r="A1185" s="4" t="s">
        <v>11</v>
      </c>
      <c r="B1185" s="5">
        <v>46097.099003483796</v>
      </c>
      <c r="C1185" s="6"/>
      <c r="D1185" s="4">
        <v>18.46</v>
      </c>
    </row>
    <row r="1186" ht="22.5" hidden="1" customHeight="1">
      <c r="A1186" s="4" t="s">
        <v>11</v>
      </c>
      <c r="B1186" s="5">
        <v>46097.10311002315</v>
      </c>
      <c r="C1186" s="6"/>
      <c r="D1186" s="4">
        <v>18.44</v>
      </c>
    </row>
    <row r="1187" ht="22.5" hidden="1" customHeight="1">
      <c r="A1187" s="4" t="s">
        <v>11</v>
      </c>
      <c r="B1187" s="5">
        <v>46097.111323240744</v>
      </c>
      <c r="C1187" s="6"/>
      <c r="D1187" s="4">
        <v>18.37</v>
      </c>
    </row>
    <row r="1188" ht="22.5" hidden="1" customHeight="1">
      <c r="A1188" s="4" t="s">
        <v>11</v>
      </c>
      <c r="B1188" s="5">
        <v>46097.11953619213</v>
      </c>
      <c r="C1188" s="6"/>
      <c r="D1188" s="4">
        <v>18.33</v>
      </c>
    </row>
    <row r="1189" ht="22.5" hidden="1" customHeight="1">
      <c r="A1189" s="4" t="s">
        <v>11</v>
      </c>
      <c r="B1189" s="5">
        <v>46097.12432701389</v>
      </c>
      <c r="C1189" s="6"/>
      <c r="D1189" s="4">
        <v>18.29</v>
      </c>
    </row>
    <row r="1190" ht="22.5" hidden="1" customHeight="1">
      <c r="A1190" s="4" t="s">
        <v>11</v>
      </c>
      <c r="B1190" s="5">
        <v>46097.12775056713</v>
      </c>
      <c r="C1190" s="6"/>
      <c r="D1190" s="4">
        <v>18.27</v>
      </c>
    </row>
    <row r="1191" ht="22.5" hidden="1" customHeight="1">
      <c r="A1191" s="4" t="s">
        <v>11</v>
      </c>
      <c r="B1191" s="5">
        <v>46097.134593738425</v>
      </c>
      <c r="C1191" s="6"/>
      <c r="D1191" s="4">
        <v>18.25</v>
      </c>
    </row>
    <row r="1192" ht="22.5" hidden="1" customHeight="1">
      <c r="A1192" s="4" t="s">
        <v>11</v>
      </c>
      <c r="B1192" s="5">
        <v>46097.13664686342</v>
      </c>
      <c r="C1192" s="6"/>
      <c r="D1192" s="4">
        <v>18.21</v>
      </c>
    </row>
    <row r="1193" ht="22.5" hidden="1" customHeight="1">
      <c r="A1193" s="4" t="s">
        <v>11</v>
      </c>
      <c r="B1193" s="5">
        <v>46097.14417701389</v>
      </c>
      <c r="C1193" s="6"/>
      <c r="D1193" s="4">
        <v>18.17</v>
      </c>
    </row>
    <row r="1194" ht="22.5" hidden="1" customHeight="1">
      <c r="A1194" s="4" t="s">
        <v>11</v>
      </c>
      <c r="B1194" s="5">
        <v>46097.14828150463</v>
      </c>
      <c r="C1194" s="6"/>
      <c r="D1194" s="4">
        <v>18.14</v>
      </c>
    </row>
    <row r="1195" ht="22.5" hidden="1" customHeight="1">
      <c r="A1195" s="4" t="s">
        <v>11</v>
      </c>
      <c r="B1195" s="5">
        <v>46097.15101929398</v>
      </c>
      <c r="C1195" s="6"/>
      <c r="D1195" s="4">
        <v>18.1</v>
      </c>
    </row>
    <row r="1196" ht="22.5" hidden="1" customHeight="1">
      <c r="A1196" s="4" t="s">
        <v>11</v>
      </c>
      <c r="B1196" s="5">
        <v>46097.15717954861</v>
      </c>
      <c r="C1196" s="6"/>
      <c r="D1196" s="4">
        <v>18.08</v>
      </c>
    </row>
    <row r="1197" ht="22.5" hidden="1" customHeight="1">
      <c r="A1197" s="4" t="s">
        <v>11</v>
      </c>
      <c r="B1197" s="5">
        <v>46097.15923258102</v>
      </c>
      <c r="C1197" s="6"/>
      <c r="D1197" s="4">
        <v>18.06</v>
      </c>
    </row>
    <row r="1198" ht="22.5" hidden="1" customHeight="1">
      <c r="A1198" s="4" t="s">
        <v>11</v>
      </c>
      <c r="B1198" s="5">
        <v>46097.164024895836</v>
      </c>
      <c r="C1198" s="6"/>
      <c r="D1198" s="4">
        <v>18.02</v>
      </c>
    </row>
    <row r="1199" ht="22.5" hidden="1" customHeight="1">
      <c r="A1199" s="4" t="s">
        <v>11</v>
      </c>
      <c r="B1199" s="5">
        <v>46097.175660810186</v>
      </c>
      <c r="C1199" s="6"/>
      <c r="D1199" s="4">
        <v>17.96</v>
      </c>
    </row>
    <row r="1200" ht="22.5" hidden="1" customHeight="1">
      <c r="A1200" s="4" t="s">
        <v>11</v>
      </c>
      <c r="B1200" s="5">
        <v>46097.19687167824</v>
      </c>
      <c r="C1200" s="6"/>
      <c r="D1200" s="4">
        <v>17.94</v>
      </c>
    </row>
    <row r="1201" ht="22.5" hidden="1" customHeight="1">
      <c r="A1201" s="4" t="s">
        <v>11</v>
      </c>
      <c r="B1201" s="5">
        <v>46097.19961076389</v>
      </c>
      <c r="C1201" s="6"/>
      <c r="D1201" s="4">
        <v>17.92</v>
      </c>
    </row>
    <row r="1202" ht="22.5" hidden="1" customHeight="1">
      <c r="A1202" s="4" t="s">
        <v>11</v>
      </c>
      <c r="B1202" s="5">
        <v>46097.20850623843</v>
      </c>
      <c r="C1202" s="6"/>
      <c r="D1202" s="4">
        <v>17.94</v>
      </c>
    </row>
    <row r="1203" ht="22.5" hidden="1" customHeight="1">
      <c r="A1203" s="4" t="s">
        <v>11</v>
      </c>
      <c r="B1203" s="5">
        <v>46097.209190601854</v>
      </c>
      <c r="C1203" s="6"/>
      <c r="D1203" s="4">
        <v>17.92</v>
      </c>
    </row>
    <row r="1204" ht="22.5" hidden="1" customHeight="1">
      <c r="A1204" s="4" t="s">
        <v>11</v>
      </c>
      <c r="B1204" s="5">
        <v>46097.21055969907</v>
      </c>
      <c r="C1204" s="6"/>
      <c r="D1204" s="4">
        <v>17.94</v>
      </c>
    </row>
    <row r="1205" ht="22.5" hidden="1" customHeight="1">
      <c r="A1205" s="4" t="s">
        <v>11</v>
      </c>
      <c r="B1205" s="5">
        <v>46097.222194675924</v>
      </c>
      <c r="C1205" s="6"/>
      <c r="D1205" s="4">
        <v>17.96</v>
      </c>
    </row>
    <row r="1206" ht="22.5" hidden="1" customHeight="1">
      <c r="A1206" s="4" t="s">
        <v>11</v>
      </c>
      <c r="B1206" s="5">
        <v>46097.23177681713</v>
      </c>
      <c r="C1206" s="6"/>
      <c r="D1206" s="4">
        <v>18.0</v>
      </c>
    </row>
    <row r="1207" ht="22.5" hidden="1" customHeight="1">
      <c r="A1207" s="4" t="s">
        <v>11</v>
      </c>
      <c r="B1207" s="5">
        <v>46097.24272850694</v>
      </c>
      <c r="C1207" s="6"/>
      <c r="D1207" s="4">
        <v>18.02</v>
      </c>
    </row>
    <row r="1208" ht="22.5" hidden="1" customHeight="1">
      <c r="A1208" s="4" t="s">
        <v>11</v>
      </c>
      <c r="B1208" s="5">
        <v>46097.258474305556</v>
      </c>
      <c r="C1208" s="6"/>
      <c r="D1208" s="4">
        <v>18.1</v>
      </c>
    </row>
    <row r="1209" ht="22.5" hidden="1" customHeight="1">
      <c r="A1209" s="4" t="s">
        <v>11</v>
      </c>
      <c r="B1209" s="5">
        <v>46097.27011</v>
      </c>
      <c r="C1209" s="6"/>
      <c r="D1209" s="4">
        <v>18.19</v>
      </c>
    </row>
    <row r="1210" ht="22.5" hidden="1" customHeight="1">
      <c r="A1210" s="4" t="s">
        <v>11</v>
      </c>
      <c r="B1210" s="5">
        <v>46097.27285008102</v>
      </c>
      <c r="C1210" s="6"/>
      <c r="D1210" s="4">
        <v>18.21</v>
      </c>
    </row>
    <row r="1211" ht="22.5" hidden="1" customHeight="1">
      <c r="A1211" s="4" t="s">
        <v>11</v>
      </c>
      <c r="B1211" s="5">
        <v>46097.2872249537</v>
      </c>
      <c r="C1211" s="6"/>
      <c r="D1211" s="4">
        <v>18.27</v>
      </c>
    </row>
    <row r="1212" ht="22.5" hidden="1" customHeight="1">
      <c r="A1212" s="4" t="s">
        <v>11</v>
      </c>
      <c r="B1212" s="5">
        <v>46097.28927890046</v>
      </c>
      <c r="C1212" s="6"/>
      <c r="D1212" s="4">
        <v>18.29</v>
      </c>
    </row>
    <row r="1213" ht="22.5" hidden="1" customHeight="1">
      <c r="A1213" s="4" t="s">
        <v>11</v>
      </c>
      <c r="B1213" s="5">
        <v>46097.29407105324</v>
      </c>
      <c r="C1213" s="6"/>
      <c r="D1213" s="4">
        <v>18.33</v>
      </c>
    </row>
    <row r="1214" ht="22.5" hidden="1" customHeight="1">
      <c r="A1214" s="4" t="s">
        <v>11</v>
      </c>
      <c r="B1214" s="5">
        <v>46097.29954795139</v>
      </c>
      <c r="C1214" s="6"/>
      <c r="D1214" s="4">
        <v>18.35</v>
      </c>
    </row>
    <row r="1215" ht="22.5" hidden="1" customHeight="1">
      <c r="A1215" s="4" t="s">
        <v>11</v>
      </c>
      <c r="B1215" s="5">
        <v>46097.31666832176</v>
      </c>
      <c r="C1215" s="6"/>
      <c r="D1215" s="4">
        <v>18.44</v>
      </c>
    </row>
    <row r="1216" ht="22.5" hidden="1" customHeight="1">
      <c r="A1216" s="4" t="s">
        <v>11</v>
      </c>
      <c r="B1216" s="5">
        <v>46097.31803545139</v>
      </c>
      <c r="C1216" s="6"/>
      <c r="D1216" s="4">
        <v>18.46</v>
      </c>
    </row>
    <row r="1217" ht="22.5" hidden="1" customHeight="1">
      <c r="A1217" s="4" t="s">
        <v>11</v>
      </c>
      <c r="B1217" s="5">
        <v>46097.32898789352</v>
      </c>
      <c r="C1217" s="6"/>
      <c r="D1217" s="4">
        <v>18.52</v>
      </c>
    </row>
    <row r="1218" ht="22.5" hidden="1" customHeight="1">
      <c r="A1218" s="4" t="s">
        <v>11</v>
      </c>
      <c r="B1218" s="5">
        <v>46097.33994347222</v>
      </c>
      <c r="C1218" s="6"/>
      <c r="D1218" s="4">
        <v>18.62</v>
      </c>
    </row>
    <row r="1219" ht="22.5" hidden="1" customHeight="1">
      <c r="A1219" s="4" t="s">
        <v>11</v>
      </c>
      <c r="B1219" s="5">
        <v>46097.34062844908</v>
      </c>
      <c r="C1219" s="6"/>
      <c r="D1219" s="4">
        <v>18.66</v>
      </c>
    </row>
    <row r="1220" ht="22.5" hidden="1" customHeight="1">
      <c r="A1220" s="4" t="s">
        <v>11</v>
      </c>
      <c r="B1220" s="5">
        <v>46097.34131802083</v>
      </c>
      <c r="C1220" s="6"/>
      <c r="D1220" s="4">
        <v>18.62</v>
      </c>
    </row>
    <row r="1221" ht="22.5" hidden="1" customHeight="1">
      <c r="A1221" s="4" t="s">
        <v>11</v>
      </c>
      <c r="B1221" s="5">
        <v>46097.34200069444</v>
      </c>
      <c r="C1221" s="6"/>
      <c r="D1221" s="4">
        <v>18.66</v>
      </c>
    </row>
    <row r="1222" ht="22.5" hidden="1" customHeight="1">
      <c r="A1222" s="4" t="s">
        <v>11</v>
      </c>
      <c r="B1222" s="5">
        <v>46097.34679222222</v>
      </c>
      <c r="C1222" s="6"/>
      <c r="D1222" s="4">
        <v>18.68</v>
      </c>
    </row>
    <row r="1223" ht="22.5" hidden="1" customHeight="1">
      <c r="A1223" s="4" t="s">
        <v>11</v>
      </c>
      <c r="B1223" s="5">
        <v>46097.359543506944</v>
      </c>
      <c r="C1223" s="6"/>
      <c r="D1223" s="4" t="s">
        <v>9</v>
      </c>
    </row>
    <row r="1224" ht="22.5" hidden="1" customHeight="1">
      <c r="A1224" s="4" t="s">
        <v>11</v>
      </c>
      <c r="B1224" s="5">
        <v>46097.36962243055</v>
      </c>
      <c r="C1224" s="6"/>
      <c r="D1224" s="4">
        <v>18.68</v>
      </c>
    </row>
    <row r="1225" ht="22.5" hidden="1" customHeight="1">
      <c r="A1225" s="4" t="s">
        <v>11</v>
      </c>
      <c r="B1225" s="5">
        <v>46097.37099564815</v>
      </c>
      <c r="C1225" s="6"/>
      <c r="D1225" s="4">
        <v>18.66</v>
      </c>
    </row>
    <row r="1226" ht="22.5" hidden="1" customHeight="1">
      <c r="A1226" s="4" t="s">
        <v>11</v>
      </c>
      <c r="B1226" s="5">
        <v>46097.38674607639</v>
      </c>
      <c r="C1226" s="6"/>
      <c r="D1226" s="4">
        <v>19.01</v>
      </c>
    </row>
    <row r="1227" ht="22.5" hidden="1" customHeight="1">
      <c r="A1227" s="4" t="s">
        <v>11</v>
      </c>
      <c r="B1227" s="5">
        <v>46097.390170416664</v>
      </c>
      <c r="C1227" s="6"/>
      <c r="D1227" s="4">
        <v>19.03</v>
      </c>
    </row>
    <row r="1228" ht="22.5" hidden="1" customHeight="1">
      <c r="A1228" s="4" t="s">
        <v>11</v>
      </c>
      <c r="B1228" s="5">
        <v>46097.39222511574</v>
      </c>
      <c r="C1228" s="6"/>
      <c r="D1228" s="4">
        <v>19.09</v>
      </c>
    </row>
    <row r="1229" ht="22.5" hidden="1" customHeight="1">
      <c r="A1229" s="4" t="s">
        <v>11</v>
      </c>
      <c r="B1229" s="5">
        <v>46097.40866223379</v>
      </c>
      <c r="C1229" s="6"/>
      <c r="D1229" s="4">
        <v>19.17</v>
      </c>
    </row>
    <row r="1230" ht="22.5" hidden="1" customHeight="1">
      <c r="A1230" s="4" t="s">
        <v>11</v>
      </c>
      <c r="B1230" s="5">
        <v>46097.41345818287</v>
      </c>
      <c r="C1230" s="6"/>
      <c r="D1230" s="4">
        <v>19.19</v>
      </c>
    </row>
    <row r="1231" ht="22.5" hidden="1" customHeight="1">
      <c r="A1231" s="4" t="s">
        <v>11</v>
      </c>
      <c r="B1231" s="5">
        <v>46097.418936967595</v>
      </c>
      <c r="C1231" s="6"/>
      <c r="D1231" s="4">
        <v>19.21</v>
      </c>
    </row>
    <row r="1232" ht="22.5" hidden="1" customHeight="1">
      <c r="A1232" s="4" t="s">
        <v>11</v>
      </c>
      <c r="B1232" s="5">
        <v>46097.436056631945</v>
      </c>
      <c r="C1232" s="6"/>
      <c r="D1232" s="4">
        <v>19.29</v>
      </c>
    </row>
    <row r="1233" ht="22.5" hidden="1" customHeight="1">
      <c r="A1233" s="4" t="s">
        <v>11</v>
      </c>
      <c r="B1233" s="5">
        <v>46097.45180811342</v>
      </c>
      <c r="C1233" s="6"/>
      <c r="D1233" s="4">
        <v>19.35</v>
      </c>
    </row>
    <row r="1234" ht="22.5" hidden="1" customHeight="1">
      <c r="A1234" s="4" t="s">
        <v>11</v>
      </c>
      <c r="B1234" s="5">
        <v>46097.458656967596</v>
      </c>
      <c r="C1234" s="6"/>
      <c r="D1234" s="4">
        <v>19.39</v>
      </c>
    </row>
    <row r="1235" ht="22.5" hidden="1" customHeight="1">
      <c r="A1235" s="4" t="s">
        <v>11</v>
      </c>
      <c r="B1235" s="5">
        <v>46097.46208212963</v>
      </c>
      <c r="C1235" s="6"/>
      <c r="D1235" s="4">
        <v>19.41</v>
      </c>
    </row>
    <row r="1236" ht="22.5" hidden="1" customHeight="1">
      <c r="A1236" s="4" t="s">
        <v>11</v>
      </c>
      <c r="B1236" s="5">
        <v>46097.473727303244</v>
      </c>
      <c r="C1236" s="6"/>
      <c r="D1236" s="4">
        <v>19.43</v>
      </c>
    </row>
    <row r="1237" ht="22.5" hidden="1" customHeight="1">
      <c r="A1237" s="4" t="s">
        <v>11</v>
      </c>
      <c r="B1237" s="5">
        <v>46097.4785178588</v>
      </c>
      <c r="C1237" s="6"/>
      <c r="D1237" s="4">
        <v>19.46</v>
      </c>
    </row>
    <row r="1238" ht="22.5" hidden="1" customHeight="1">
      <c r="A1238" s="4" t="s">
        <v>11</v>
      </c>
      <c r="B1238" s="5">
        <v>46097.4819440162</v>
      </c>
      <c r="C1238" s="6"/>
      <c r="D1238" s="4">
        <v>19.49</v>
      </c>
    </row>
    <row r="1239" ht="22.5" hidden="1" customHeight="1">
      <c r="A1239" s="4" t="s">
        <v>11</v>
      </c>
      <c r="B1239" s="5">
        <v>46097.50248851852</v>
      </c>
      <c r="C1239" s="6"/>
      <c r="D1239" s="4">
        <v>19.54</v>
      </c>
    </row>
    <row r="1240" ht="22.5" hidden="1" customHeight="1">
      <c r="A1240" s="4" t="s">
        <v>11</v>
      </c>
      <c r="B1240" s="5">
        <v>46097.512077569445</v>
      </c>
      <c r="C1240" s="6"/>
      <c r="D1240" s="4">
        <v>19.57</v>
      </c>
    </row>
    <row r="1241" ht="22.5" hidden="1" customHeight="1">
      <c r="A1241" s="4" t="s">
        <v>11</v>
      </c>
      <c r="B1241" s="5">
        <v>46097.516190497685</v>
      </c>
      <c r="C1241" s="6"/>
      <c r="D1241" s="4">
        <v>19.6</v>
      </c>
    </row>
    <row r="1242" ht="22.5" hidden="1" customHeight="1">
      <c r="A1242" s="4" t="s">
        <v>11</v>
      </c>
      <c r="B1242" s="5">
        <v>46097.52303596065</v>
      </c>
      <c r="C1242" s="6"/>
      <c r="D1242" s="4">
        <v>19.62</v>
      </c>
    </row>
    <row r="1243" ht="22.5" hidden="1" customHeight="1">
      <c r="A1243" s="4" t="s">
        <v>11</v>
      </c>
      <c r="B1243" s="5">
        <v>46097.53878913195</v>
      </c>
      <c r="C1243" s="6"/>
      <c r="D1243" s="4">
        <v>19.65</v>
      </c>
    </row>
    <row r="1244" ht="22.5" hidden="1" customHeight="1">
      <c r="A1244" s="4" t="s">
        <v>11</v>
      </c>
      <c r="B1244" s="5">
        <v>46097.54632349537</v>
      </c>
      <c r="C1244" s="6"/>
      <c r="D1244" s="4">
        <v>19.68</v>
      </c>
    </row>
    <row r="1245" ht="22.5" hidden="1" customHeight="1">
      <c r="A1245" s="4" t="s">
        <v>11</v>
      </c>
      <c r="B1245" s="5">
        <v>46097.56070712963</v>
      </c>
      <c r="C1245" s="6"/>
      <c r="D1245" s="4">
        <v>19.7</v>
      </c>
    </row>
    <row r="1246" ht="22.5" hidden="1" customHeight="1">
      <c r="A1246" s="4" t="s">
        <v>11</v>
      </c>
      <c r="B1246" s="5">
        <v>46097.56207706018</v>
      </c>
      <c r="C1246" s="6"/>
      <c r="D1246" s="4">
        <v>19.73</v>
      </c>
    </row>
    <row r="1247" ht="22.5" hidden="1" customHeight="1">
      <c r="A1247" s="4" t="s">
        <v>11</v>
      </c>
      <c r="B1247" s="5">
        <v>46097.565501689816</v>
      </c>
      <c r="C1247" s="6"/>
      <c r="D1247" s="4">
        <v>19.7</v>
      </c>
    </row>
    <row r="1248" ht="22.5" hidden="1" customHeight="1">
      <c r="A1248" s="4" t="s">
        <v>11</v>
      </c>
      <c r="B1248" s="5">
        <v>46097.566186724536</v>
      </c>
      <c r="C1248" s="6"/>
      <c r="D1248" s="4">
        <v>19.73</v>
      </c>
    </row>
    <row r="1249" ht="22.5" hidden="1" customHeight="1">
      <c r="A1249" s="4" t="s">
        <v>11</v>
      </c>
      <c r="B1249" s="5">
        <v>46097.58947449074</v>
      </c>
      <c r="C1249" s="6"/>
      <c r="D1249" s="4">
        <v>19.76</v>
      </c>
    </row>
    <row r="1250" ht="22.5" hidden="1" customHeight="1">
      <c r="A1250" s="4" t="s">
        <v>11</v>
      </c>
      <c r="B1250" s="5">
        <v>46097.60728359954</v>
      </c>
      <c r="C1250" s="6"/>
      <c r="D1250" s="4">
        <v>19.78</v>
      </c>
    </row>
    <row r="1251" ht="22.5" hidden="1" customHeight="1">
      <c r="A1251" s="4" t="s">
        <v>11</v>
      </c>
      <c r="B1251" s="5">
        <v>46097.611392638886</v>
      </c>
      <c r="C1251" s="6"/>
      <c r="D1251" s="4">
        <v>19.76</v>
      </c>
    </row>
    <row r="1252" ht="22.5" hidden="1" customHeight="1">
      <c r="A1252" s="4" t="s">
        <v>11</v>
      </c>
      <c r="B1252" s="5">
        <v>46097.61207935185</v>
      </c>
      <c r="C1252" s="6"/>
      <c r="D1252" s="4">
        <v>19.78</v>
      </c>
    </row>
    <row r="1253" ht="22.5" hidden="1" customHeight="1">
      <c r="A1253" s="4" t="s">
        <v>11</v>
      </c>
      <c r="B1253" s="5">
        <v>46097.62303693287</v>
      </c>
      <c r="C1253" s="6"/>
      <c r="D1253" s="4">
        <v>19.81</v>
      </c>
    </row>
    <row r="1254" ht="22.5" hidden="1" customHeight="1">
      <c r="A1254" s="4" t="s">
        <v>11</v>
      </c>
      <c r="B1254" s="5">
        <v>46097.63810671296</v>
      </c>
      <c r="C1254" s="6"/>
      <c r="D1254" s="4">
        <v>19.84</v>
      </c>
    </row>
    <row r="1255" ht="22.5" hidden="1" customHeight="1">
      <c r="A1255" s="4" t="s">
        <v>11</v>
      </c>
      <c r="B1255" s="5">
        <v>46097.63878990741</v>
      </c>
      <c r="C1255" s="6"/>
      <c r="D1255" s="4">
        <v>19.81</v>
      </c>
    </row>
    <row r="1256" ht="22.5" hidden="1" customHeight="1">
      <c r="A1256" s="4" t="s">
        <v>11</v>
      </c>
      <c r="B1256" s="5">
        <v>46097.640845347225</v>
      </c>
      <c r="C1256" s="6"/>
      <c r="D1256" s="4">
        <v>19.84</v>
      </c>
    </row>
    <row r="1257" ht="22.5" hidden="1" customHeight="1">
      <c r="A1257" s="4" t="s">
        <v>11</v>
      </c>
      <c r="B1257" s="5">
        <v>46097.64426929398</v>
      </c>
      <c r="C1257" s="6"/>
      <c r="D1257" s="4">
        <v>19.81</v>
      </c>
    </row>
    <row r="1258" ht="22.5" hidden="1" customHeight="1">
      <c r="A1258" s="4" t="s">
        <v>11</v>
      </c>
      <c r="B1258" s="5">
        <v>46097.64495449074</v>
      </c>
      <c r="C1258" s="6"/>
      <c r="D1258" s="4">
        <v>19.84</v>
      </c>
    </row>
    <row r="1259" ht="22.5" hidden="1" customHeight="1">
      <c r="A1259" s="4" t="s">
        <v>11</v>
      </c>
      <c r="B1259" s="5">
        <v>46097.6456390625</v>
      </c>
      <c r="C1259" s="6"/>
      <c r="D1259" s="4">
        <v>19.81</v>
      </c>
    </row>
    <row r="1260" ht="22.5" hidden="1" customHeight="1">
      <c r="A1260" s="4" t="s">
        <v>11</v>
      </c>
      <c r="B1260" s="5">
        <v>46097.646324016205</v>
      </c>
      <c r="C1260" s="6"/>
      <c r="D1260" s="4">
        <v>19.84</v>
      </c>
    </row>
    <row r="1261" ht="22.5" hidden="1" customHeight="1">
      <c r="A1261" s="4" t="s">
        <v>11</v>
      </c>
      <c r="B1261" s="5">
        <v>46097.649063819445</v>
      </c>
      <c r="C1261" s="6"/>
      <c r="D1261" s="4">
        <v>19.81</v>
      </c>
    </row>
    <row r="1262" ht="22.5" hidden="1" customHeight="1">
      <c r="A1262" s="4" t="s">
        <v>11</v>
      </c>
      <c r="B1262" s="5">
        <v>46097.64975041667</v>
      </c>
      <c r="C1262" s="6"/>
      <c r="D1262" s="4">
        <v>19.78</v>
      </c>
    </row>
    <row r="1263" ht="22.5" hidden="1" customHeight="1">
      <c r="A1263" s="4" t="s">
        <v>11</v>
      </c>
      <c r="B1263" s="5">
        <v>46097.65728438657</v>
      </c>
      <c r="C1263" s="6"/>
      <c r="D1263" s="4">
        <v>19.76</v>
      </c>
    </row>
    <row r="1264" ht="22.5" hidden="1" customHeight="1">
      <c r="A1264" s="4" t="s">
        <v>11</v>
      </c>
      <c r="B1264" s="5">
        <v>46097.66276516204</v>
      </c>
      <c r="C1264" s="6"/>
      <c r="D1264" s="4">
        <v>19.78</v>
      </c>
    </row>
    <row r="1265" ht="22.5" hidden="1" customHeight="1">
      <c r="A1265" s="4" t="s">
        <v>11</v>
      </c>
      <c r="B1265" s="5">
        <v>46097.663450266205</v>
      </c>
      <c r="C1265" s="6"/>
      <c r="D1265" s="4">
        <v>19.76</v>
      </c>
    </row>
    <row r="1266" ht="22.5" hidden="1" customHeight="1">
      <c r="A1266" s="4" t="s">
        <v>11</v>
      </c>
      <c r="B1266" s="5">
        <v>46097.66550511574</v>
      </c>
      <c r="C1266" s="6"/>
      <c r="D1266" s="4">
        <v>19.78</v>
      </c>
    </row>
    <row r="1267" ht="22.5" hidden="1" customHeight="1">
      <c r="A1267" s="4" t="s">
        <v>11</v>
      </c>
      <c r="B1267" s="5">
        <v>46097.675096122686</v>
      </c>
      <c r="C1267" s="6"/>
      <c r="D1267" s="4">
        <v>19.81</v>
      </c>
    </row>
    <row r="1268" ht="22.5" hidden="1" customHeight="1">
      <c r="A1268" s="4" t="s">
        <v>11</v>
      </c>
      <c r="B1268" s="5">
        <v>46097.67715137731</v>
      </c>
      <c r="C1268" s="6"/>
      <c r="D1268" s="4">
        <v>19.84</v>
      </c>
    </row>
    <row r="1269" ht="22.5" hidden="1" customHeight="1">
      <c r="A1269" s="4" t="s">
        <v>11</v>
      </c>
      <c r="B1269" s="5">
        <v>46097.68537186342</v>
      </c>
      <c r="C1269" s="6"/>
      <c r="D1269" s="4">
        <v>19.86</v>
      </c>
    </row>
    <row r="1270" ht="22.5" hidden="1" customHeight="1">
      <c r="A1270" s="4" t="s">
        <v>11</v>
      </c>
      <c r="B1270" s="5">
        <v>46097.686056886574</v>
      </c>
      <c r="C1270" s="6"/>
      <c r="D1270" s="4">
        <v>19.84</v>
      </c>
    </row>
    <row r="1271" ht="22.5" hidden="1" customHeight="1">
      <c r="A1271" s="4" t="s">
        <v>11</v>
      </c>
      <c r="B1271" s="5">
        <v>46097.68674373843</v>
      </c>
      <c r="C1271" s="6"/>
      <c r="D1271" s="4">
        <v>19.86</v>
      </c>
    </row>
    <row r="1272" ht="22.5" hidden="1" customHeight="1">
      <c r="A1272" s="4" t="s">
        <v>11</v>
      </c>
      <c r="B1272" s="5">
        <v>46097.694277152776</v>
      </c>
      <c r="C1272" s="6"/>
      <c r="D1272" s="4">
        <v>19.89</v>
      </c>
    </row>
    <row r="1273" ht="22.5" hidden="1" customHeight="1">
      <c r="A1273" s="4" t="s">
        <v>11</v>
      </c>
      <c r="B1273" s="5">
        <v>46097.70249982639</v>
      </c>
      <c r="C1273" s="6"/>
      <c r="D1273" s="4">
        <v>19.92</v>
      </c>
    </row>
    <row r="1274" ht="22.5" hidden="1" customHeight="1">
      <c r="A1274" s="4" t="s">
        <v>11</v>
      </c>
      <c r="B1274" s="5">
        <v>46097.709348993056</v>
      </c>
      <c r="C1274" s="6"/>
      <c r="D1274" s="4">
        <v>19.94</v>
      </c>
    </row>
    <row r="1275" ht="22.5" hidden="1" customHeight="1">
      <c r="A1275" s="4" t="s">
        <v>11</v>
      </c>
      <c r="B1275" s="5">
        <v>46097.714145011574</v>
      </c>
      <c r="C1275" s="6"/>
      <c r="D1275" s="4">
        <v>19.96</v>
      </c>
    </row>
    <row r="1276" ht="22.5" hidden="1" customHeight="1">
      <c r="A1276" s="4" t="s">
        <v>11</v>
      </c>
      <c r="B1276" s="5">
        <v>46097.727161979165</v>
      </c>
      <c r="C1276" s="6"/>
      <c r="D1276" s="4">
        <v>20.0</v>
      </c>
    </row>
    <row r="1277" ht="22.5" hidden="1" customHeight="1">
      <c r="A1277" s="4" t="s">
        <v>11</v>
      </c>
      <c r="B1277" s="5">
        <v>46097.73195743056</v>
      </c>
      <c r="C1277" s="6"/>
      <c r="D1277" s="4">
        <v>20.02</v>
      </c>
    </row>
    <row r="1278" ht="22.5" hidden="1" customHeight="1">
      <c r="A1278" s="4" t="s">
        <v>11</v>
      </c>
      <c r="B1278" s="5">
        <v>46097.737437986114</v>
      </c>
      <c r="C1278" s="6"/>
      <c r="D1278" s="4">
        <v>20.04</v>
      </c>
    </row>
    <row r="1279" ht="22.5" hidden="1" customHeight="1">
      <c r="A1279" s="4" t="s">
        <v>11</v>
      </c>
      <c r="B1279" s="5">
        <v>46097.74429390046</v>
      </c>
      <c r="C1279" s="6"/>
      <c r="D1279" s="4">
        <v>20.02</v>
      </c>
    </row>
    <row r="1280" ht="22.5" hidden="1" customHeight="1">
      <c r="A1280" s="4" t="s">
        <v>11</v>
      </c>
      <c r="B1280" s="5">
        <v>46097.74497571759</v>
      </c>
      <c r="C1280" s="6"/>
      <c r="D1280" s="4">
        <v>20.04</v>
      </c>
    </row>
    <row r="1281" ht="22.5" hidden="1" customHeight="1">
      <c r="A1281" s="4" t="s">
        <v>11</v>
      </c>
      <c r="B1281" s="5">
        <v>46097.74565834491</v>
      </c>
      <c r="C1281" s="6"/>
      <c r="D1281" s="4">
        <v>20.02</v>
      </c>
    </row>
    <row r="1282" ht="22.5" hidden="1" customHeight="1">
      <c r="A1282" s="4" t="s">
        <v>11</v>
      </c>
      <c r="B1282" s="5">
        <v>46097.74908908565</v>
      </c>
      <c r="C1282" s="6"/>
      <c r="D1282" s="4">
        <v>20.04</v>
      </c>
    </row>
    <row r="1283" ht="22.5" hidden="1" customHeight="1">
      <c r="A1283" s="4" t="s">
        <v>11</v>
      </c>
      <c r="B1283" s="5">
        <v>46097.74976863426</v>
      </c>
      <c r="C1283" s="6"/>
      <c r="D1283" s="4">
        <v>20.02</v>
      </c>
    </row>
    <row r="1284" ht="22.5" hidden="1" customHeight="1">
      <c r="A1284" s="4" t="s">
        <v>11</v>
      </c>
      <c r="B1284" s="5">
        <v>46097.750453692126</v>
      </c>
      <c r="C1284" s="6"/>
      <c r="D1284" s="4">
        <v>20.04</v>
      </c>
    </row>
    <row r="1285" ht="22.5" hidden="1" customHeight="1">
      <c r="A1285" s="4" t="s">
        <v>11</v>
      </c>
      <c r="B1285" s="5">
        <v>46097.754563912036</v>
      </c>
      <c r="C1285" s="6"/>
      <c r="D1285" s="4">
        <v>20.02</v>
      </c>
    </row>
    <row r="1286" ht="22.5" hidden="1" customHeight="1">
      <c r="A1286" s="4" t="s">
        <v>11</v>
      </c>
      <c r="B1286" s="5">
        <v>46097.75524936343</v>
      </c>
      <c r="C1286" s="6"/>
      <c r="D1286" s="4">
        <v>20.04</v>
      </c>
    </row>
    <row r="1287" ht="22.5" hidden="1" customHeight="1">
      <c r="A1287" s="4" t="s">
        <v>11</v>
      </c>
      <c r="B1287" s="5">
        <v>46097.77717011574</v>
      </c>
      <c r="C1287" s="6"/>
      <c r="D1287" s="4">
        <v>16.25</v>
      </c>
    </row>
    <row r="1288" ht="22.5" hidden="1" customHeight="1">
      <c r="A1288" s="4" t="s">
        <v>11</v>
      </c>
      <c r="B1288" s="5">
        <v>46097.781965497685</v>
      </c>
      <c r="C1288" s="6"/>
      <c r="D1288" s="4">
        <v>16.52</v>
      </c>
    </row>
    <row r="1289" ht="22.5" hidden="1" customHeight="1">
      <c r="A1289" s="4" t="s">
        <v>11</v>
      </c>
      <c r="B1289" s="5">
        <v>46097.78607599537</v>
      </c>
      <c r="C1289" s="6"/>
      <c r="D1289" s="4">
        <v>14.17</v>
      </c>
    </row>
    <row r="1290" ht="22.5" hidden="1" customHeight="1">
      <c r="A1290" s="4" t="s">
        <v>11</v>
      </c>
      <c r="B1290" s="5">
        <v>46097.786761076386</v>
      </c>
      <c r="C1290" s="6"/>
      <c r="D1290" s="4">
        <v>13.95</v>
      </c>
    </row>
    <row r="1291" ht="22.5" hidden="1" customHeight="1">
      <c r="A1291" s="4" t="s">
        <v>11</v>
      </c>
      <c r="B1291" s="5">
        <v>46097.787446319446</v>
      </c>
      <c r="C1291" s="6"/>
      <c r="D1291" s="4">
        <v>13.92</v>
      </c>
    </row>
    <row r="1292" ht="22.5" hidden="1" customHeight="1">
      <c r="A1292" s="4" t="s">
        <v>11</v>
      </c>
      <c r="B1292" s="5">
        <v>46097.78813482639</v>
      </c>
      <c r="C1292" s="6"/>
      <c r="D1292" s="4">
        <v>13.86</v>
      </c>
    </row>
    <row r="1293" ht="22.5" hidden="1" customHeight="1">
      <c r="A1293" s="4" t="s">
        <v>11</v>
      </c>
      <c r="B1293" s="5">
        <v>46097.797722372685</v>
      </c>
      <c r="C1293" s="6"/>
      <c r="D1293" s="4">
        <v>14.27</v>
      </c>
    </row>
    <row r="1294" ht="22.5" hidden="1" customHeight="1">
      <c r="A1294" s="4" t="s">
        <v>11</v>
      </c>
      <c r="B1294" s="5">
        <v>46097.79840760417</v>
      </c>
      <c r="C1294" s="6"/>
      <c r="D1294" s="4">
        <v>14.33</v>
      </c>
    </row>
    <row r="1295" ht="22.5" hidden="1" customHeight="1">
      <c r="A1295" s="4" t="s">
        <v>11</v>
      </c>
      <c r="B1295" s="5">
        <v>46097.800462962965</v>
      </c>
      <c r="C1295" s="6"/>
      <c r="D1295" s="4">
        <v>14.5</v>
      </c>
    </row>
    <row r="1296" ht="22.5" hidden="1" customHeight="1">
      <c r="A1296" s="4" t="s">
        <v>11</v>
      </c>
      <c r="B1296" s="5">
        <v>46097.80114797454</v>
      </c>
      <c r="C1296" s="6"/>
      <c r="D1296" s="4">
        <v>14.53</v>
      </c>
    </row>
    <row r="1297" ht="22.5" hidden="1" customHeight="1">
      <c r="A1297" s="4" t="s">
        <v>11</v>
      </c>
      <c r="B1297" s="5">
        <v>46097.80251836806</v>
      </c>
      <c r="C1297" s="6"/>
      <c r="D1297" s="4">
        <v>14.65</v>
      </c>
    </row>
    <row r="1298" ht="22.5" hidden="1" customHeight="1">
      <c r="A1298" s="4" t="s">
        <v>11</v>
      </c>
      <c r="B1298" s="5">
        <v>46097.80525888889</v>
      </c>
      <c r="C1298" s="6"/>
      <c r="D1298" s="4">
        <v>14.88</v>
      </c>
    </row>
    <row r="1299" ht="22.5" hidden="1" customHeight="1">
      <c r="A1299" s="4" t="s">
        <v>11</v>
      </c>
      <c r="B1299" s="5">
        <v>46097.81485121528</v>
      </c>
      <c r="C1299" s="6"/>
      <c r="D1299" s="4">
        <v>15.71</v>
      </c>
    </row>
    <row r="1300" ht="22.5" hidden="1" customHeight="1">
      <c r="A1300" s="4" t="s">
        <v>11</v>
      </c>
      <c r="B1300" s="5">
        <v>46097.81553804398</v>
      </c>
      <c r="C1300" s="6"/>
      <c r="D1300" s="4">
        <v>15.77</v>
      </c>
    </row>
    <row r="1301" ht="22.5" hidden="1" customHeight="1">
      <c r="A1301" s="4" t="s">
        <v>11</v>
      </c>
      <c r="B1301" s="5">
        <v>46097.81622320602</v>
      </c>
      <c r="C1301" s="6"/>
      <c r="D1301" s="4">
        <v>15.83</v>
      </c>
    </row>
    <row r="1302" ht="22.5" hidden="1" customHeight="1">
      <c r="A1302" s="4" t="s">
        <v>11</v>
      </c>
      <c r="B1302" s="5">
        <v>46097.825128599536</v>
      </c>
      <c r="C1302" s="6"/>
      <c r="D1302" s="4">
        <v>16.48</v>
      </c>
    </row>
    <row r="1303" ht="22.5" hidden="1" customHeight="1">
      <c r="A1303" s="4" t="s">
        <v>11</v>
      </c>
      <c r="B1303" s="5">
        <v>46097.82581753472</v>
      </c>
      <c r="C1303" s="6"/>
      <c r="D1303" s="4">
        <v>16.52</v>
      </c>
    </row>
    <row r="1304" ht="22.5" hidden="1" customHeight="1">
      <c r="A1304" s="4" t="s">
        <v>11</v>
      </c>
      <c r="B1304" s="5">
        <v>46097.82718400463</v>
      </c>
      <c r="C1304" s="6"/>
      <c r="D1304" s="4">
        <v>16.61</v>
      </c>
    </row>
    <row r="1305" ht="22.5" hidden="1" customHeight="1">
      <c r="A1305" s="4" t="s">
        <v>11</v>
      </c>
      <c r="B1305" s="5">
        <v>46097.82855561343</v>
      </c>
      <c r="C1305" s="6"/>
      <c r="D1305" s="4">
        <v>16.69</v>
      </c>
    </row>
    <row r="1306" ht="22.5" hidden="1" customHeight="1">
      <c r="A1306" s="4" t="s">
        <v>11</v>
      </c>
      <c r="B1306" s="5">
        <v>46097.82923883102</v>
      </c>
      <c r="C1306" s="6"/>
      <c r="D1306" s="4">
        <v>16.73</v>
      </c>
    </row>
    <row r="1307" ht="22.5" hidden="1" customHeight="1">
      <c r="A1307" s="4" t="s">
        <v>11</v>
      </c>
      <c r="B1307" s="5">
        <v>46097.830613287035</v>
      </c>
      <c r="C1307" s="6"/>
      <c r="D1307" s="4">
        <v>16.84</v>
      </c>
    </row>
    <row r="1308" ht="22.5" hidden="1" customHeight="1">
      <c r="A1308" s="4" t="s">
        <v>11</v>
      </c>
      <c r="B1308" s="5">
        <v>46097.83266445602</v>
      </c>
      <c r="C1308" s="6"/>
      <c r="D1308" s="4">
        <v>16.94</v>
      </c>
    </row>
    <row r="1309" ht="22.5" hidden="1" customHeight="1">
      <c r="A1309" s="4" t="s">
        <v>11</v>
      </c>
      <c r="B1309" s="5">
        <v>46097.834036886576</v>
      </c>
      <c r="C1309" s="6"/>
      <c r="D1309" s="4">
        <v>17.03</v>
      </c>
    </row>
    <row r="1310" ht="22.5" hidden="1" customHeight="1">
      <c r="A1310" s="4" t="s">
        <v>11</v>
      </c>
      <c r="B1310" s="5">
        <v>46097.83471983796</v>
      </c>
      <c r="C1310" s="6"/>
      <c r="D1310" s="4">
        <v>17.09</v>
      </c>
    </row>
    <row r="1311" ht="22.5" hidden="1" customHeight="1">
      <c r="A1311" s="4" t="s">
        <v>11</v>
      </c>
      <c r="B1311" s="5">
        <v>46097.838147083334</v>
      </c>
      <c r="C1311" s="6"/>
      <c r="D1311" s="4">
        <v>17.28</v>
      </c>
    </row>
    <row r="1312" ht="22.5" hidden="1" customHeight="1">
      <c r="A1312" s="4" t="s">
        <v>11</v>
      </c>
      <c r="B1312" s="5">
        <v>46097.840200590275</v>
      </c>
      <c r="C1312" s="6"/>
      <c r="D1312" s="4">
        <v>17.36</v>
      </c>
    </row>
    <row r="1313" ht="22.5" hidden="1" customHeight="1">
      <c r="A1313" s="4" t="s">
        <v>11</v>
      </c>
      <c r="B1313" s="5">
        <v>46097.843626354166</v>
      </c>
      <c r="C1313" s="6"/>
      <c r="D1313" s="4">
        <v>17.56</v>
      </c>
    </row>
    <row r="1314" ht="22.5" hidden="1" customHeight="1">
      <c r="A1314" s="4" t="s">
        <v>11</v>
      </c>
      <c r="B1314" s="5">
        <v>46097.844315821756</v>
      </c>
      <c r="C1314" s="6"/>
      <c r="D1314" s="4">
        <v>17.59</v>
      </c>
    </row>
    <row r="1315" ht="22.5" hidden="1" customHeight="1">
      <c r="A1315" s="4" t="s">
        <v>11</v>
      </c>
      <c r="B1315" s="5">
        <v>46097.84499810185</v>
      </c>
      <c r="C1315" s="6"/>
      <c r="D1315" s="4">
        <v>17.61</v>
      </c>
    </row>
    <row r="1316" ht="22.5" hidden="1" customHeight="1">
      <c r="A1316" s="4" t="s">
        <v>11</v>
      </c>
      <c r="B1316" s="5">
        <v>46097.84568518519</v>
      </c>
      <c r="C1316" s="6"/>
      <c r="D1316" s="4">
        <v>17.65</v>
      </c>
    </row>
    <row r="1317" ht="22.5" hidden="1" customHeight="1">
      <c r="A1317" s="4" t="s">
        <v>11</v>
      </c>
      <c r="B1317" s="5">
        <v>46097.84636657407</v>
      </c>
      <c r="C1317" s="6"/>
      <c r="D1317" s="4">
        <v>17.67</v>
      </c>
    </row>
    <row r="1318" ht="22.5" hidden="1" customHeight="1">
      <c r="A1318" s="4" t="s">
        <v>11</v>
      </c>
      <c r="B1318" s="5">
        <v>46097.84842185185</v>
      </c>
      <c r="C1318" s="6"/>
      <c r="D1318" s="4">
        <v>17.77</v>
      </c>
    </row>
    <row r="1319" ht="22.5" hidden="1" customHeight="1">
      <c r="A1319" s="4" t="s">
        <v>11</v>
      </c>
      <c r="B1319" s="5">
        <v>46097.8491105787</v>
      </c>
      <c r="C1319" s="6"/>
      <c r="D1319" s="4">
        <v>17.81</v>
      </c>
    </row>
    <row r="1320" ht="22.5" hidden="1" customHeight="1">
      <c r="A1320" s="4" t="s">
        <v>11</v>
      </c>
      <c r="B1320" s="5">
        <v>46097.85184916667</v>
      </c>
      <c r="C1320" s="6"/>
      <c r="D1320" s="4">
        <v>17.89</v>
      </c>
    </row>
    <row r="1321" ht="22.5" hidden="1" customHeight="1">
      <c r="A1321" s="4" t="s">
        <v>11</v>
      </c>
      <c r="B1321" s="5">
        <v>46097.85253638889</v>
      </c>
      <c r="C1321" s="6"/>
      <c r="D1321" s="4">
        <v>17.92</v>
      </c>
    </row>
    <row r="1322" ht="22.5" hidden="1" customHeight="1">
      <c r="A1322" s="4" t="s">
        <v>11</v>
      </c>
      <c r="B1322" s="5">
        <v>46097.85321797454</v>
      </c>
      <c r="C1322" s="6"/>
      <c r="D1322" s="4">
        <v>17.94</v>
      </c>
    </row>
    <row r="1323" ht="22.5" hidden="1" customHeight="1">
      <c r="A1323" s="4" t="s">
        <v>11</v>
      </c>
      <c r="B1323" s="5">
        <v>46097.85390631945</v>
      </c>
      <c r="C1323" s="6"/>
      <c r="D1323" s="4">
        <v>18.0</v>
      </c>
    </row>
    <row r="1324" ht="22.5" hidden="1" customHeight="1">
      <c r="A1324" s="4" t="s">
        <v>11</v>
      </c>
      <c r="B1324" s="5">
        <v>46097.85527292824</v>
      </c>
      <c r="C1324" s="6"/>
      <c r="D1324" s="4">
        <v>18.06</v>
      </c>
    </row>
    <row r="1325" ht="22.5" hidden="1" customHeight="1">
      <c r="A1325" s="4" t="s">
        <v>11</v>
      </c>
      <c r="B1325" s="5">
        <v>46097.8593833912</v>
      </c>
      <c r="C1325" s="6"/>
      <c r="D1325" s="4">
        <v>18.21</v>
      </c>
    </row>
    <row r="1326" ht="22.5" hidden="1" customHeight="1">
      <c r="A1326" s="4" t="s">
        <v>11</v>
      </c>
      <c r="B1326" s="5">
        <v>46097.863497488426</v>
      </c>
      <c r="C1326" s="6"/>
      <c r="D1326" s="4">
        <v>18.33</v>
      </c>
    </row>
    <row r="1327" ht="22.5" hidden="1" customHeight="1">
      <c r="A1327" s="4" t="s">
        <v>11</v>
      </c>
      <c r="B1327" s="5">
        <v>46097.86418298611</v>
      </c>
      <c r="C1327" s="6"/>
      <c r="D1327" s="4">
        <v>18.35</v>
      </c>
    </row>
    <row r="1328" ht="22.5" hidden="1" customHeight="1">
      <c r="A1328" s="4" t="s">
        <v>11</v>
      </c>
      <c r="B1328" s="5">
        <v>46097.86486407407</v>
      </c>
      <c r="C1328" s="6"/>
      <c r="D1328" s="4">
        <v>18.37</v>
      </c>
    </row>
    <row r="1329" ht="22.5" hidden="1" customHeight="1">
      <c r="A1329" s="4" t="s">
        <v>11</v>
      </c>
      <c r="B1329" s="5">
        <v>46097.86554892361</v>
      </c>
      <c r="C1329" s="6"/>
      <c r="D1329" s="4">
        <v>18.41</v>
      </c>
    </row>
    <row r="1330" ht="22.5" hidden="1" customHeight="1">
      <c r="A1330" s="4" t="s">
        <v>11</v>
      </c>
      <c r="B1330" s="5">
        <v>46097.86760658565</v>
      </c>
      <c r="C1330" s="6"/>
      <c r="D1330" s="4">
        <v>18.44</v>
      </c>
    </row>
    <row r="1331" ht="22.5" hidden="1" customHeight="1">
      <c r="A1331" s="4" t="s">
        <v>11</v>
      </c>
      <c r="B1331" s="5">
        <v>46097.88267608796</v>
      </c>
      <c r="C1331" s="6"/>
      <c r="D1331" s="4">
        <v>18.85</v>
      </c>
    </row>
    <row r="1332" ht="22.5" hidden="1" customHeight="1">
      <c r="A1332" s="4" t="s">
        <v>11</v>
      </c>
      <c r="B1332" s="5">
        <v>46097.89774787037</v>
      </c>
      <c r="C1332" s="6"/>
      <c r="D1332" s="4">
        <v>19.14</v>
      </c>
    </row>
    <row r="1333" ht="22.5" hidden="1" customHeight="1">
      <c r="A1333" s="4" t="s">
        <v>11</v>
      </c>
      <c r="B1333" s="5">
        <v>46097.89912001157</v>
      </c>
      <c r="C1333" s="6"/>
      <c r="D1333" s="4">
        <v>19.17</v>
      </c>
    </row>
    <row r="1334" ht="22.5" hidden="1" customHeight="1">
      <c r="A1334" s="4" t="s">
        <v>11</v>
      </c>
      <c r="B1334" s="5">
        <v>46097.90117706019</v>
      </c>
      <c r="C1334" s="6"/>
      <c r="D1334" s="4">
        <v>19.19</v>
      </c>
    </row>
    <row r="1335" ht="22.5" hidden="1" customHeight="1">
      <c r="A1335" s="4" t="s">
        <v>11</v>
      </c>
      <c r="B1335" s="5">
        <v>46097.903230497686</v>
      </c>
      <c r="C1335" s="6"/>
      <c r="D1335" s="4">
        <v>19.21</v>
      </c>
    </row>
    <row r="1336" ht="22.5" hidden="1" customHeight="1">
      <c r="A1336" s="4" t="s">
        <v>11</v>
      </c>
      <c r="B1336" s="5">
        <v>46097.90939458333</v>
      </c>
      <c r="C1336" s="6"/>
      <c r="D1336" s="4">
        <v>19.33</v>
      </c>
    </row>
    <row r="1337" ht="22.5" hidden="1" customHeight="1">
      <c r="A1337" s="4" t="s">
        <v>11</v>
      </c>
      <c r="B1337" s="5">
        <v>46097.91213511574</v>
      </c>
      <c r="C1337" s="6"/>
      <c r="D1337" s="4">
        <v>19.35</v>
      </c>
    </row>
    <row r="1338" ht="22.5" hidden="1" customHeight="1">
      <c r="A1338" s="4" t="s">
        <v>11</v>
      </c>
      <c r="B1338" s="5">
        <v>46097.91556262731</v>
      </c>
      <c r="C1338" s="6"/>
      <c r="D1338" s="4">
        <v>19.39</v>
      </c>
    </row>
    <row r="1339" ht="22.5" hidden="1" customHeight="1">
      <c r="A1339" s="4" t="s">
        <v>11</v>
      </c>
      <c r="B1339" s="5">
        <v>46097.91624912037</v>
      </c>
      <c r="C1339" s="6"/>
      <c r="D1339" s="4">
        <v>19.41</v>
      </c>
    </row>
    <row r="1340" ht="22.5" hidden="1" customHeight="1">
      <c r="A1340" s="4" t="s">
        <v>11</v>
      </c>
      <c r="B1340" s="5">
        <v>46097.91898592593</v>
      </c>
      <c r="C1340" s="6"/>
      <c r="D1340" s="4">
        <v>19.43</v>
      </c>
    </row>
    <row r="1341" ht="22.5" hidden="1" customHeight="1">
      <c r="A1341" s="4" t="s">
        <v>11</v>
      </c>
      <c r="B1341" s="5">
        <v>46097.9203571875</v>
      </c>
      <c r="C1341" s="6"/>
      <c r="D1341" s="4">
        <v>19.46</v>
      </c>
    </row>
    <row r="1342" ht="22.5" hidden="1" customHeight="1">
      <c r="A1342" s="4" t="s">
        <v>11</v>
      </c>
      <c r="B1342" s="5">
        <v>46097.92720918982</v>
      </c>
      <c r="C1342" s="6"/>
      <c r="D1342" s="4">
        <v>19.54</v>
      </c>
    </row>
    <row r="1343" ht="22.5" hidden="1" customHeight="1">
      <c r="A1343" s="4" t="s">
        <v>11</v>
      </c>
      <c r="B1343" s="5">
        <v>46097.94913288194</v>
      </c>
      <c r="C1343" s="6"/>
      <c r="D1343" s="4">
        <v>19.76</v>
      </c>
    </row>
    <row r="1344" ht="22.5" hidden="1" customHeight="1">
      <c r="A1344" s="4" t="s">
        <v>11</v>
      </c>
      <c r="B1344" s="5">
        <v>46097.95393043981</v>
      </c>
      <c r="C1344" s="6"/>
      <c r="D1344" s="4">
        <v>19.78</v>
      </c>
    </row>
    <row r="1345" ht="22.5" hidden="1" customHeight="1">
      <c r="A1345" s="4" t="s">
        <v>11</v>
      </c>
      <c r="B1345" s="5">
        <v>46097.95461554398</v>
      </c>
      <c r="C1345" s="6"/>
      <c r="D1345" s="4">
        <v>19.81</v>
      </c>
    </row>
    <row r="1346" ht="22.5" hidden="1" customHeight="1">
      <c r="A1346" s="4" t="s">
        <v>11</v>
      </c>
      <c r="B1346" s="5">
        <v>46097.95598377315</v>
      </c>
      <c r="C1346" s="6"/>
      <c r="D1346" s="4">
        <v>19.78</v>
      </c>
    </row>
    <row r="1347" ht="22.5" hidden="1" customHeight="1">
      <c r="A1347" s="4" t="s">
        <v>11</v>
      </c>
      <c r="B1347" s="5">
        <v>46097.95803729167</v>
      </c>
      <c r="C1347" s="6"/>
      <c r="D1347" s="4">
        <v>19.81</v>
      </c>
    </row>
    <row r="1348" ht="22.5" hidden="1" customHeight="1">
      <c r="A1348" s="4" t="s">
        <v>11</v>
      </c>
      <c r="B1348" s="5">
        <v>46097.95872244213</v>
      </c>
      <c r="C1348" s="6"/>
      <c r="D1348" s="4">
        <v>19.84</v>
      </c>
    </row>
    <row r="1349" ht="22.5" hidden="1" customHeight="1">
      <c r="A1349" s="4" t="s">
        <v>11</v>
      </c>
      <c r="B1349" s="5">
        <v>46097.96488828704</v>
      </c>
      <c r="C1349" s="6"/>
      <c r="D1349" s="4">
        <v>19.86</v>
      </c>
    </row>
    <row r="1350" ht="22.5" hidden="1" customHeight="1">
      <c r="A1350" s="4" t="s">
        <v>11</v>
      </c>
      <c r="B1350" s="5">
        <v>46097.96831384259</v>
      </c>
      <c r="C1350" s="6"/>
      <c r="D1350" s="4">
        <v>19.89</v>
      </c>
    </row>
    <row r="1351" ht="22.5" hidden="1" customHeight="1">
      <c r="A1351" s="4" t="s">
        <v>11</v>
      </c>
      <c r="B1351" s="5">
        <v>46097.97173931713</v>
      </c>
      <c r="C1351" s="6"/>
      <c r="D1351" s="4">
        <v>19.92</v>
      </c>
    </row>
    <row r="1352" ht="22.5" hidden="1" customHeight="1">
      <c r="A1352" s="4" t="s">
        <v>11</v>
      </c>
      <c r="B1352" s="5">
        <v>46097.97447959491</v>
      </c>
      <c r="C1352" s="6"/>
      <c r="D1352" s="4">
        <v>19.94</v>
      </c>
    </row>
    <row r="1353" ht="22.5" hidden="1" customHeight="1">
      <c r="A1353" s="4" t="s">
        <v>11</v>
      </c>
      <c r="B1353" s="5">
        <v>46097.98886670139</v>
      </c>
      <c r="C1353" s="6"/>
      <c r="D1353" s="4">
        <v>19.96</v>
      </c>
    </row>
    <row r="1354" ht="22.5" hidden="1" customHeight="1">
      <c r="A1354" s="4" t="s">
        <v>11</v>
      </c>
      <c r="B1354" s="5">
        <v>46097.995034293985</v>
      </c>
      <c r="C1354" s="6"/>
      <c r="D1354" s="4">
        <v>20.0</v>
      </c>
    </row>
    <row r="1355" ht="22.5" hidden="1" customHeight="1">
      <c r="A1355" s="4" t="s">
        <v>11</v>
      </c>
      <c r="B1355" s="5">
        <v>46097.99571928241</v>
      </c>
      <c r="C1355" s="6"/>
      <c r="D1355" s="4">
        <v>19.96</v>
      </c>
    </row>
    <row r="1356" ht="22.5" hidden="1" customHeight="1">
      <c r="A1356" s="4" t="s">
        <v>11</v>
      </c>
      <c r="B1356" s="5">
        <v>46097.99777275463</v>
      </c>
      <c r="C1356" s="6"/>
      <c r="D1356" s="4">
        <v>20.0</v>
      </c>
    </row>
    <row r="1357" ht="22.5" hidden="1" customHeight="1">
      <c r="A1357" s="4" t="s">
        <v>11</v>
      </c>
      <c r="B1357" s="5">
        <v>46097.9984578588</v>
      </c>
      <c r="C1357" s="6"/>
      <c r="D1357" s="4">
        <v>19.96</v>
      </c>
    </row>
    <row r="1358" ht="22.5" hidden="1" customHeight="1">
      <c r="A1358" s="4" t="s">
        <v>11</v>
      </c>
      <c r="B1358" s="5">
        <v>46098.00256829861</v>
      </c>
      <c r="C1358" s="6"/>
      <c r="D1358" s="4">
        <v>20.0</v>
      </c>
    </row>
    <row r="1359" ht="22.5" hidden="1" customHeight="1">
      <c r="A1359" s="4" t="s">
        <v>11</v>
      </c>
      <c r="B1359" s="5">
        <v>46098.01421570602</v>
      </c>
      <c r="C1359" s="6"/>
      <c r="D1359" s="4">
        <v>19.96</v>
      </c>
    </row>
    <row r="1360" ht="22.5" hidden="1" customHeight="1">
      <c r="A1360" s="4" t="s">
        <v>11</v>
      </c>
      <c r="B1360" s="5">
        <v>46098.01626899306</v>
      </c>
      <c r="C1360" s="6"/>
      <c r="D1360" s="4">
        <v>20.0</v>
      </c>
    </row>
    <row r="1361" ht="22.5" hidden="1" customHeight="1">
      <c r="A1361" s="4" t="s">
        <v>11</v>
      </c>
      <c r="B1361" s="5">
        <v>46098.01833126158</v>
      </c>
      <c r="C1361" s="6"/>
      <c r="D1361" s="4">
        <v>19.96</v>
      </c>
    </row>
    <row r="1362" ht="22.5" hidden="1" customHeight="1">
      <c r="A1362" s="4" t="s">
        <v>11</v>
      </c>
      <c r="B1362" s="5">
        <v>46098.02106409722</v>
      </c>
      <c r="C1362" s="6"/>
      <c r="D1362" s="4">
        <v>20.0</v>
      </c>
    </row>
    <row r="1363" ht="22.5" hidden="1" customHeight="1">
      <c r="A1363" s="4" t="s">
        <v>11</v>
      </c>
      <c r="B1363" s="5">
        <v>46098.0224340162</v>
      </c>
      <c r="C1363" s="6"/>
      <c r="D1363" s="4">
        <v>19.96</v>
      </c>
    </row>
    <row r="1364" ht="22.5" hidden="1" customHeight="1">
      <c r="A1364" s="4" t="s">
        <v>11</v>
      </c>
      <c r="B1364" s="5">
        <v>46098.035448993054</v>
      </c>
      <c r="C1364" s="6"/>
      <c r="D1364" s="4">
        <v>19.94</v>
      </c>
    </row>
    <row r="1365" ht="22.5" hidden="1" customHeight="1">
      <c r="A1365" s="4" t="s">
        <v>11</v>
      </c>
      <c r="B1365" s="5">
        <v>46098.051203020834</v>
      </c>
      <c r="C1365" s="6"/>
      <c r="D1365" s="4">
        <v>19.86</v>
      </c>
    </row>
    <row r="1366" ht="22.5" hidden="1" customHeight="1">
      <c r="A1366" s="4" t="s">
        <v>11</v>
      </c>
      <c r="B1366" s="5">
        <v>46098.051887974536</v>
      </c>
      <c r="C1366" s="6"/>
      <c r="D1366" s="4">
        <v>19.89</v>
      </c>
    </row>
    <row r="1367" ht="22.5" hidden="1" customHeight="1">
      <c r="A1367" s="4" t="s">
        <v>11</v>
      </c>
      <c r="B1367" s="5">
        <v>46098.05257295139</v>
      </c>
      <c r="C1367" s="6"/>
      <c r="D1367" s="4">
        <v>19.86</v>
      </c>
    </row>
    <row r="1368" ht="22.5" hidden="1" customHeight="1">
      <c r="A1368" s="4" t="s">
        <v>11</v>
      </c>
      <c r="B1368" s="5">
        <v>46098.062161747686</v>
      </c>
      <c r="C1368" s="6"/>
      <c r="D1368" s="4">
        <v>19.84</v>
      </c>
    </row>
    <row r="1369" ht="22.5" hidden="1" customHeight="1">
      <c r="A1369" s="4" t="s">
        <v>11</v>
      </c>
      <c r="B1369" s="5">
        <v>46098.06284665509</v>
      </c>
      <c r="C1369" s="6"/>
      <c r="D1369" s="4">
        <v>19.81</v>
      </c>
    </row>
    <row r="1370" ht="22.5" hidden="1" customHeight="1">
      <c r="A1370" s="4" t="s">
        <v>11</v>
      </c>
      <c r="B1370" s="5">
        <v>46098.0669578588</v>
      </c>
      <c r="C1370" s="6"/>
      <c r="D1370" s="4">
        <v>19.78</v>
      </c>
    </row>
    <row r="1371" ht="22.5" hidden="1" customHeight="1">
      <c r="A1371" s="4" t="s">
        <v>11</v>
      </c>
      <c r="B1371" s="5">
        <v>46098.06764084491</v>
      </c>
      <c r="C1371" s="6"/>
      <c r="D1371" s="4">
        <v>19.81</v>
      </c>
    </row>
    <row r="1372" ht="22.5" hidden="1" customHeight="1">
      <c r="A1372" s="4" t="s">
        <v>11</v>
      </c>
      <c r="B1372" s="5">
        <v>46098.06832575231</v>
      </c>
      <c r="C1372" s="6"/>
      <c r="D1372" s="4">
        <v>19.78</v>
      </c>
    </row>
    <row r="1373" ht="22.5" hidden="1" customHeight="1">
      <c r="A1373" s="4" t="s">
        <v>11</v>
      </c>
      <c r="B1373" s="5">
        <v>46098.07654429398</v>
      </c>
      <c r="C1373" s="6"/>
      <c r="D1373" s="4">
        <v>19.76</v>
      </c>
    </row>
    <row r="1374" ht="22.5" hidden="1" customHeight="1">
      <c r="A1374" s="4" t="s">
        <v>11</v>
      </c>
      <c r="B1374" s="5">
        <v>46098.07722900463</v>
      </c>
      <c r="C1374" s="6"/>
      <c r="D1374" s="4">
        <v>19.73</v>
      </c>
    </row>
    <row r="1375" ht="22.5" hidden="1" customHeight="1">
      <c r="A1375" s="4" t="s">
        <v>11</v>
      </c>
      <c r="B1375" s="5">
        <v>46098.08544737269</v>
      </c>
      <c r="C1375" s="6"/>
      <c r="D1375" s="4">
        <v>19.7</v>
      </c>
    </row>
    <row r="1376" ht="22.5" hidden="1" customHeight="1">
      <c r="A1376" s="4" t="s">
        <v>11</v>
      </c>
      <c r="B1376" s="5">
        <v>46098.09229570602</v>
      </c>
      <c r="C1376" s="6"/>
      <c r="D1376" s="4">
        <v>19.68</v>
      </c>
    </row>
    <row r="1377" ht="22.5" hidden="1" customHeight="1">
      <c r="A1377" s="4" t="s">
        <v>11</v>
      </c>
      <c r="B1377" s="5">
        <v>46098.093665775465</v>
      </c>
      <c r="C1377" s="6"/>
      <c r="D1377" s="4">
        <v>19.65</v>
      </c>
    </row>
    <row r="1378" ht="22.5" hidden="1" customHeight="1">
      <c r="A1378" s="4" t="s">
        <v>11</v>
      </c>
      <c r="B1378" s="5">
        <v>46098.10119840278</v>
      </c>
      <c r="C1378" s="6"/>
      <c r="D1378" s="4">
        <v>19.62</v>
      </c>
    </row>
    <row r="1379" ht="22.5" hidden="1" customHeight="1">
      <c r="A1379" s="4" t="s">
        <v>11</v>
      </c>
      <c r="B1379" s="5">
        <v>46098.108731493056</v>
      </c>
      <c r="C1379" s="6"/>
      <c r="D1379" s="4">
        <v>19.54</v>
      </c>
    </row>
    <row r="1380" ht="22.5" hidden="1" customHeight="1">
      <c r="A1380" s="4" t="s">
        <v>11</v>
      </c>
      <c r="B1380" s="5">
        <v>46098.10942064815</v>
      </c>
      <c r="C1380" s="6"/>
      <c r="D1380" s="4">
        <v>19.57</v>
      </c>
    </row>
    <row r="1381" ht="22.5" hidden="1" customHeight="1">
      <c r="A1381" s="4" t="s">
        <v>11</v>
      </c>
      <c r="B1381" s="5">
        <v>46098.11694903935</v>
      </c>
      <c r="C1381" s="6"/>
      <c r="D1381" s="4">
        <v>19.52</v>
      </c>
    </row>
    <row r="1382" ht="22.5" hidden="1" customHeight="1">
      <c r="A1382" s="4" t="s">
        <v>11</v>
      </c>
      <c r="B1382" s="5">
        <v>46098.122427222224</v>
      </c>
      <c r="C1382" s="6"/>
      <c r="D1382" s="4">
        <v>19.49</v>
      </c>
    </row>
    <row r="1383" ht="22.5" hidden="1" customHeight="1">
      <c r="A1383" s="4" t="s">
        <v>11</v>
      </c>
      <c r="B1383" s="5">
        <v>46098.12448157407</v>
      </c>
      <c r="C1383" s="6"/>
      <c r="D1383" s="4">
        <v>19.46</v>
      </c>
    </row>
    <row r="1384" ht="22.5" hidden="1" customHeight="1">
      <c r="A1384" s="4" t="s">
        <v>11</v>
      </c>
      <c r="B1384" s="5">
        <v>46098.12790548611</v>
      </c>
      <c r="C1384" s="6"/>
      <c r="D1384" s="4">
        <v>19.43</v>
      </c>
    </row>
    <row r="1385" ht="22.5" hidden="1" customHeight="1">
      <c r="A1385" s="4" t="s">
        <v>11</v>
      </c>
      <c r="B1385" s="5">
        <v>46098.13201408565</v>
      </c>
      <c r="C1385" s="6"/>
      <c r="D1385" s="4">
        <v>19.41</v>
      </c>
    </row>
    <row r="1386" ht="22.5" hidden="1" customHeight="1">
      <c r="A1386" s="4" t="s">
        <v>11</v>
      </c>
      <c r="B1386" s="5">
        <v>46098.13680748842</v>
      </c>
      <c r="C1386" s="6"/>
      <c r="D1386" s="4">
        <v>19.39</v>
      </c>
    </row>
    <row r="1387" ht="22.5" hidden="1" customHeight="1">
      <c r="A1387" s="4" t="s">
        <v>11</v>
      </c>
      <c r="B1387" s="5">
        <v>46098.13817684028</v>
      </c>
      <c r="C1387" s="6"/>
      <c r="D1387" s="4">
        <v>19.41</v>
      </c>
    </row>
    <row r="1388" ht="22.5" hidden="1" customHeight="1">
      <c r="A1388" s="4" t="s">
        <v>11</v>
      </c>
      <c r="B1388" s="5">
        <v>46098.1518715162</v>
      </c>
      <c r="C1388" s="6"/>
      <c r="D1388" s="4">
        <v>19.29</v>
      </c>
    </row>
    <row r="1389" ht="22.5" hidden="1" customHeight="1">
      <c r="A1389" s="4" t="s">
        <v>11</v>
      </c>
      <c r="B1389" s="5">
        <v>46098.15597960648</v>
      </c>
      <c r="C1389" s="6"/>
      <c r="D1389" s="4">
        <v>19.27</v>
      </c>
    </row>
    <row r="1390" ht="22.5" hidden="1" customHeight="1">
      <c r="A1390" s="4" t="s">
        <v>11</v>
      </c>
      <c r="B1390" s="5">
        <v>46098.158718541665</v>
      </c>
      <c r="C1390" s="6"/>
      <c r="D1390" s="4">
        <v>19.25</v>
      </c>
    </row>
    <row r="1391" ht="22.5" hidden="1" customHeight="1">
      <c r="A1391" s="4" t="s">
        <v>11</v>
      </c>
      <c r="B1391" s="5">
        <v>46098.15940505787</v>
      </c>
      <c r="C1391" s="6"/>
      <c r="D1391" s="4">
        <v>19.27</v>
      </c>
    </row>
    <row r="1392" ht="22.5" hidden="1" customHeight="1">
      <c r="A1392" s="4" t="s">
        <v>11</v>
      </c>
      <c r="B1392" s="5">
        <v>46098.16008793982</v>
      </c>
      <c r="C1392" s="6"/>
      <c r="D1392" s="4">
        <v>19.25</v>
      </c>
    </row>
    <row r="1393" ht="22.5" hidden="1" customHeight="1">
      <c r="A1393" s="4" t="s">
        <v>11</v>
      </c>
      <c r="B1393" s="5">
        <v>46098.168988784724</v>
      </c>
      <c r="C1393" s="6"/>
      <c r="D1393" s="4">
        <v>19.19</v>
      </c>
    </row>
    <row r="1394" ht="22.5" hidden="1" customHeight="1">
      <c r="A1394" s="4" t="s">
        <v>11</v>
      </c>
      <c r="B1394" s="5">
        <v>46098.17583555556</v>
      </c>
      <c r="C1394" s="6"/>
      <c r="D1394" s="4">
        <v>19.17</v>
      </c>
    </row>
    <row r="1395" ht="22.5" hidden="1" customHeight="1">
      <c r="A1395" s="4" t="s">
        <v>11</v>
      </c>
      <c r="B1395" s="5">
        <v>46098.1772068287</v>
      </c>
      <c r="C1395" s="6"/>
      <c r="D1395" s="4">
        <v>19.14</v>
      </c>
    </row>
    <row r="1396" ht="22.5" hidden="1" customHeight="1">
      <c r="A1396" s="4" t="s">
        <v>11</v>
      </c>
      <c r="B1396" s="5">
        <v>46098.18199774306</v>
      </c>
      <c r="C1396" s="6"/>
      <c r="D1396" s="4">
        <v>19.11</v>
      </c>
    </row>
    <row r="1397" ht="22.5" hidden="1" customHeight="1">
      <c r="A1397" s="4" t="s">
        <v>11</v>
      </c>
      <c r="B1397" s="5">
        <v>46098.1888496875</v>
      </c>
      <c r="C1397" s="6"/>
      <c r="D1397" s="4">
        <v>19.09</v>
      </c>
    </row>
    <row r="1398" ht="22.5" hidden="1" customHeight="1">
      <c r="A1398" s="4" t="s">
        <v>11</v>
      </c>
      <c r="B1398" s="5">
        <v>46098.18953069444</v>
      </c>
      <c r="C1398" s="6"/>
      <c r="D1398" s="4">
        <v>19.11</v>
      </c>
    </row>
    <row r="1399" ht="22.5" hidden="1" customHeight="1">
      <c r="A1399" s="4" t="s">
        <v>11</v>
      </c>
      <c r="B1399" s="5">
        <v>46098.19021363426</v>
      </c>
      <c r="C1399" s="6"/>
      <c r="D1399" s="4">
        <v>19.09</v>
      </c>
    </row>
    <row r="1400" ht="22.5" hidden="1" customHeight="1">
      <c r="A1400" s="4" t="s">
        <v>11</v>
      </c>
      <c r="B1400" s="5">
        <v>46098.19089814815</v>
      </c>
      <c r="C1400" s="6"/>
      <c r="D1400" s="4">
        <v>19.11</v>
      </c>
    </row>
    <row r="1401" ht="22.5" hidden="1" customHeight="1">
      <c r="A1401" s="4" t="s">
        <v>11</v>
      </c>
      <c r="B1401" s="5">
        <v>46098.19158460648</v>
      </c>
      <c r="C1401" s="6"/>
      <c r="D1401" s="4">
        <v>19.09</v>
      </c>
    </row>
    <row r="1402" ht="22.5" hidden="1" customHeight="1">
      <c r="A1402" s="4" t="s">
        <v>11</v>
      </c>
      <c r="B1402" s="5">
        <v>46098.20459082176</v>
      </c>
      <c r="C1402" s="6"/>
      <c r="D1402" s="4">
        <v>19.01</v>
      </c>
    </row>
    <row r="1403" ht="22.5" hidden="1" customHeight="1">
      <c r="A1403" s="4" t="s">
        <v>11</v>
      </c>
      <c r="B1403" s="5">
        <v>46098.206644756945</v>
      </c>
      <c r="C1403" s="6"/>
      <c r="D1403" s="4">
        <v>18.98</v>
      </c>
    </row>
    <row r="1404" ht="22.5" hidden="1" customHeight="1">
      <c r="A1404" s="4" t="s">
        <v>11</v>
      </c>
      <c r="B1404" s="5">
        <v>46098.212123495374</v>
      </c>
      <c r="C1404" s="6"/>
      <c r="D1404" s="4">
        <v>18.94</v>
      </c>
    </row>
    <row r="1405" ht="22.5" hidden="1" customHeight="1">
      <c r="A1405" s="4" t="s">
        <v>11</v>
      </c>
      <c r="B1405" s="5">
        <v>46098.225813969904</v>
      </c>
      <c r="C1405" s="6"/>
      <c r="D1405" s="4">
        <v>18.9</v>
      </c>
    </row>
    <row r="1406" ht="22.5" hidden="1" customHeight="1">
      <c r="A1406" s="4" t="s">
        <v>11</v>
      </c>
      <c r="B1406" s="5">
        <v>46098.227183159725</v>
      </c>
      <c r="C1406" s="6"/>
      <c r="D1406" s="4">
        <v>18.86</v>
      </c>
    </row>
    <row r="1407" ht="22.5" hidden="1" customHeight="1">
      <c r="A1407" s="4" t="s">
        <v>11</v>
      </c>
      <c r="B1407" s="5">
        <v>46098.254566875</v>
      </c>
      <c r="C1407" s="6"/>
      <c r="D1407" s="4">
        <v>18.77</v>
      </c>
    </row>
    <row r="1408" ht="22.5" hidden="1" customHeight="1">
      <c r="A1408" s="4" t="s">
        <v>11</v>
      </c>
      <c r="B1408" s="5">
        <v>46098.264150497685</v>
      </c>
      <c r="C1408" s="6"/>
      <c r="D1408" s="4">
        <v>18.7</v>
      </c>
    </row>
    <row r="1409" ht="22.5" hidden="1" customHeight="1">
      <c r="A1409" s="4" t="s">
        <v>11</v>
      </c>
      <c r="B1409" s="5">
        <v>46098.264835092596</v>
      </c>
      <c r="C1409" s="6"/>
      <c r="D1409" s="4">
        <v>18.68</v>
      </c>
    </row>
    <row r="1410" ht="22.5" hidden="1" customHeight="1">
      <c r="A1410" s="4" t="s">
        <v>11</v>
      </c>
      <c r="B1410" s="5">
        <v>46098.26757509259</v>
      </c>
      <c r="C1410" s="6"/>
      <c r="D1410" s="4">
        <v>18.7</v>
      </c>
    </row>
    <row r="1411" ht="22.5" hidden="1" customHeight="1">
      <c r="A1411" s="4" t="s">
        <v>11</v>
      </c>
      <c r="B1411" s="5">
        <v>46098.27304958333</v>
      </c>
      <c r="C1411" s="6"/>
      <c r="D1411" s="4">
        <v>18.66</v>
      </c>
    </row>
    <row r="1412" ht="22.5" hidden="1" customHeight="1">
      <c r="A1412" s="4" t="s">
        <v>11</v>
      </c>
      <c r="B1412" s="5">
        <v>46098.2874246875</v>
      </c>
      <c r="C1412" s="6"/>
      <c r="D1412" s="4">
        <v>18.6</v>
      </c>
    </row>
    <row r="1413" ht="22.5" hidden="1" customHeight="1">
      <c r="A1413" s="4" t="s">
        <v>11</v>
      </c>
      <c r="B1413" s="5">
        <v>46098.29221640046</v>
      </c>
      <c r="C1413" s="6"/>
      <c r="D1413" s="4">
        <v>18.58</v>
      </c>
    </row>
    <row r="1414" ht="22.5" hidden="1" customHeight="1">
      <c r="A1414" s="4" t="s">
        <v>11</v>
      </c>
      <c r="B1414" s="5">
        <v>46098.29974644676</v>
      </c>
      <c r="C1414" s="6"/>
      <c r="D1414" s="4">
        <v>18.54</v>
      </c>
    </row>
    <row r="1415" ht="22.5" hidden="1" customHeight="1">
      <c r="A1415" s="4" t="s">
        <v>11</v>
      </c>
      <c r="B1415" s="5">
        <v>46098.33534831018</v>
      </c>
      <c r="C1415" s="6"/>
      <c r="D1415" s="4">
        <v>18.58</v>
      </c>
    </row>
    <row r="1416" ht="22.5" hidden="1" customHeight="1">
      <c r="A1416" s="4" t="s">
        <v>11</v>
      </c>
      <c r="B1416" s="5">
        <v>46098.33602927083</v>
      </c>
      <c r="C1416" s="6"/>
      <c r="D1416" s="4">
        <v>18.54</v>
      </c>
    </row>
    <row r="1417" ht="22.5" hidden="1" customHeight="1">
      <c r="A1417" s="4" t="s">
        <v>11</v>
      </c>
      <c r="B1417" s="5">
        <v>46098.33671553241</v>
      </c>
      <c r="C1417" s="6"/>
      <c r="D1417" s="4">
        <v>18.58</v>
      </c>
    </row>
    <row r="1418" ht="22.5" hidden="1" customHeight="1">
      <c r="A1418" s="4" t="s">
        <v>11</v>
      </c>
      <c r="B1418" s="5">
        <v>46098.35725289352</v>
      </c>
      <c r="C1418" s="6"/>
      <c r="D1418" s="4">
        <v>18.6</v>
      </c>
    </row>
    <row r="1419" ht="22.5" hidden="1" customHeight="1">
      <c r="A1419" s="4" t="s">
        <v>11</v>
      </c>
      <c r="B1419" s="5">
        <v>46098.363417002314</v>
      </c>
      <c r="C1419" s="6"/>
      <c r="D1419" s="4">
        <v>18.62</v>
      </c>
    </row>
    <row r="1420" ht="22.5" hidden="1" customHeight="1">
      <c r="A1420" s="4" t="s">
        <v>11</v>
      </c>
      <c r="B1420" s="5">
        <v>46098.36478456019</v>
      </c>
      <c r="C1420" s="6"/>
      <c r="D1420" s="4">
        <v>18.6</v>
      </c>
    </row>
    <row r="1421" ht="22.5" hidden="1" customHeight="1">
      <c r="A1421" s="4" t="s">
        <v>11</v>
      </c>
      <c r="B1421" s="5">
        <v>46098.36683684028</v>
      </c>
      <c r="C1421" s="6"/>
      <c r="D1421" s="4">
        <v>18.62</v>
      </c>
    </row>
    <row r="1422" ht="22.5" hidden="1" customHeight="1">
      <c r="A1422" s="4" t="s">
        <v>11</v>
      </c>
      <c r="B1422" s="5">
        <v>46098.37094650463</v>
      </c>
      <c r="C1422" s="6"/>
      <c r="D1422" s="4">
        <v>18.66</v>
      </c>
    </row>
    <row r="1423" ht="22.5" hidden="1" customHeight="1">
      <c r="A1423" s="4" t="s">
        <v>11</v>
      </c>
      <c r="B1423" s="5">
        <v>46098.38189984953</v>
      </c>
      <c r="C1423" s="6"/>
      <c r="D1423" s="4">
        <v>18.68</v>
      </c>
    </row>
    <row r="1424" ht="22.5" hidden="1" customHeight="1">
      <c r="A1424" s="4" t="s">
        <v>11</v>
      </c>
      <c r="B1424" s="5">
        <v>46098.3887465625</v>
      </c>
      <c r="C1424" s="6"/>
      <c r="D1424" s="4">
        <v>18.7</v>
      </c>
    </row>
    <row r="1425" ht="22.5" hidden="1" customHeight="1">
      <c r="A1425" s="4" t="s">
        <v>11</v>
      </c>
      <c r="B1425" s="5">
        <v>46098.38943310185</v>
      </c>
      <c r="C1425" s="6"/>
      <c r="D1425" s="4">
        <v>18.68</v>
      </c>
    </row>
    <row r="1426" ht="22.5" hidden="1" customHeight="1">
      <c r="A1426" s="4" t="s">
        <v>11</v>
      </c>
      <c r="B1426" s="5">
        <v>46098.391485671295</v>
      </c>
      <c r="C1426" s="6"/>
      <c r="D1426" s="4">
        <v>18.7</v>
      </c>
    </row>
    <row r="1427" ht="22.5" hidden="1" customHeight="1">
      <c r="A1427" s="4" t="s">
        <v>11</v>
      </c>
      <c r="B1427" s="5">
        <v>46098.39422967593</v>
      </c>
      <c r="C1427" s="6"/>
      <c r="D1427" s="4">
        <v>18.74</v>
      </c>
    </row>
    <row r="1428" ht="22.5" hidden="1" customHeight="1">
      <c r="A1428" s="4" t="s">
        <v>11</v>
      </c>
      <c r="B1428" s="5">
        <v>46098.411344594904</v>
      </c>
      <c r="C1428" s="6"/>
      <c r="D1428" s="4">
        <v>18.78</v>
      </c>
    </row>
    <row r="1429" ht="22.5" hidden="1" customHeight="1">
      <c r="A1429" s="4" t="s">
        <v>11</v>
      </c>
      <c r="B1429" s="5">
        <v>46098.41613974537</v>
      </c>
      <c r="C1429" s="6"/>
      <c r="D1429" s="4">
        <v>18.82</v>
      </c>
    </row>
    <row r="1430" ht="22.5" hidden="1" customHeight="1">
      <c r="A1430" s="4" t="s">
        <v>11</v>
      </c>
      <c r="B1430" s="5">
        <v>46098.42503950231</v>
      </c>
      <c r="C1430" s="6"/>
      <c r="D1430" s="4">
        <v>18.86</v>
      </c>
    </row>
    <row r="1431" ht="22.5" hidden="1" customHeight="1">
      <c r="A1431" s="4" t="s">
        <v>11</v>
      </c>
      <c r="B1431" s="5">
        <v>46098.43188546296</v>
      </c>
      <c r="C1431" s="6"/>
      <c r="D1431" s="4">
        <v>18.9</v>
      </c>
    </row>
    <row r="1432" ht="22.5" hidden="1" customHeight="1">
      <c r="A1432" s="4" t="s">
        <v>11</v>
      </c>
      <c r="B1432" s="5">
        <v>46098.43736549769</v>
      </c>
      <c r="C1432" s="6"/>
      <c r="D1432" s="4">
        <v>18.93</v>
      </c>
    </row>
    <row r="1433" ht="22.5" hidden="1" customHeight="1">
      <c r="A1433" s="4" t="s">
        <v>11</v>
      </c>
      <c r="B1433" s="5">
        <v>46098.44352702546</v>
      </c>
      <c r="C1433" s="6"/>
      <c r="D1433" s="4">
        <v>18.94</v>
      </c>
    </row>
    <row r="1434" ht="22.5" hidden="1" customHeight="1">
      <c r="A1434" s="4" t="s">
        <v>11</v>
      </c>
      <c r="B1434" s="5">
        <v>46098.44490200232</v>
      </c>
      <c r="C1434" s="6"/>
      <c r="D1434" s="4">
        <v>18.98</v>
      </c>
    </row>
    <row r="1435" ht="22.5" hidden="1" customHeight="1">
      <c r="A1435" s="4" t="s">
        <v>11</v>
      </c>
      <c r="B1435" s="5">
        <v>46098.45243178241</v>
      </c>
      <c r="C1435" s="6"/>
      <c r="D1435" s="4">
        <v>19.01</v>
      </c>
    </row>
    <row r="1436" ht="22.5" hidden="1" customHeight="1">
      <c r="A1436" s="4" t="s">
        <v>11</v>
      </c>
      <c r="B1436" s="5">
        <v>46098.45379931713</v>
      </c>
      <c r="C1436" s="6"/>
      <c r="D1436" s="4">
        <v>18.98</v>
      </c>
    </row>
    <row r="1437" ht="22.5" hidden="1" customHeight="1">
      <c r="A1437" s="4" t="s">
        <v>11</v>
      </c>
      <c r="B1437" s="5">
        <v>46098.45653861111</v>
      </c>
      <c r="C1437" s="6"/>
      <c r="D1437" s="4">
        <v>19.03</v>
      </c>
    </row>
    <row r="1438" ht="22.5" hidden="1" customHeight="1">
      <c r="A1438" s="4" t="s">
        <v>11</v>
      </c>
      <c r="B1438" s="5">
        <v>46098.4579080787</v>
      </c>
      <c r="C1438" s="6"/>
      <c r="D1438" s="4">
        <v>19.06</v>
      </c>
    </row>
    <row r="1439" ht="22.5" hidden="1" customHeight="1">
      <c r="A1439" s="4" t="s">
        <v>11</v>
      </c>
      <c r="B1439" s="5">
        <v>46098.459962569446</v>
      </c>
      <c r="C1439" s="6"/>
      <c r="D1439" s="4">
        <v>19.09</v>
      </c>
    </row>
    <row r="1440" ht="22.5" hidden="1" customHeight="1">
      <c r="A1440" s="4" t="s">
        <v>11</v>
      </c>
      <c r="B1440" s="5">
        <v>46098.47571431713</v>
      </c>
      <c r="C1440" s="6"/>
      <c r="D1440" s="4">
        <v>19.14</v>
      </c>
    </row>
    <row r="1441" ht="22.5" hidden="1" customHeight="1">
      <c r="A1441" s="4" t="s">
        <v>11</v>
      </c>
      <c r="B1441" s="5">
        <v>46098.483249780096</v>
      </c>
      <c r="C1441" s="6"/>
      <c r="D1441" s="4">
        <v>19.19</v>
      </c>
    </row>
    <row r="1442" ht="22.5" hidden="1" customHeight="1">
      <c r="A1442" s="4" t="s">
        <v>11</v>
      </c>
      <c r="B1442" s="5">
        <v>46098.51475420139</v>
      </c>
      <c r="C1442" s="6"/>
      <c r="D1442" s="4">
        <v>19.35</v>
      </c>
    </row>
    <row r="1443" ht="22.5" hidden="1" customHeight="1">
      <c r="A1443" s="4" t="s">
        <v>11</v>
      </c>
      <c r="B1443" s="5">
        <v>46098.5161259375</v>
      </c>
      <c r="C1443" s="6"/>
      <c r="D1443" s="4">
        <v>19.39</v>
      </c>
    </row>
    <row r="1444" ht="22.5" hidden="1" customHeight="1">
      <c r="A1444" s="4" t="s">
        <v>11</v>
      </c>
      <c r="B1444" s="5">
        <v>46098.52228886574</v>
      </c>
      <c r="C1444" s="6"/>
      <c r="D1444" s="4">
        <v>19.41</v>
      </c>
    </row>
    <row r="1445" ht="22.5" hidden="1" customHeight="1">
      <c r="A1445" s="4" t="s">
        <v>11</v>
      </c>
      <c r="B1445" s="5">
        <v>46098.52639871528</v>
      </c>
      <c r="C1445" s="6"/>
      <c r="D1445" s="4">
        <v>19.43</v>
      </c>
    </row>
    <row r="1446" ht="22.5" hidden="1" customHeight="1">
      <c r="A1446" s="4" t="s">
        <v>11</v>
      </c>
      <c r="B1446" s="5">
        <v>46098.53667545139</v>
      </c>
      <c r="C1446" s="6"/>
      <c r="D1446" s="4">
        <v>19.52</v>
      </c>
    </row>
    <row r="1447" ht="22.5" hidden="1" customHeight="1">
      <c r="A1447" s="4" t="s">
        <v>11</v>
      </c>
      <c r="B1447" s="5">
        <v>46098.540785625</v>
      </c>
      <c r="C1447" s="6"/>
      <c r="D1447" s="4">
        <v>19.54</v>
      </c>
    </row>
    <row r="1448" ht="22.5" hidden="1" customHeight="1">
      <c r="A1448" s="4" t="s">
        <v>11</v>
      </c>
      <c r="B1448" s="5">
        <v>46098.544208831016</v>
      </c>
      <c r="C1448" s="6"/>
      <c r="D1448" s="4">
        <v>19.52</v>
      </c>
    </row>
    <row r="1449" ht="22.5" hidden="1" customHeight="1">
      <c r="A1449" s="4" t="s">
        <v>11</v>
      </c>
      <c r="B1449" s="5">
        <v>46098.55038291667</v>
      </c>
      <c r="C1449" s="6"/>
      <c r="D1449" s="4">
        <v>19.57</v>
      </c>
    </row>
    <row r="1450" ht="22.5" hidden="1" customHeight="1">
      <c r="A1450" s="4" t="s">
        <v>11</v>
      </c>
      <c r="B1450" s="5">
        <v>46098.55449083333</v>
      </c>
      <c r="C1450" s="6"/>
      <c r="D1450" s="4">
        <v>19.62</v>
      </c>
    </row>
    <row r="1451" ht="22.5" hidden="1" customHeight="1">
      <c r="A1451" s="4" t="s">
        <v>11</v>
      </c>
      <c r="B1451" s="5">
        <v>46098.5599646412</v>
      </c>
      <c r="C1451" s="6"/>
      <c r="D1451" s="4">
        <v>19.65</v>
      </c>
    </row>
    <row r="1452" ht="22.5" hidden="1" customHeight="1">
      <c r="A1452" s="4" t="s">
        <v>11</v>
      </c>
      <c r="B1452" s="5">
        <v>46098.560651527776</v>
      </c>
      <c r="C1452" s="6"/>
      <c r="D1452" s="4">
        <v>19.68</v>
      </c>
    </row>
    <row r="1453" ht="22.5" hidden="1" customHeight="1">
      <c r="A1453" s="4" t="s">
        <v>11</v>
      </c>
      <c r="B1453" s="5">
        <v>46098.56544518519</v>
      </c>
      <c r="C1453" s="6"/>
      <c r="D1453" s="4">
        <v>19.7</v>
      </c>
    </row>
    <row r="1454" ht="22.5" hidden="1" customHeight="1">
      <c r="A1454" s="4" t="s">
        <v>11</v>
      </c>
      <c r="B1454" s="5">
        <v>46098.56613204861</v>
      </c>
      <c r="C1454" s="6"/>
      <c r="D1454" s="4">
        <v>19.73</v>
      </c>
    </row>
    <row r="1455" ht="22.5" hidden="1" customHeight="1">
      <c r="A1455" s="4" t="s">
        <v>11</v>
      </c>
      <c r="B1455" s="5">
        <v>46098.57229611111</v>
      </c>
      <c r="C1455" s="6"/>
      <c r="D1455" s="4">
        <v>19.76</v>
      </c>
    </row>
    <row r="1456" ht="22.5" hidden="1" customHeight="1">
      <c r="A1456" s="4" t="s">
        <v>11</v>
      </c>
      <c r="B1456" s="5">
        <v>46098.58462916667</v>
      </c>
      <c r="C1456" s="6"/>
      <c r="D1456" s="4">
        <v>19.84</v>
      </c>
    </row>
    <row r="1457" ht="22.5" hidden="1" customHeight="1">
      <c r="A1457" s="4" t="s">
        <v>11</v>
      </c>
      <c r="B1457" s="5">
        <v>46098.58805288195</v>
      </c>
      <c r="C1457" s="6"/>
      <c r="D1457" s="4">
        <v>19.86</v>
      </c>
    </row>
    <row r="1458" ht="22.5" hidden="1" customHeight="1">
      <c r="A1458" s="4" t="s">
        <v>11</v>
      </c>
      <c r="B1458" s="5">
        <v>46098.58873787037</v>
      </c>
      <c r="C1458" s="6"/>
      <c r="D1458" s="4">
        <v>19.84</v>
      </c>
    </row>
    <row r="1459" ht="22.5" hidden="1" customHeight="1">
      <c r="A1459" s="4" t="s">
        <v>11</v>
      </c>
      <c r="B1459" s="5">
        <v>46098.590108055556</v>
      </c>
      <c r="C1459" s="6"/>
      <c r="D1459" s="4">
        <v>19.86</v>
      </c>
    </row>
    <row r="1460" ht="22.5" hidden="1" customHeight="1">
      <c r="A1460" s="4" t="s">
        <v>11</v>
      </c>
      <c r="B1460" s="5">
        <v>46098.59421861111</v>
      </c>
      <c r="C1460" s="6"/>
      <c r="D1460" s="4">
        <v>19.89</v>
      </c>
    </row>
    <row r="1461" ht="22.5" hidden="1" customHeight="1">
      <c r="A1461" s="4" t="s">
        <v>11</v>
      </c>
      <c r="B1461" s="5">
        <v>46098.59490366898</v>
      </c>
      <c r="C1461" s="6"/>
      <c r="D1461" s="4">
        <v>19.92</v>
      </c>
    </row>
    <row r="1462" ht="22.5" hidden="1" customHeight="1">
      <c r="A1462" s="4" t="s">
        <v>11</v>
      </c>
      <c r="B1462" s="5">
        <v>46098.60312719907</v>
      </c>
      <c r="C1462" s="6"/>
      <c r="D1462" s="4">
        <v>19.94</v>
      </c>
    </row>
    <row r="1463" ht="22.5" hidden="1" customHeight="1">
      <c r="A1463" s="4" t="s">
        <v>11</v>
      </c>
      <c r="B1463" s="5">
        <v>46098.605181238425</v>
      </c>
      <c r="C1463" s="6"/>
      <c r="D1463" s="4">
        <v>19.96</v>
      </c>
    </row>
    <row r="1464" ht="22.5" hidden="1" customHeight="1">
      <c r="A1464" s="4" t="s">
        <v>11</v>
      </c>
      <c r="B1464" s="5">
        <v>46098.61408800926</v>
      </c>
      <c r="C1464" s="6"/>
      <c r="D1464" s="4">
        <v>20.0</v>
      </c>
    </row>
    <row r="1465" ht="22.5" hidden="1" customHeight="1">
      <c r="A1465" s="4" t="s">
        <v>11</v>
      </c>
      <c r="B1465" s="5">
        <v>46098.61819850694</v>
      </c>
      <c r="C1465" s="6"/>
      <c r="D1465" s="4">
        <v>20.02</v>
      </c>
    </row>
    <row r="1466" ht="22.5" hidden="1" customHeight="1">
      <c r="A1466" s="4" t="s">
        <v>11</v>
      </c>
      <c r="B1466" s="5">
        <v>46098.622992268516</v>
      </c>
      <c r="C1466" s="6"/>
      <c r="D1466" s="4">
        <v>20.04</v>
      </c>
    </row>
    <row r="1467" ht="22.5" hidden="1" customHeight="1">
      <c r="A1467" s="4" t="s">
        <v>11</v>
      </c>
      <c r="B1467" s="5">
        <v>46098.63258556713</v>
      </c>
      <c r="C1467" s="6"/>
      <c r="D1467" s="4">
        <v>20.08</v>
      </c>
    </row>
    <row r="1468" ht="22.5" hidden="1" customHeight="1">
      <c r="A1468" s="4" t="s">
        <v>11</v>
      </c>
      <c r="B1468" s="5">
        <v>46098.63875006945</v>
      </c>
      <c r="C1468" s="6"/>
      <c r="D1468" s="4">
        <v>20.1</v>
      </c>
    </row>
    <row r="1469" ht="22.5" hidden="1" customHeight="1">
      <c r="A1469" s="4" t="s">
        <v>11</v>
      </c>
      <c r="B1469" s="5">
        <v>46098.64628849537</v>
      </c>
      <c r="C1469" s="6"/>
      <c r="D1469" s="4">
        <v>20.12</v>
      </c>
    </row>
    <row r="1470" ht="22.5" hidden="1" customHeight="1">
      <c r="A1470" s="4" t="s">
        <v>11</v>
      </c>
      <c r="B1470" s="5">
        <v>46098.65176896991</v>
      </c>
      <c r="C1470" s="6"/>
      <c r="D1470" s="4">
        <v>20.16</v>
      </c>
    </row>
    <row r="1471" ht="22.5" hidden="1" customHeight="1">
      <c r="A1471" s="4" t="s">
        <v>11</v>
      </c>
      <c r="B1471" s="5">
        <v>46098.663417881944</v>
      </c>
      <c r="C1471" s="6"/>
      <c r="D1471" s="4">
        <v>20.18</v>
      </c>
    </row>
    <row r="1472" ht="22.5" hidden="1" customHeight="1">
      <c r="A1472" s="4" t="s">
        <v>11</v>
      </c>
      <c r="B1472" s="5">
        <v>46098.668212337965</v>
      </c>
      <c r="C1472" s="6"/>
      <c r="D1472" s="4">
        <v>20.16</v>
      </c>
    </row>
    <row r="1473" ht="22.5" hidden="1" customHeight="1">
      <c r="A1473" s="4" t="s">
        <v>11</v>
      </c>
      <c r="B1473" s="5">
        <v>46098.67711708333</v>
      </c>
      <c r="C1473" s="6"/>
      <c r="D1473" s="4">
        <v>20.18</v>
      </c>
    </row>
    <row r="1474" ht="22.5" hidden="1" customHeight="1">
      <c r="A1474" s="4" t="s">
        <v>11</v>
      </c>
      <c r="B1474" s="5">
        <v>46098.68191489583</v>
      </c>
      <c r="C1474" s="6"/>
      <c r="D1474" s="4">
        <v>20.2</v>
      </c>
    </row>
    <row r="1475" ht="22.5" hidden="1" customHeight="1">
      <c r="A1475" s="4" t="s">
        <v>11</v>
      </c>
      <c r="B1475" s="5">
        <v>46098.68328553241</v>
      </c>
      <c r="C1475" s="6"/>
      <c r="D1475" s="4">
        <v>20.18</v>
      </c>
    </row>
    <row r="1476" ht="22.5" hidden="1" customHeight="1">
      <c r="A1476" s="4" t="s">
        <v>11</v>
      </c>
      <c r="B1476" s="5">
        <v>46098.68397048611</v>
      </c>
      <c r="C1476" s="6"/>
      <c r="D1476" s="4">
        <v>20.2</v>
      </c>
    </row>
    <row r="1477" ht="22.5" hidden="1" customHeight="1">
      <c r="A1477" s="4" t="s">
        <v>11</v>
      </c>
      <c r="B1477" s="5">
        <v>46098.68602415509</v>
      </c>
      <c r="C1477" s="6"/>
      <c r="D1477" s="4">
        <v>20.18</v>
      </c>
    </row>
    <row r="1478" ht="22.5" hidden="1" customHeight="1">
      <c r="A1478" s="4" t="s">
        <v>11</v>
      </c>
      <c r="B1478" s="5">
        <v>46098.68670976852</v>
      </c>
      <c r="C1478" s="6"/>
      <c r="D1478" s="4">
        <v>20.2</v>
      </c>
    </row>
    <row r="1479" ht="22.5" hidden="1" customHeight="1">
      <c r="A1479" s="4" t="s">
        <v>11</v>
      </c>
      <c r="B1479" s="5">
        <v>46098.7065790625</v>
      </c>
      <c r="C1479" s="6"/>
      <c r="D1479" s="4">
        <v>20.24</v>
      </c>
    </row>
    <row r="1480" ht="22.5" hidden="1" customHeight="1">
      <c r="A1480" s="4" t="s">
        <v>11</v>
      </c>
      <c r="B1480" s="5">
        <v>46098.70726333333</v>
      </c>
      <c r="C1480" s="6"/>
      <c r="D1480" s="4">
        <v>20.2</v>
      </c>
    </row>
    <row r="1481" ht="22.5" hidden="1" customHeight="1">
      <c r="A1481" s="4" t="s">
        <v>11</v>
      </c>
      <c r="B1481" s="5">
        <v>46098.712744675926</v>
      </c>
      <c r="C1481" s="6"/>
      <c r="D1481" s="4">
        <v>20.24</v>
      </c>
    </row>
    <row r="1482" ht="22.5" hidden="1" customHeight="1">
      <c r="A1482" s="4" t="s">
        <v>11</v>
      </c>
      <c r="B1482" s="5">
        <v>46098.71343321759</v>
      </c>
      <c r="C1482" s="6"/>
      <c r="D1482" s="4">
        <v>20.2</v>
      </c>
    </row>
    <row r="1483" ht="22.5" hidden="1" customHeight="1">
      <c r="A1483" s="4" t="s">
        <v>11</v>
      </c>
      <c r="B1483" s="5">
        <v>46098.71480356481</v>
      </c>
      <c r="C1483" s="6"/>
      <c r="D1483" s="4">
        <v>20.24</v>
      </c>
    </row>
    <row r="1484" ht="22.5" hidden="1" customHeight="1">
      <c r="A1484" s="4" t="s">
        <v>11</v>
      </c>
      <c r="B1484" s="5">
        <v>46098.74015140046</v>
      </c>
      <c r="C1484" s="6"/>
      <c r="D1484" s="4">
        <v>20.2</v>
      </c>
    </row>
    <row r="1485" ht="22.5" hidden="1" customHeight="1">
      <c r="A1485" s="4" t="s">
        <v>11</v>
      </c>
      <c r="B1485" s="5">
        <v>46098.74768363426</v>
      </c>
      <c r="C1485" s="6"/>
      <c r="D1485" s="4">
        <v>20.18</v>
      </c>
    </row>
    <row r="1486" ht="22.5" hidden="1" customHeight="1">
      <c r="A1486" s="4" t="s">
        <v>11</v>
      </c>
      <c r="B1486" s="5">
        <v>46098.761386122686</v>
      </c>
      <c r="C1486" s="6"/>
      <c r="D1486" s="4">
        <v>20.16</v>
      </c>
    </row>
    <row r="1487" ht="22.5" hidden="1" customHeight="1">
      <c r="A1487" s="4" t="s">
        <v>11</v>
      </c>
      <c r="B1487" s="5">
        <v>46098.765494722225</v>
      </c>
      <c r="C1487" s="6"/>
      <c r="D1487" s="4">
        <v>20.12</v>
      </c>
    </row>
    <row r="1488" ht="22.5" hidden="1" customHeight="1">
      <c r="A1488" s="4" t="s">
        <v>11</v>
      </c>
      <c r="B1488" s="5">
        <v>46098.76960449074</v>
      </c>
      <c r="C1488" s="6"/>
      <c r="D1488" s="4">
        <v>20.1</v>
      </c>
    </row>
    <row r="1489" ht="22.5" hidden="1" customHeight="1">
      <c r="A1489" s="4" t="s">
        <v>11</v>
      </c>
      <c r="B1489" s="5">
        <v>46098.77028938657</v>
      </c>
      <c r="C1489" s="6"/>
      <c r="D1489" s="4">
        <v>20.12</v>
      </c>
    </row>
    <row r="1490" ht="22.5" hidden="1" customHeight="1">
      <c r="A1490" s="4" t="s">
        <v>11</v>
      </c>
      <c r="B1490" s="5">
        <v>46098.78193412037</v>
      </c>
      <c r="C1490" s="6"/>
      <c r="D1490" s="4">
        <v>20.08</v>
      </c>
    </row>
    <row r="1491" ht="22.5" hidden="1" customHeight="1">
      <c r="A1491" s="4" t="s">
        <v>11</v>
      </c>
      <c r="B1491" s="5">
        <v>46098.78467386574</v>
      </c>
      <c r="C1491" s="6"/>
      <c r="D1491" s="4">
        <v>20.04</v>
      </c>
    </row>
    <row r="1492" ht="22.5" hidden="1" customHeight="1">
      <c r="A1492" s="4" t="s">
        <v>11</v>
      </c>
      <c r="B1492" s="5">
        <v>46098.79010349537</v>
      </c>
      <c r="C1492" s="6"/>
      <c r="D1492" s="4" t="s">
        <v>9</v>
      </c>
    </row>
    <row r="1493" ht="22.5" hidden="1" customHeight="1">
      <c r="A1493" s="4" t="s">
        <v>11</v>
      </c>
      <c r="B1493" s="5">
        <v>46098.791747511576</v>
      </c>
      <c r="C1493" s="6"/>
      <c r="D1493" s="4">
        <v>20.04</v>
      </c>
    </row>
    <row r="1494" ht="22.5" hidden="1" customHeight="1">
      <c r="A1494" s="4" t="s">
        <v>11</v>
      </c>
      <c r="B1494" s="5">
        <v>46098.79380230324</v>
      </c>
      <c r="C1494" s="6"/>
      <c r="D1494" s="4">
        <v>20.02</v>
      </c>
    </row>
    <row r="1495" ht="22.5" hidden="1" customHeight="1">
      <c r="A1495" s="4" t="s">
        <v>11</v>
      </c>
      <c r="B1495" s="5">
        <v>46098.802023819444</v>
      </c>
      <c r="C1495" s="6"/>
      <c r="D1495" s="4">
        <v>20.0</v>
      </c>
    </row>
    <row r="1496" ht="22.5" hidden="1" customHeight="1">
      <c r="A1496" s="4" t="s">
        <v>11</v>
      </c>
      <c r="B1496" s="5">
        <v>46098.80750313657</v>
      </c>
      <c r="C1496" s="6"/>
      <c r="D1496" s="4">
        <v>19.96</v>
      </c>
    </row>
    <row r="1497" ht="22.5" hidden="1" customHeight="1">
      <c r="A1497" s="4" t="s">
        <v>11</v>
      </c>
      <c r="B1497" s="5">
        <v>46098.82258211805</v>
      </c>
      <c r="C1497" s="6"/>
      <c r="D1497" s="4">
        <v>19.94</v>
      </c>
    </row>
    <row r="1498" ht="22.5" hidden="1" customHeight="1">
      <c r="A1498" s="4" t="s">
        <v>11</v>
      </c>
      <c r="B1498" s="5">
        <v>46098.83490015046</v>
      </c>
      <c r="C1498" s="6"/>
      <c r="D1498" s="4">
        <v>19.86</v>
      </c>
    </row>
    <row r="1499" ht="22.5" hidden="1" customHeight="1">
      <c r="A1499" s="4" t="s">
        <v>11</v>
      </c>
      <c r="B1499" s="5">
        <v>46098.84106518519</v>
      </c>
      <c r="C1499" s="6"/>
      <c r="D1499" s="4">
        <v>19.84</v>
      </c>
    </row>
    <row r="1500" ht="22.5" hidden="1" customHeight="1">
      <c r="A1500" s="4" t="s">
        <v>11</v>
      </c>
      <c r="B1500" s="5">
        <v>46098.84791447916</v>
      </c>
      <c r="C1500" s="6"/>
      <c r="D1500" s="4">
        <v>19.81</v>
      </c>
    </row>
    <row r="1501" ht="22.5" hidden="1" customHeight="1">
      <c r="A1501" s="4" t="s">
        <v>11</v>
      </c>
      <c r="B1501" s="5">
        <v>46098.853395081016</v>
      </c>
      <c r="C1501" s="6"/>
      <c r="D1501" s="4">
        <v>19.78</v>
      </c>
    </row>
    <row r="1502" ht="22.5" hidden="1" customHeight="1">
      <c r="A1502" s="4" t="s">
        <v>11</v>
      </c>
      <c r="B1502" s="5">
        <v>46098.856818113425</v>
      </c>
      <c r="C1502" s="6"/>
      <c r="D1502" s="4">
        <v>19.76</v>
      </c>
    </row>
    <row r="1503" ht="22.5" hidden="1" customHeight="1">
      <c r="A1503" s="4" t="s">
        <v>11</v>
      </c>
      <c r="B1503" s="5">
        <v>46098.86708994213</v>
      </c>
      <c r="C1503" s="6"/>
      <c r="D1503" s="4">
        <v>19.73</v>
      </c>
    </row>
    <row r="1504" ht="22.5" hidden="1" customHeight="1">
      <c r="A1504" s="4" t="s">
        <v>11</v>
      </c>
      <c r="B1504" s="5">
        <v>46098.86846204861</v>
      </c>
      <c r="C1504" s="6"/>
      <c r="D1504" s="4">
        <v>19.7</v>
      </c>
    </row>
    <row r="1505" ht="22.5" hidden="1" customHeight="1">
      <c r="A1505" s="4" t="s">
        <v>11</v>
      </c>
      <c r="B1505" s="5">
        <v>46098.87325388889</v>
      </c>
      <c r="C1505" s="6"/>
      <c r="D1505" s="4">
        <v>19.68</v>
      </c>
    </row>
    <row r="1506" ht="22.5" hidden="1" customHeight="1">
      <c r="A1506" s="4" t="s">
        <v>11</v>
      </c>
      <c r="B1506" s="5">
        <v>46098.87599515046</v>
      </c>
      <c r="C1506" s="6"/>
      <c r="D1506" s="4">
        <v>19.65</v>
      </c>
    </row>
    <row r="1507" ht="22.5" hidden="1" customHeight="1">
      <c r="A1507" s="4" t="s">
        <v>11</v>
      </c>
      <c r="B1507" s="5">
        <v>46098.88147193287</v>
      </c>
      <c r="C1507" s="6"/>
      <c r="D1507" s="4">
        <v>19.62</v>
      </c>
    </row>
    <row r="1508" ht="22.5" hidden="1" customHeight="1">
      <c r="A1508" s="4" t="s">
        <v>11</v>
      </c>
      <c r="B1508" s="5">
        <v>46098.88215466435</v>
      </c>
      <c r="C1508" s="6"/>
      <c r="D1508" s="4">
        <v>19.65</v>
      </c>
    </row>
    <row r="1509" ht="22.5" hidden="1" customHeight="1">
      <c r="A1509" s="4" t="s">
        <v>11</v>
      </c>
      <c r="B1509" s="5">
        <v>46098.884211226854</v>
      </c>
      <c r="C1509" s="6"/>
      <c r="D1509" s="4">
        <v>19.62</v>
      </c>
    </row>
    <row r="1510" ht="22.5" hidden="1" customHeight="1">
      <c r="A1510" s="4" t="s">
        <v>11</v>
      </c>
      <c r="B1510" s="5">
        <v>46098.891061180555</v>
      </c>
      <c r="C1510" s="6"/>
      <c r="D1510" s="4">
        <v>19.6</v>
      </c>
    </row>
    <row r="1511" ht="22.5" hidden="1" customHeight="1">
      <c r="A1511" s="4" t="s">
        <v>11</v>
      </c>
      <c r="B1511" s="5">
        <v>46098.8944856713</v>
      </c>
      <c r="C1511" s="6"/>
      <c r="D1511" s="4">
        <v>19.57</v>
      </c>
    </row>
    <row r="1512" ht="22.5" hidden="1" customHeight="1">
      <c r="A1512" s="4" t="s">
        <v>11</v>
      </c>
      <c r="B1512" s="5">
        <v>46098.91229037037</v>
      </c>
      <c r="C1512" s="6"/>
      <c r="D1512" s="4">
        <v>19.54</v>
      </c>
    </row>
    <row r="1513" ht="22.5" hidden="1" customHeight="1">
      <c r="A1513" s="4" t="s">
        <v>11</v>
      </c>
      <c r="B1513" s="5">
        <v>46098.9163984375</v>
      </c>
      <c r="C1513" s="6"/>
      <c r="D1513" s="4">
        <v>19.52</v>
      </c>
    </row>
    <row r="1514" ht="22.5" hidden="1" customHeight="1">
      <c r="A1514" s="4" t="s">
        <v>11</v>
      </c>
      <c r="B1514" s="5">
        <v>46098.936608055556</v>
      </c>
      <c r="C1514" s="8"/>
    </row>
    <row r="1515" ht="22.5" hidden="1" customHeight="1">
      <c r="A1515" s="4" t="s">
        <v>11</v>
      </c>
      <c r="B1515" s="5">
        <v>46098.94837587963</v>
      </c>
      <c r="C1515" s="6"/>
      <c r="D1515" s="4">
        <v>19.52</v>
      </c>
    </row>
    <row r="1516" ht="22.5" hidden="1" customHeight="1">
      <c r="A1516" s="4" t="s">
        <v>11</v>
      </c>
      <c r="B1516" s="5">
        <v>46098.96472674768</v>
      </c>
      <c r="C1516" s="6"/>
      <c r="D1516" s="4">
        <v>19.54</v>
      </c>
    </row>
    <row r="1517" ht="22.5" hidden="1" customHeight="1">
      <c r="A1517" s="4" t="s">
        <v>11</v>
      </c>
      <c r="B1517" s="5">
        <v>46098.96540990741</v>
      </c>
      <c r="C1517" s="6"/>
      <c r="D1517" s="4">
        <v>19.52</v>
      </c>
    </row>
    <row r="1518" ht="22.5" hidden="1" customHeight="1">
      <c r="A1518" s="4" t="s">
        <v>11</v>
      </c>
      <c r="B1518" s="5">
        <v>46098.97294471065</v>
      </c>
      <c r="C1518" s="6"/>
      <c r="D1518" s="4">
        <v>19.54</v>
      </c>
    </row>
    <row r="1519" ht="22.5" hidden="1" customHeight="1">
      <c r="A1519" s="4" t="s">
        <v>11</v>
      </c>
      <c r="B1519" s="5">
        <v>46098.97499918981</v>
      </c>
      <c r="C1519" s="6"/>
      <c r="D1519" s="4">
        <v>19.52</v>
      </c>
    </row>
    <row r="1520" ht="22.5" hidden="1" customHeight="1">
      <c r="A1520" s="4" t="s">
        <v>11</v>
      </c>
      <c r="B1520" s="5">
        <v>46098.97568633102</v>
      </c>
      <c r="C1520" s="6"/>
      <c r="D1520" s="4">
        <v>19.54</v>
      </c>
    </row>
    <row r="1521" ht="22.5" hidden="1" customHeight="1">
      <c r="A1521" s="4" t="s">
        <v>11</v>
      </c>
      <c r="B1521" s="5">
        <v>46098.97705612268</v>
      </c>
      <c r="C1521" s="6"/>
      <c r="D1521" s="4">
        <v>19.52</v>
      </c>
    </row>
    <row r="1522" ht="22.5" hidden="1" customHeight="1">
      <c r="A1522" s="4" t="s">
        <v>11</v>
      </c>
      <c r="B1522" s="5">
        <v>46098.97842863426</v>
      </c>
      <c r="C1522" s="6"/>
      <c r="D1522" s="4">
        <v>19.54</v>
      </c>
    </row>
    <row r="1523" ht="22.5" hidden="1" customHeight="1">
      <c r="A1523" s="4" t="s">
        <v>11</v>
      </c>
      <c r="B1523" s="5">
        <v>46098.98047814815</v>
      </c>
      <c r="C1523" s="6"/>
      <c r="D1523" s="4">
        <v>19.52</v>
      </c>
    </row>
    <row r="1524" ht="22.5" hidden="1" customHeight="1">
      <c r="A1524" s="4" t="s">
        <v>11</v>
      </c>
      <c r="B1524" s="5">
        <v>46098.98116309028</v>
      </c>
      <c r="C1524" s="6"/>
      <c r="D1524" s="4">
        <v>19.54</v>
      </c>
    </row>
    <row r="1525" ht="22.5" hidden="1" customHeight="1">
      <c r="A1525" s="4" t="s">
        <v>11</v>
      </c>
      <c r="B1525" s="5">
        <v>46098.981847905095</v>
      </c>
      <c r="C1525" s="6"/>
      <c r="D1525" s="4">
        <v>19.52</v>
      </c>
    </row>
    <row r="1526" ht="22.5" hidden="1" customHeight="1">
      <c r="A1526" s="4" t="s">
        <v>11</v>
      </c>
      <c r="B1526" s="5">
        <v>46098.982533078706</v>
      </c>
      <c r="C1526" s="6"/>
      <c r="D1526" s="4">
        <v>19.54</v>
      </c>
    </row>
    <row r="1527" ht="22.5" hidden="1" customHeight="1">
      <c r="A1527" s="4" t="s">
        <v>11</v>
      </c>
      <c r="B1527" s="5">
        <v>46098.98595809028</v>
      </c>
      <c r="C1527" s="6"/>
      <c r="D1527" s="4">
        <v>19.52</v>
      </c>
    </row>
    <row r="1528" ht="22.5" hidden="1" customHeight="1">
      <c r="A1528" s="4" t="s">
        <v>11</v>
      </c>
      <c r="B1528" s="5">
        <v>46098.98664318287</v>
      </c>
      <c r="C1528" s="6"/>
      <c r="D1528" s="4">
        <v>19.54</v>
      </c>
    </row>
    <row r="1529" ht="22.5" hidden="1" customHeight="1">
      <c r="A1529" s="4" t="s">
        <v>11</v>
      </c>
      <c r="B1529" s="5">
        <v>46098.99691769676</v>
      </c>
      <c r="C1529" s="6"/>
      <c r="D1529" s="4">
        <v>19.57</v>
      </c>
    </row>
    <row r="1530" ht="22.5" hidden="1" customHeight="1">
      <c r="A1530" s="4" t="s">
        <v>11</v>
      </c>
      <c r="B1530" s="5">
        <v>46098.99760267361</v>
      </c>
      <c r="C1530" s="6"/>
      <c r="D1530" s="4">
        <v>19.54</v>
      </c>
    </row>
    <row r="1531" ht="22.5" hidden="1" customHeight="1">
      <c r="A1531" s="4" t="s">
        <v>11</v>
      </c>
      <c r="B1531" s="5">
        <v>46099.007191944445</v>
      </c>
      <c r="C1531" s="6"/>
      <c r="D1531" s="4">
        <v>19.57</v>
      </c>
    </row>
    <row r="1532" ht="22.5" hidden="1" customHeight="1">
      <c r="A1532" s="4" t="s">
        <v>11</v>
      </c>
      <c r="B1532" s="5">
        <v>46099.007877268516</v>
      </c>
      <c r="C1532" s="6"/>
      <c r="D1532" s="4">
        <v>19.54</v>
      </c>
    </row>
    <row r="1533" ht="22.5" hidden="1" customHeight="1">
      <c r="A1533" s="4" t="s">
        <v>11</v>
      </c>
      <c r="B1533" s="5">
        <v>46099.00924614583</v>
      </c>
      <c r="C1533" s="6"/>
      <c r="D1533" s="4">
        <v>19.57</v>
      </c>
    </row>
    <row r="1534" ht="22.5" hidden="1" customHeight="1">
      <c r="A1534" s="4" t="s">
        <v>11</v>
      </c>
      <c r="B1534" s="5">
        <v>46099.00993233796</v>
      </c>
      <c r="C1534" s="6"/>
      <c r="D1534" s="4">
        <v>19.54</v>
      </c>
    </row>
    <row r="1535" ht="22.5" hidden="1" customHeight="1">
      <c r="A1535" s="4" t="s">
        <v>11</v>
      </c>
      <c r="B1535" s="5">
        <v>46099.010615949075</v>
      </c>
      <c r="C1535" s="6"/>
      <c r="D1535" s="4">
        <v>19.57</v>
      </c>
    </row>
    <row r="1536" ht="22.5" hidden="1" customHeight="1">
      <c r="A1536" s="4" t="s">
        <v>11</v>
      </c>
      <c r="B1536" s="5">
        <v>46099.01129998843</v>
      </c>
      <c r="C1536" s="6"/>
      <c r="D1536" s="4">
        <v>19.54</v>
      </c>
    </row>
    <row r="1537" ht="22.5" hidden="1" customHeight="1">
      <c r="A1537" s="4" t="s">
        <v>11</v>
      </c>
      <c r="B1537" s="5">
        <v>46099.016780405094</v>
      </c>
      <c r="C1537" s="6"/>
      <c r="D1537" s="4">
        <v>19.57</v>
      </c>
    </row>
    <row r="1538" ht="22.5" hidden="1" customHeight="1">
      <c r="A1538" s="4" t="s">
        <v>11</v>
      </c>
      <c r="B1538" s="5">
        <v>46099.01746533565</v>
      </c>
      <c r="C1538" s="6"/>
      <c r="D1538" s="4">
        <v>19.54</v>
      </c>
    </row>
    <row r="1539" ht="22.5" hidden="1" customHeight="1">
      <c r="A1539" s="4" t="s">
        <v>11</v>
      </c>
      <c r="B1539" s="5">
        <v>46099.01883451389</v>
      </c>
      <c r="C1539" s="6"/>
      <c r="D1539" s="4">
        <v>19.57</v>
      </c>
    </row>
    <row r="1540" ht="22.5" hidden="1" customHeight="1">
      <c r="A1540" s="4" t="s">
        <v>11</v>
      </c>
      <c r="B1540" s="5">
        <v>46099.019520277776</v>
      </c>
      <c r="C1540" s="6"/>
      <c r="D1540" s="4">
        <v>19.54</v>
      </c>
    </row>
    <row r="1541" ht="22.5" hidden="1" customHeight="1">
      <c r="A1541" s="4" t="s">
        <v>11</v>
      </c>
      <c r="B1541" s="5">
        <v>46099.02979586805</v>
      </c>
      <c r="C1541" s="6"/>
      <c r="D1541" s="4">
        <v>19.52</v>
      </c>
    </row>
    <row r="1542" ht="22.5" hidden="1" customHeight="1">
      <c r="A1542" s="4" t="s">
        <v>11</v>
      </c>
      <c r="B1542" s="5">
        <v>46099.03047979167</v>
      </c>
      <c r="C1542" s="6"/>
      <c r="D1542" s="4">
        <v>19.54</v>
      </c>
    </row>
    <row r="1543" ht="22.5" hidden="1" customHeight="1">
      <c r="A1543" s="4" t="s">
        <v>11</v>
      </c>
      <c r="B1543" s="5">
        <v>46099.03116475695</v>
      </c>
      <c r="C1543" s="6"/>
      <c r="D1543" s="4">
        <v>19.52</v>
      </c>
    </row>
    <row r="1544" ht="22.5" hidden="1" customHeight="1">
      <c r="A1544" s="4" t="s">
        <v>11</v>
      </c>
      <c r="B1544" s="5">
        <v>46099.03184891204</v>
      </c>
      <c r="C1544" s="6"/>
      <c r="D1544" s="4">
        <v>19.54</v>
      </c>
    </row>
    <row r="1545" ht="22.5" hidden="1" customHeight="1">
      <c r="A1545" s="4" t="s">
        <v>11</v>
      </c>
      <c r="B1545" s="5">
        <v>46099.03321758102</v>
      </c>
      <c r="C1545" s="6"/>
      <c r="D1545" s="4">
        <v>19.52</v>
      </c>
    </row>
    <row r="1546" ht="22.5" hidden="1" customHeight="1">
      <c r="A1546" s="4" t="s">
        <v>11</v>
      </c>
      <c r="B1546" s="5">
        <v>46099.034591145835</v>
      </c>
      <c r="C1546" s="6"/>
      <c r="D1546" s="4">
        <v>19.54</v>
      </c>
    </row>
    <row r="1547" ht="22.5" hidden="1" customHeight="1">
      <c r="A1547" s="4" t="s">
        <v>11</v>
      </c>
      <c r="B1547" s="5">
        <v>46099.035969675926</v>
      </c>
      <c r="C1547" s="6"/>
      <c r="D1547" s="4">
        <v>19.52</v>
      </c>
    </row>
    <row r="1548" ht="22.5" hidden="1" customHeight="1">
      <c r="A1548" s="4" t="s">
        <v>11</v>
      </c>
      <c r="B1548" s="5">
        <v>46099.0373268287</v>
      </c>
      <c r="C1548" s="6"/>
      <c r="D1548" s="4">
        <v>19.54</v>
      </c>
    </row>
    <row r="1549" ht="22.5" hidden="1" customHeight="1">
      <c r="A1549" s="4" t="s">
        <v>11</v>
      </c>
      <c r="B1549" s="5">
        <v>46099.038011666664</v>
      </c>
      <c r="C1549" s="6"/>
      <c r="D1549" s="4">
        <v>19.52</v>
      </c>
    </row>
    <row r="1550" ht="22.5" hidden="1" customHeight="1">
      <c r="A1550" s="4" t="s">
        <v>11</v>
      </c>
      <c r="B1550" s="5">
        <v>46099.04006701389</v>
      </c>
      <c r="C1550" s="6"/>
      <c r="D1550" s="4">
        <v>19.54</v>
      </c>
    </row>
    <row r="1551" ht="22.5" hidden="1" customHeight="1">
      <c r="A1551" s="4" t="s">
        <v>11</v>
      </c>
      <c r="B1551" s="5">
        <v>46099.04076013889</v>
      </c>
      <c r="C1551" s="6"/>
      <c r="D1551" s="4">
        <v>19.52</v>
      </c>
    </row>
    <row r="1552" ht="22.5" hidden="1" customHeight="1">
      <c r="A1552" s="4" t="s">
        <v>11</v>
      </c>
      <c r="B1552" s="5">
        <v>46099.0496525</v>
      </c>
      <c r="C1552" s="6"/>
      <c r="D1552" s="4">
        <v>19.49</v>
      </c>
    </row>
    <row r="1553" ht="22.5" hidden="1" customHeight="1">
      <c r="A1553" s="4" t="s">
        <v>11</v>
      </c>
      <c r="B1553" s="5">
        <v>46099.05170761574</v>
      </c>
      <c r="C1553" s="6"/>
      <c r="D1553" s="4">
        <v>19.52</v>
      </c>
    </row>
    <row r="1554" ht="22.5" hidden="1" customHeight="1">
      <c r="A1554" s="4" t="s">
        <v>11</v>
      </c>
      <c r="B1554" s="5">
        <v>46099.052391944446</v>
      </c>
      <c r="C1554" s="6"/>
      <c r="D1554" s="4">
        <v>19.49</v>
      </c>
    </row>
    <row r="1555" ht="22.5" hidden="1" customHeight="1">
      <c r="A1555" s="4" t="s">
        <v>11</v>
      </c>
      <c r="B1555" s="5">
        <v>46099.05513162037</v>
      </c>
      <c r="C1555" s="6"/>
      <c r="D1555" s="4">
        <v>19.46</v>
      </c>
    </row>
    <row r="1556" ht="22.5" hidden="1" customHeight="1">
      <c r="A1556" s="4" t="s">
        <v>11</v>
      </c>
      <c r="B1556" s="5">
        <v>46099.06061211805</v>
      </c>
      <c r="C1556" s="6"/>
      <c r="D1556" s="4">
        <v>19.43</v>
      </c>
    </row>
    <row r="1557" ht="22.5" hidden="1" customHeight="1">
      <c r="A1557" s="4" t="s">
        <v>11</v>
      </c>
      <c r="B1557" s="5">
        <v>46099.06540736111</v>
      </c>
      <c r="C1557" s="6"/>
      <c r="D1557" s="4">
        <v>19.41</v>
      </c>
    </row>
    <row r="1558" ht="22.5" hidden="1" customHeight="1">
      <c r="A1558" s="4" t="s">
        <v>11</v>
      </c>
      <c r="B1558" s="5">
        <v>46099.06608873843</v>
      </c>
      <c r="C1558" s="6"/>
      <c r="D1558" s="4">
        <v>19.43</v>
      </c>
    </row>
    <row r="1559" ht="22.5" hidden="1" customHeight="1">
      <c r="A1559" s="4" t="s">
        <v>11</v>
      </c>
      <c r="B1559" s="5">
        <v>46099.06678083333</v>
      </c>
      <c r="C1559" s="6"/>
      <c r="D1559" s="4">
        <v>19.41</v>
      </c>
    </row>
    <row r="1560" ht="22.5" hidden="1" customHeight="1">
      <c r="A1560" s="4" t="s">
        <v>11</v>
      </c>
      <c r="B1560" s="5">
        <v>46099.0743050463</v>
      </c>
      <c r="C1560" s="6"/>
      <c r="D1560" s="4">
        <v>19.39</v>
      </c>
    </row>
    <row r="1561" ht="22.5" hidden="1" customHeight="1">
      <c r="A1561" s="4" t="s">
        <v>11</v>
      </c>
      <c r="B1561" s="5">
        <v>46099.0749900463</v>
      </c>
      <c r="C1561" s="6"/>
      <c r="D1561" s="4">
        <v>19.41</v>
      </c>
    </row>
    <row r="1562" ht="22.5" hidden="1" customHeight="1">
      <c r="A1562" s="4" t="s">
        <v>11</v>
      </c>
      <c r="B1562" s="5">
        <v>46099.07567474537</v>
      </c>
      <c r="C1562" s="6"/>
      <c r="D1562" s="4">
        <v>19.39</v>
      </c>
    </row>
    <row r="1563" ht="22.5" hidden="1" customHeight="1">
      <c r="A1563" s="4" t="s">
        <v>11</v>
      </c>
      <c r="B1563" s="5">
        <v>46099.07978280092</v>
      </c>
      <c r="C1563" s="6"/>
      <c r="D1563" s="4">
        <v>19.35</v>
      </c>
    </row>
    <row r="1564" ht="22.5" hidden="1" customHeight="1">
      <c r="A1564" s="4" t="s">
        <v>11</v>
      </c>
      <c r="B1564" s="5">
        <v>46099.085260844906</v>
      </c>
      <c r="C1564" s="6"/>
      <c r="D1564" s="4">
        <v>19.33</v>
      </c>
    </row>
    <row r="1565" ht="22.5" hidden="1" customHeight="1">
      <c r="A1565" s="4" t="s">
        <v>11</v>
      </c>
      <c r="B1565" s="5">
        <v>46099.090745416666</v>
      </c>
      <c r="C1565" s="6"/>
      <c r="D1565" s="4">
        <v>19.29</v>
      </c>
    </row>
    <row r="1566" ht="22.5" hidden="1" customHeight="1">
      <c r="A1566" s="4" t="s">
        <v>11</v>
      </c>
      <c r="B1566" s="5">
        <v>46099.09142570602</v>
      </c>
      <c r="C1566" s="6"/>
      <c r="D1566" s="4">
        <v>19.33</v>
      </c>
    </row>
    <row r="1567" ht="22.5" hidden="1" customHeight="1">
      <c r="A1567" s="4" t="s">
        <v>11</v>
      </c>
      <c r="B1567" s="5">
        <v>46099.09210857639</v>
      </c>
      <c r="C1567" s="6"/>
      <c r="D1567" s="4">
        <v>19.29</v>
      </c>
    </row>
    <row r="1568" ht="22.5" hidden="1" customHeight="1">
      <c r="A1568" s="4" t="s">
        <v>11</v>
      </c>
      <c r="B1568" s="5">
        <v>46099.09827021991</v>
      </c>
      <c r="C1568" s="6"/>
      <c r="D1568" s="4">
        <v>19.27</v>
      </c>
    </row>
    <row r="1569" ht="22.5" hidden="1" customHeight="1">
      <c r="A1569" s="4" t="s">
        <v>11</v>
      </c>
      <c r="B1569" s="5">
        <v>46099.10306559028</v>
      </c>
      <c r="C1569" s="6"/>
      <c r="D1569" s="4">
        <v>19.25</v>
      </c>
    </row>
    <row r="1570" ht="22.5" hidden="1" customHeight="1">
      <c r="A1570" s="4" t="s">
        <v>11</v>
      </c>
      <c r="B1570" s="5">
        <v>46099.106486261575</v>
      </c>
      <c r="C1570" s="6"/>
      <c r="D1570" s="4">
        <v>19.21</v>
      </c>
    </row>
    <row r="1571" ht="22.5" hidden="1" customHeight="1">
      <c r="A1571" s="4" t="s">
        <v>11</v>
      </c>
      <c r="B1571" s="5">
        <v>46099.10855324074</v>
      </c>
      <c r="C1571" s="6"/>
      <c r="D1571" s="4">
        <v>19.19</v>
      </c>
    </row>
    <row r="1572" ht="22.5" hidden="1" customHeight="1">
      <c r="A1572" s="4" t="s">
        <v>11</v>
      </c>
      <c r="B1572" s="5">
        <v>46099.10922618055</v>
      </c>
      <c r="C1572" s="6"/>
      <c r="D1572" s="4">
        <v>19.21</v>
      </c>
    </row>
    <row r="1573" ht="22.5" hidden="1" customHeight="1">
      <c r="A1573" s="4" t="s">
        <v>11</v>
      </c>
      <c r="B1573" s="5">
        <v>46099.11059795139</v>
      </c>
      <c r="C1573" s="6"/>
      <c r="D1573" s="4">
        <v>19.19</v>
      </c>
    </row>
    <row r="1574" ht="22.5" hidden="1" customHeight="1">
      <c r="A1574" s="4" t="s">
        <v>11</v>
      </c>
      <c r="B1574" s="5">
        <v>46099.11881199074</v>
      </c>
      <c r="C1574" s="6"/>
      <c r="D1574" s="4">
        <v>19.17</v>
      </c>
    </row>
    <row r="1575" ht="22.5" hidden="1" customHeight="1">
      <c r="A1575" s="4" t="s">
        <v>11</v>
      </c>
      <c r="B1575" s="5">
        <v>46099.12223475694</v>
      </c>
      <c r="C1575" s="6"/>
      <c r="D1575" s="4">
        <v>19.14</v>
      </c>
    </row>
    <row r="1576" ht="22.5" hidden="1" customHeight="1">
      <c r="A1576" s="4" t="s">
        <v>11</v>
      </c>
      <c r="B1576" s="5">
        <v>46099.124973680555</v>
      </c>
      <c r="C1576" s="6"/>
      <c r="D1576" s="4">
        <v>19.11</v>
      </c>
    </row>
    <row r="1577" ht="22.5" hidden="1" customHeight="1">
      <c r="A1577" s="4" t="s">
        <v>11</v>
      </c>
      <c r="B1577" s="5">
        <v>46099.13113670139</v>
      </c>
      <c r="C1577" s="6"/>
      <c r="D1577" s="4">
        <v>19.09</v>
      </c>
    </row>
    <row r="1578" ht="22.5" hidden="1" customHeight="1">
      <c r="A1578" s="4" t="s">
        <v>11</v>
      </c>
      <c r="B1578" s="5">
        <v>46099.131820787035</v>
      </c>
      <c r="C1578" s="6"/>
      <c r="D1578" s="4">
        <v>19.11</v>
      </c>
    </row>
    <row r="1579" ht="22.5" hidden="1" customHeight="1">
      <c r="A1579" s="4" t="s">
        <v>11</v>
      </c>
      <c r="B1579" s="5">
        <v>46099.13455835648</v>
      </c>
      <c r="C1579" s="6"/>
      <c r="D1579" s="4">
        <v>19.09</v>
      </c>
    </row>
    <row r="1580" ht="22.5" hidden="1" customHeight="1">
      <c r="A1580" s="4" t="s">
        <v>11</v>
      </c>
      <c r="B1580" s="5">
        <v>46099.141405138886</v>
      </c>
      <c r="C1580" s="6"/>
      <c r="D1580" s="4">
        <v>19.06</v>
      </c>
    </row>
    <row r="1581" ht="22.5" hidden="1" customHeight="1">
      <c r="A1581" s="4" t="s">
        <v>11</v>
      </c>
      <c r="B1581" s="5">
        <v>46099.142090416666</v>
      </c>
      <c r="C1581" s="6"/>
      <c r="D1581" s="4">
        <v>19.09</v>
      </c>
    </row>
    <row r="1582" ht="22.5" hidden="1" customHeight="1">
      <c r="A1582" s="4" t="s">
        <v>11</v>
      </c>
      <c r="B1582" s="5">
        <v>46099.142773402775</v>
      </c>
      <c r="C1582" s="6"/>
      <c r="D1582" s="4">
        <v>19.06</v>
      </c>
    </row>
    <row r="1583" ht="22.5" hidden="1" customHeight="1">
      <c r="A1583" s="4" t="s">
        <v>11</v>
      </c>
      <c r="B1583" s="5">
        <v>46099.14346050926</v>
      </c>
      <c r="C1583" s="6"/>
      <c r="D1583" s="4">
        <v>19.03</v>
      </c>
    </row>
    <row r="1584" ht="22.5" hidden="1" customHeight="1">
      <c r="A1584" s="4" t="s">
        <v>11</v>
      </c>
      <c r="B1584" s="5">
        <v>46099.1461971875</v>
      </c>
      <c r="C1584" s="6"/>
      <c r="D1584" s="4">
        <v>19.01</v>
      </c>
    </row>
    <row r="1585" ht="22.5" hidden="1" customHeight="1">
      <c r="A1585" s="4" t="s">
        <v>11</v>
      </c>
      <c r="B1585" s="5">
        <v>46099.148935983794</v>
      </c>
      <c r="C1585" s="6"/>
      <c r="D1585" s="4">
        <v>18.98</v>
      </c>
    </row>
    <row r="1586" ht="22.5" hidden="1" customHeight="1">
      <c r="A1586" s="4" t="s">
        <v>11</v>
      </c>
      <c r="B1586" s="5">
        <v>46099.155098854164</v>
      </c>
      <c r="C1586" s="6"/>
      <c r="D1586" s="4">
        <v>18.94</v>
      </c>
    </row>
    <row r="1587" ht="22.5" hidden="1" customHeight="1">
      <c r="A1587" s="4" t="s">
        <v>11</v>
      </c>
      <c r="B1587" s="5">
        <v>46099.15578054398</v>
      </c>
      <c r="C1587" s="6"/>
      <c r="D1587" s="4">
        <v>18.98</v>
      </c>
    </row>
    <row r="1588" ht="22.5" hidden="1" customHeight="1">
      <c r="A1588" s="4" t="s">
        <v>11</v>
      </c>
      <c r="B1588" s="5">
        <v>46099.156468981484</v>
      </c>
      <c r="C1588" s="6"/>
      <c r="D1588" s="4">
        <v>18.94</v>
      </c>
    </row>
    <row r="1589" ht="22.5" hidden="1" customHeight="1">
      <c r="A1589" s="4" t="s">
        <v>11</v>
      </c>
      <c r="B1589" s="5">
        <v>46099.15920342592</v>
      </c>
      <c r="C1589" s="6"/>
      <c r="D1589" s="4">
        <v>18.93</v>
      </c>
    </row>
    <row r="1590" ht="22.5" hidden="1" customHeight="1">
      <c r="A1590" s="4" t="s">
        <v>11</v>
      </c>
      <c r="B1590" s="5">
        <v>46099.16057570602</v>
      </c>
      <c r="C1590" s="6"/>
      <c r="D1590" s="4">
        <v>18.94</v>
      </c>
    </row>
    <row r="1591" ht="22.5" hidden="1" customHeight="1">
      <c r="A1591" s="4" t="s">
        <v>11</v>
      </c>
      <c r="B1591" s="5">
        <v>46099.16125832176</v>
      </c>
      <c r="C1591" s="6"/>
      <c r="D1591" s="4">
        <v>18.93</v>
      </c>
    </row>
    <row r="1592" ht="22.5" hidden="1" customHeight="1">
      <c r="A1592" s="4" t="s">
        <v>11</v>
      </c>
      <c r="B1592" s="5">
        <v>46099.16331222222</v>
      </c>
      <c r="C1592" s="6"/>
      <c r="D1592" s="4">
        <v>18.9</v>
      </c>
    </row>
    <row r="1593" ht="22.5" hidden="1" customHeight="1">
      <c r="A1593" s="4" t="s">
        <v>11</v>
      </c>
      <c r="B1593" s="5">
        <v>46099.164681180555</v>
      </c>
      <c r="C1593" s="6"/>
      <c r="D1593" s="4">
        <v>18.93</v>
      </c>
    </row>
    <row r="1594" ht="22.5" hidden="1" customHeight="1">
      <c r="A1594" s="4" t="s">
        <v>11</v>
      </c>
      <c r="B1594" s="5">
        <v>46099.165369664355</v>
      </c>
      <c r="C1594" s="6"/>
      <c r="D1594" s="4">
        <v>18.9</v>
      </c>
    </row>
    <row r="1595" ht="22.5" hidden="1" customHeight="1">
      <c r="A1595" s="4" t="s">
        <v>11</v>
      </c>
      <c r="B1595" s="5">
        <v>46099.16947516204</v>
      </c>
      <c r="C1595" s="6"/>
      <c r="D1595" s="4">
        <v>18.86</v>
      </c>
    </row>
    <row r="1596" ht="22.5" hidden="1" customHeight="1">
      <c r="A1596" s="4" t="s">
        <v>11</v>
      </c>
      <c r="B1596" s="5">
        <v>46099.176320185186</v>
      </c>
      <c r="C1596" s="6"/>
      <c r="D1596" s="4">
        <v>18.85</v>
      </c>
    </row>
    <row r="1597" ht="22.5" hidden="1" customHeight="1">
      <c r="A1597" s="4" t="s">
        <v>11</v>
      </c>
      <c r="B1597" s="5">
        <v>46099.1790565625</v>
      </c>
      <c r="C1597" s="6"/>
      <c r="D1597" s="4">
        <v>18.82</v>
      </c>
    </row>
    <row r="1598" ht="22.5" hidden="1" customHeight="1">
      <c r="A1598" s="4" t="s">
        <v>11</v>
      </c>
      <c r="B1598" s="5">
        <v>46099.18316645834</v>
      </c>
      <c r="C1598" s="6"/>
      <c r="D1598" s="4">
        <v>18.78</v>
      </c>
    </row>
    <row r="1599" ht="22.5" hidden="1" customHeight="1">
      <c r="A1599" s="4" t="s">
        <v>11</v>
      </c>
      <c r="B1599" s="5">
        <v>46099.1872709375</v>
      </c>
      <c r="C1599" s="6"/>
      <c r="D1599" s="4">
        <v>18.77</v>
      </c>
    </row>
    <row r="1600" ht="22.5" hidden="1" customHeight="1">
      <c r="A1600" s="4" t="s">
        <v>11</v>
      </c>
      <c r="B1600" s="5">
        <v>46099.18795622685</v>
      </c>
      <c r="C1600" s="6"/>
      <c r="D1600" s="4">
        <v>18.78</v>
      </c>
    </row>
    <row r="1601" ht="22.5" hidden="1" customHeight="1">
      <c r="A1601" s="4" t="s">
        <v>11</v>
      </c>
      <c r="B1601" s="5">
        <v>46099.18864681713</v>
      </c>
      <c r="C1601" s="6"/>
      <c r="D1601" s="4">
        <v>18.77</v>
      </c>
    </row>
    <row r="1602" ht="22.5" hidden="1" customHeight="1">
      <c r="A1602" s="4" t="s">
        <v>11</v>
      </c>
      <c r="B1602" s="5">
        <v>46099.19206292824</v>
      </c>
      <c r="C1602" s="6"/>
      <c r="D1602" s="4">
        <v>18.74</v>
      </c>
    </row>
    <row r="1603" ht="22.5" hidden="1" customHeight="1">
      <c r="A1603" s="4" t="s">
        <v>11</v>
      </c>
      <c r="B1603" s="5">
        <v>46099.19274759259</v>
      </c>
      <c r="C1603" s="6"/>
      <c r="D1603" s="4">
        <v>18.77</v>
      </c>
    </row>
    <row r="1604" ht="22.5" hidden="1" customHeight="1">
      <c r="A1604" s="4" t="s">
        <v>11</v>
      </c>
      <c r="B1604" s="5">
        <v>46099.193432708336</v>
      </c>
      <c r="C1604" s="6"/>
      <c r="D1604" s="4">
        <v>18.74</v>
      </c>
    </row>
    <row r="1605" ht="22.5" hidden="1" customHeight="1">
      <c r="A1605" s="4" t="s">
        <v>11</v>
      </c>
      <c r="B1605" s="5">
        <v>46099.197543981485</v>
      </c>
      <c r="C1605" s="6"/>
      <c r="D1605" s="4">
        <v>18.7</v>
      </c>
    </row>
    <row r="1606" ht="22.5" hidden="1" customHeight="1">
      <c r="A1606" s="4" t="s">
        <v>11</v>
      </c>
      <c r="B1606" s="5">
        <v>46099.203704976855</v>
      </c>
      <c r="C1606" s="6"/>
      <c r="D1606" s="4">
        <v>18.68</v>
      </c>
    </row>
    <row r="1607" ht="22.5" hidden="1" customHeight="1">
      <c r="A1607" s="4" t="s">
        <v>11</v>
      </c>
      <c r="B1607" s="5">
        <v>46099.20644002315</v>
      </c>
      <c r="C1607" s="6"/>
      <c r="D1607" s="4">
        <v>18.66</v>
      </c>
    </row>
    <row r="1608" ht="22.5" hidden="1" customHeight="1">
      <c r="A1608" s="4" t="s">
        <v>11</v>
      </c>
      <c r="B1608" s="5">
        <v>46099.20780891204</v>
      </c>
      <c r="C1608" s="6"/>
      <c r="D1608" s="4">
        <v>18.68</v>
      </c>
    </row>
    <row r="1609" ht="22.5" hidden="1" customHeight="1">
      <c r="A1609" s="4" t="s">
        <v>11</v>
      </c>
      <c r="B1609" s="5">
        <v>46099.20849759259</v>
      </c>
      <c r="C1609" s="6"/>
      <c r="D1609" s="4">
        <v>18.66</v>
      </c>
    </row>
    <row r="1610" ht="22.5" hidden="1" customHeight="1">
      <c r="A1610" s="4" t="s">
        <v>11</v>
      </c>
      <c r="B1610" s="5">
        <v>46099.20917545139</v>
      </c>
      <c r="C1610" s="6"/>
      <c r="D1610" s="4">
        <v>18.68</v>
      </c>
    </row>
    <row r="1611" ht="22.5" hidden="1" customHeight="1">
      <c r="A1611" s="4" t="s">
        <v>11</v>
      </c>
      <c r="B1611" s="5">
        <v>46099.20987711805</v>
      </c>
      <c r="C1611" s="6"/>
      <c r="D1611" s="4">
        <v>18.66</v>
      </c>
    </row>
    <row r="1612" ht="22.5" hidden="1" customHeight="1">
      <c r="A1612" s="4" t="s">
        <v>11</v>
      </c>
      <c r="B1612" s="5">
        <v>46099.216021388886</v>
      </c>
      <c r="C1612" s="6"/>
      <c r="D1612" s="4">
        <v>18.62</v>
      </c>
    </row>
    <row r="1613" ht="22.5" hidden="1" customHeight="1">
      <c r="A1613" s="4" t="s">
        <v>11</v>
      </c>
      <c r="B1613" s="5">
        <v>46099.21670614583</v>
      </c>
      <c r="C1613" s="6"/>
      <c r="D1613" s="4">
        <v>18.6</v>
      </c>
    </row>
    <row r="1614" ht="22.5" hidden="1" customHeight="1">
      <c r="A1614" s="4" t="s">
        <v>11</v>
      </c>
      <c r="B1614" s="5">
        <v>46099.21739118056</v>
      </c>
      <c r="C1614" s="6"/>
      <c r="D1614" s="4">
        <v>18.62</v>
      </c>
    </row>
    <row r="1615" ht="22.5" hidden="1" customHeight="1">
      <c r="A1615" s="4" t="s">
        <v>11</v>
      </c>
      <c r="B1615" s="5">
        <v>46099.21807740741</v>
      </c>
      <c r="C1615" s="6"/>
      <c r="D1615" s="4">
        <v>18.6</v>
      </c>
    </row>
    <row r="1616" ht="22.5" hidden="1" customHeight="1">
      <c r="A1616" s="4" t="s">
        <v>11</v>
      </c>
      <c r="B1616" s="5">
        <v>46099.22012895833</v>
      </c>
      <c r="C1616" s="6"/>
      <c r="D1616" s="4">
        <v>18.58</v>
      </c>
    </row>
    <row r="1617" ht="22.5" hidden="1" customHeight="1">
      <c r="A1617" s="4" t="s">
        <v>11</v>
      </c>
      <c r="B1617" s="5">
        <v>46099.22423486111</v>
      </c>
      <c r="C1617" s="6"/>
      <c r="D1617" s="4">
        <v>18.54</v>
      </c>
    </row>
    <row r="1618" ht="22.5" hidden="1" customHeight="1">
      <c r="A1618" s="4" t="s">
        <v>11</v>
      </c>
      <c r="B1618" s="5">
        <v>46099.23039744213</v>
      </c>
      <c r="C1618" s="6"/>
      <c r="D1618" s="4">
        <v>18.52</v>
      </c>
    </row>
    <row r="1619" ht="22.5" hidden="1" customHeight="1">
      <c r="A1619" s="4" t="s">
        <v>11</v>
      </c>
      <c r="B1619" s="5">
        <v>46099.231765625</v>
      </c>
      <c r="C1619" s="6"/>
      <c r="D1619" s="4">
        <v>18.54</v>
      </c>
    </row>
    <row r="1620" ht="22.5" hidden="1" customHeight="1">
      <c r="A1620" s="4" t="s">
        <v>11</v>
      </c>
      <c r="B1620" s="5">
        <v>46099.232448993054</v>
      </c>
      <c r="C1620" s="6"/>
      <c r="D1620" s="4">
        <v>18.52</v>
      </c>
    </row>
    <row r="1621" ht="22.5" hidden="1" customHeight="1">
      <c r="A1621" s="4" t="s">
        <v>11</v>
      </c>
      <c r="B1621" s="5">
        <v>46099.23518607639</v>
      </c>
      <c r="C1621" s="6"/>
      <c r="D1621" s="4">
        <v>18.49</v>
      </c>
    </row>
    <row r="1622" ht="22.5" hidden="1" customHeight="1">
      <c r="A1622" s="4" t="s">
        <v>11</v>
      </c>
      <c r="B1622" s="5">
        <v>46099.2358730787</v>
      </c>
      <c r="C1622" s="6"/>
      <c r="D1622" s="4">
        <v>18.52</v>
      </c>
    </row>
    <row r="1623" ht="22.5" hidden="1" customHeight="1">
      <c r="A1623" s="4" t="s">
        <v>11</v>
      </c>
      <c r="B1623" s="5">
        <v>46099.23655576389</v>
      </c>
      <c r="C1623" s="6"/>
      <c r="D1623" s="4">
        <v>18.49</v>
      </c>
    </row>
    <row r="1624" ht="22.5" hidden="1" customHeight="1">
      <c r="A1624" s="4" t="s">
        <v>11</v>
      </c>
      <c r="B1624" s="5">
        <v>46099.24066240741</v>
      </c>
      <c r="C1624" s="6"/>
      <c r="D1624" s="4">
        <v>18.46</v>
      </c>
    </row>
    <row r="1625" ht="22.5" hidden="1" customHeight="1">
      <c r="A1625" s="4" t="s">
        <v>11</v>
      </c>
      <c r="B1625" s="5">
        <v>46099.24545427084</v>
      </c>
      <c r="C1625" s="6"/>
      <c r="D1625" s="4">
        <v>18.44</v>
      </c>
    </row>
    <row r="1626" ht="22.5" hidden="1" customHeight="1">
      <c r="A1626" s="4" t="s">
        <v>11</v>
      </c>
      <c r="B1626" s="5">
        <v>46099.246824155096</v>
      </c>
      <c r="C1626" s="6"/>
      <c r="D1626" s="4">
        <v>18.46</v>
      </c>
    </row>
    <row r="1627" ht="22.5" hidden="1" customHeight="1">
      <c r="A1627" s="4" t="s">
        <v>11</v>
      </c>
      <c r="B1627" s="5">
        <v>46099.2475068287</v>
      </c>
      <c r="C1627" s="6"/>
      <c r="D1627" s="4">
        <v>18.44</v>
      </c>
    </row>
    <row r="1628" ht="22.5" hidden="1" customHeight="1">
      <c r="A1628" s="4" t="s">
        <v>11</v>
      </c>
      <c r="B1628" s="5">
        <v>46099.251613506945</v>
      </c>
      <c r="C1628" s="6"/>
      <c r="D1628" s="4">
        <v>18.41</v>
      </c>
    </row>
    <row r="1629" ht="22.5" hidden="1" customHeight="1">
      <c r="A1629" s="4" t="s">
        <v>11</v>
      </c>
      <c r="B1629" s="5">
        <v>46099.25298164352</v>
      </c>
      <c r="C1629" s="6"/>
      <c r="D1629" s="4">
        <v>18.44</v>
      </c>
    </row>
    <row r="1630" ht="22.5" hidden="1" customHeight="1">
      <c r="A1630" s="4" t="s">
        <v>11</v>
      </c>
      <c r="B1630" s="5">
        <v>46099.253665613425</v>
      </c>
      <c r="C1630" s="6"/>
      <c r="D1630" s="4">
        <v>18.41</v>
      </c>
    </row>
    <row r="1631" ht="22.5" hidden="1" customHeight="1">
      <c r="A1631" s="4" t="s">
        <v>11</v>
      </c>
      <c r="B1631" s="5">
        <v>46099.25640931713</v>
      </c>
      <c r="C1631" s="6"/>
      <c r="D1631" s="4">
        <v>18.37</v>
      </c>
    </row>
    <row r="1632" ht="22.5" hidden="1" customHeight="1">
      <c r="A1632" s="4" t="s">
        <v>11</v>
      </c>
      <c r="B1632" s="5">
        <v>46099.258456840274</v>
      </c>
      <c r="C1632" s="6"/>
      <c r="D1632" s="4">
        <v>18.35</v>
      </c>
    </row>
    <row r="1633" ht="22.5" hidden="1" customHeight="1">
      <c r="A1633" s="4" t="s">
        <v>11</v>
      </c>
      <c r="B1633" s="5">
        <v>46099.25914715278</v>
      </c>
      <c r="C1633" s="6"/>
      <c r="D1633" s="4">
        <v>18.37</v>
      </c>
    </row>
    <row r="1634" ht="22.5" hidden="1" customHeight="1">
      <c r="A1634" s="4" t="s">
        <v>11</v>
      </c>
      <c r="B1634" s="5">
        <v>46099.25982716435</v>
      </c>
      <c r="C1634" s="6"/>
      <c r="D1634" s="4">
        <v>18.35</v>
      </c>
    </row>
    <row r="1635" ht="22.5" hidden="1" customHeight="1">
      <c r="A1635" s="4" t="s">
        <v>11</v>
      </c>
      <c r="B1635" s="5">
        <v>46099.2646174537</v>
      </c>
      <c r="C1635" s="6"/>
      <c r="D1635" s="4">
        <v>18.33</v>
      </c>
    </row>
    <row r="1636" ht="22.5" hidden="1" customHeight="1">
      <c r="A1636" s="4" t="s">
        <v>11</v>
      </c>
      <c r="B1636" s="5">
        <v>46099.27077703704</v>
      </c>
      <c r="C1636" s="6"/>
      <c r="D1636" s="4">
        <v>18.29</v>
      </c>
    </row>
    <row r="1637" ht="22.5" hidden="1" customHeight="1">
      <c r="A1637" s="4" t="s">
        <v>11</v>
      </c>
      <c r="B1637" s="5">
        <v>46099.274883564816</v>
      </c>
      <c r="C1637" s="6"/>
      <c r="D1637" s="4">
        <v>18.27</v>
      </c>
    </row>
    <row r="1638" ht="22.5" hidden="1" customHeight="1">
      <c r="A1638" s="4" t="s">
        <v>11</v>
      </c>
      <c r="B1638" s="5">
        <v>46099.27967643519</v>
      </c>
      <c r="C1638" s="6"/>
      <c r="D1638" s="4">
        <v>18.25</v>
      </c>
    </row>
    <row r="1639" ht="22.5" hidden="1" customHeight="1">
      <c r="A1639" s="4" t="s">
        <v>11</v>
      </c>
      <c r="B1639" s="5">
        <v>46099.28035922454</v>
      </c>
      <c r="C1639" s="6"/>
      <c r="D1639" s="4">
        <v>18.27</v>
      </c>
    </row>
    <row r="1640" ht="22.5" hidden="1" customHeight="1">
      <c r="A1640" s="4" t="s">
        <v>11</v>
      </c>
      <c r="B1640" s="5">
        <v>46099.28104538195</v>
      </c>
      <c r="C1640" s="6"/>
      <c r="D1640" s="4">
        <v>18.25</v>
      </c>
    </row>
    <row r="1641" ht="22.5" hidden="1" customHeight="1">
      <c r="A1641" s="4" t="s">
        <v>11</v>
      </c>
      <c r="B1641" s="5">
        <v>46099.28172810185</v>
      </c>
      <c r="C1641" s="6"/>
      <c r="D1641" s="4">
        <v>18.27</v>
      </c>
    </row>
    <row r="1642" ht="22.5" hidden="1" customHeight="1">
      <c r="A1642" s="4" t="s">
        <v>11</v>
      </c>
      <c r="B1642" s="5">
        <v>46099.28241436343</v>
      </c>
      <c r="C1642" s="6"/>
      <c r="D1642" s="4">
        <v>18.25</v>
      </c>
    </row>
    <row r="1643" ht="22.5" hidden="1" customHeight="1">
      <c r="A1643" s="4" t="s">
        <v>11</v>
      </c>
      <c r="B1643" s="5">
        <v>46099.286518506946</v>
      </c>
      <c r="C1643" s="6"/>
      <c r="D1643" s="4">
        <v>18.21</v>
      </c>
    </row>
    <row r="1644" ht="22.5" hidden="1" customHeight="1">
      <c r="A1644" s="4" t="s">
        <v>11</v>
      </c>
      <c r="B1644" s="5">
        <v>46099.28720273148</v>
      </c>
      <c r="C1644" s="6"/>
      <c r="D1644" s="4">
        <v>18.25</v>
      </c>
    </row>
    <row r="1645" ht="22.5" hidden="1" customHeight="1">
      <c r="A1645" s="4" t="s">
        <v>11</v>
      </c>
      <c r="B1645" s="5">
        <v>46099.28926974537</v>
      </c>
      <c r="C1645" s="6"/>
      <c r="D1645" s="4">
        <v>18.21</v>
      </c>
    </row>
    <row r="1646" ht="22.5" hidden="1" customHeight="1">
      <c r="A1646" s="4" t="s">
        <v>11</v>
      </c>
      <c r="B1646" s="5">
        <v>46099.30020863426</v>
      </c>
      <c r="C1646" s="6"/>
      <c r="D1646" s="4">
        <v>18.19</v>
      </c>
    </row>
    <row r="1647" ht="22.5" hidden="1" customHeight="1">
      <c r="A1647" s="4" t="s">
        <v>11</v>
      </c>
      <c r="B1647" s="5">
        <v>46099.31116113426</v>
      </c>
      <c r="C1647" s="6"/>
      <c r="D1647" s="4">
        <v>18.21</v>
      </c>
    </row>
    <row r="1648" ht="22.5" hidden="1" customHeight="1">
      <c r="A1648" s="4" t="s">
        <v>11</v>
      </c>
      <c r="B1648" s="5">
        <v>46099.3118471875</v>
      </c>
      <c r="C1648" s="6"/>
      <c r="D1648" s="4">
        <v>18.19</v>
      </c>
    </row>
    <row r="1649" ht="22.5" hidden="1" customHeight="1">
      <c r="A1649" s="4" t="s">
        <v>11</v>
      </c>
      <c r="B1649" s="5">
        <v>46099.315267881946</v>
      </c>
      <c r="C1649" s="6"/>
      <c r="D1649" s="4">
        <v>18.21</v>
      </c>
    </row>
    <row r="1650" ht="22.5" hidden="1" customHeight="1">
      <c r="A1650" s="4" t="s">
        <v>11</v>
      </c>
      <c r="B1650" s="5">
        <v>46099.32690630787</v>
      </c>
      <c r="C1650" s="6"/>
      <c r="D1650" s="4">
        <v>18.25</v>
      </c>
    </row>
    <row r="1651" ht="22.5" hidden="1" customHeight="1">
      <c r="A1651" s="4" t="s">
        <v>11</v>
      </c>
      <c r="B1651" s="5">
        <v>46099.32758949074</v>
      </c>
      <c r="C1651" s="6"/>
      <c r="D1651" s="4">
        <v>18.21</v>
      </c>
    </row>
    <row r="1652" ht="22.5" hidden="1" customHeight="1">
      <c r="A1652" s="4" t="s">
        <v>11</v>
      </c>
      <c r="B1652" s="5">
        <v>46099.32896131944</v>
      </c>
      <c r="C1652" s="6"/>
      <c r="D1652" s="4">
        <v>18.25</v>
      </c>
    </row>
    <row r="1653" ht="22.5" hidden="1" customHeight="1">
      <c r="A1653" s="4" t="s">
        <v>11</v>
      </c>
      <c r="B1653" s="5">
        <v>46099.330330219906</v>
      </c>
      <c r="C1653" s="6"/>
      <c r="D1653" s="4">
        <v>18.21</v>
      </c>
    </row>
    <row r="1654" ht="22.5" hidden="1" customHeight="1">
      <c r="A1654" s="4" t="s">
        <v>11</v>
      </c>
      <c r="B1654" s="5">
        <v>46099.33169791667</v>
      </c>
      <c r="C1654" s="6"/>
      <c r="D1654" s="4">
        <v>18.25</v>
      </c>
    </row>
    <row r="1655" ht="22.5" hidden="1" customHeight="1">
      <c r="A1655" s="4" t="s">
        <v>11</v>
      </c>
      <c r="B1655" s="5">
        <v>46099.335120752316</v>
      </c>
      <c r="C1655" s="6"/>
      <c r="D1655" s="4">
        <v>18.21</v>
      </c>
    </row>
    <row r="1656" ht="22.5" hidden="1" customHeight="1">
      <c r="A1656" s="4" t="s">
        <v>11</v>
      </c>
      <c r="B1656" s="5">
        <v>46099.335808414355</v>
      </c>
      <c r="C1656" s="6"/>
      <c r="D1656" s="4">
        <v>18.25</v>
      </c>
    </row>
    <row r="1657" ht="22.5" hidden="1" customHeight="1">
      <c r="A1657" s="4" t="s">
        <v>11</v>
      </c>
      <c r="B1657" s="5">
        <v>46099.336488912035</v>
      </c>
      <c r="C1657" s="6"/>
      <c r="D1657" s="4">
        <v>18.27</v>
      </c>
    </row>
    <row r="1658" ht="22.5" hidden="1" customHeight="1">
      <c r="A1658" s="4" t="s">
        <v>11</v>
      </c>
      <c r="B1658" s="5">
        <v>46099.343336527774</v>
      </c>
      <c r="C1658" s="6"/>
      <c r="D1658" s="4">
        <v>18.29</v>
      </c>
    </row>
    <row r="1659" ht="22.5" hidden="1" customHeight="1">
      <c r="A1659" s="4" t="s">
        <v>11</v>
      </c>
      <c r="B1659" s="5">
        <v>46099.346760555556</v>
      </c>
      <c r="C1659" s="6"/>
      <c r="D1659" s="4">
        <v>18.33</v>
      </c>
    </row>
    <row r="1660" ht="22.5" hidden="1" customHeight="1">
      <c r="A1660" s="4" t="s">
        <v>11</v>
      </c>
      <c r="B1660" s="5">
        <v>46099.35178614583</v>
      </c>
      <c r="C1660" s="6"/>
      <c r="D1660" s="4" t="s">
        <v>9</v>
      </c>
    </row>
    <row r="1661" ht="22.5" hidden="1" customHeight="1">
      <c r="A1661" s="4" t="s">
        <v>11</v>
      </c>
      <c r="B1661" s="5">
        <v>46099.35178616898</v>
      </c>
      <c r="C1661" s="6"/>
      <c r="D1661" s="4">
        <v>18.33</v>
      </c>
    </row>
    <row r="1662" ht="22.5" hidden="1" customHeight="1">
      <c r="A1662" s="4" t="s">
        <v>11</v>
      </c>
      <c r="B1662" s="5">
        <v>46099.353249085645</v>
      </c>
      <c r="C1662" s="6"/>
      <c r="D1662" s="4" t="s">
        <v>9</v>
      </c>
    </row>
    <row r="1663" ht="22.5" hidden="1" customHeight="1">
      <c r="A1663" s="4" t="s">
        <v>11</v>
      </c>
      <c r="B1663" s="5">
        <v>46099.3532491088</v>
      </c>
      <c r="C1663" s="6"/>
      <c r="D1663" s="4">
        <v>18.33</v>
      </c>
    </row>
    <row r="1664" ht="22.5" hidden="1" customHeight="1">
      <c r="A1664" s="4" t="s">
        <v>11</v>
      </c>
      <c r="B1664" s="5">
        <v>46099.35429027778</v>
      </c>
      <c r="C1664" s="6"/>
      <c r="D1664" s="4">
        <v>18.35</v>
      </c>
    </row>
    <row r="1665" ht="22.5" hidden="1" customHeight="1">
      <c r="A1665" s="4" t="s">
        <v>11</v>
      </c>
      <c r="B1665" s="5">
        <v>46099.35703497685</v>
      </c>
      <c r="C1665" s="6"/>
      <c r="D1665" s="4">
        <v>18.37</v>
      </c>
    </row>
    <row r="1666" ht="22.5" hidden="1" customHeight="1">
      <c r="A1666" s="4" t="s">
        <v>11</v>
      </c>
      <c r="B1666" s="5">
        <v>46099.359769525465</v>
      </c>
      <c r="C1666" s="6"/>
      <c r="D1666" s="4">
        <v>18.41</v>
      </c>
    </row>
    <row r="1667" ht="22.5" hidden="1" customHeight="1">
      <c r="A1667" s="4" t="s">
        <v>11</v>
      </c>
      <c r="B1667" s="5">
        <v>46099.36045449074</v>
      </c>
      <c r="C1667" s="6"/>
      <c r="D1667" s="4">
        <v>18.44</v>
      </c>
    </row>
    <row r="1668" ht="22.5" hidden="1" customHeight="1">
      <c r="A1668" s="4" t="s">
        <v>11</v>
      </c>
      <c r="B1668" s="5">
        <v>46099.36113806713</v>
      </c>
      <c r="C1668" s="6"/>
      <c r="D1668" s="4">
        <v>18.41</v>
      </c>
    </row>
    <row r="1669" ht="22.5" hidden="1" customHeight="1">
      <c r="A1669" s="4" t="s">
        <v>11</v>
      </c>
      <c r="B1669" s="5">
        <v>46099.361822175924</v>
      </c>
      <c r="C1669" s="6"/>
      <c r="D1669" s="4">
        <v>18.44</v>
      </c>
    </row>
    <row r="1670" ht="22.5" hidden="1" customHeight="1">
      <c r="A1670" s="4" t="s">
        <v>11</v>
      </c>
      <c r="B1670" s="5">
        <v>46099.36661597222</v>
      </c>
      <c r="C1670" s="6"/>
      <c r="D1670" s="4">
        <v>18.46</v>
      </c>
    </row>
    <row r="1671" ht="22.5" hidden="1" customHeight="1">
      <c r="A1671" s="4" t="s">
        <v>11</v>
      </c>
      <c r="B1671" s="5">
        <v>46099.37072387731</v>
      </c>
      <c r="C1671" s="6"/>
      <c r="D1671" s="4">
        <v>18.49</v>
      </c>
    </row>
    <row r="1672" ht="22.5" hidden="1" customHeight="1">
      <c r="A1672" s="4" t="s">
        <v>11</v>
      </c>
      <c r="B1672" s="5">
        <v>46099.37209320602</v>
      </c>
      <c r="C1672" s="6"/>
      <c r="D1672" s="4">
        <v>18.52</v>
      </c>
    </row>
    <row r="1673" ht="22.5" hidden="1" customHeight="1">
      <c r="A1673" s="4" t="s">
        <v>11</v>
      </c>
      <c r="B1673" s="5">
        <v>46099.37620304398</v>
      </c>
      <c r="C1673" s="6"/>
      <c r="D1673" s="4">
        <v>18.54</v>
      </c>
    </row>
    <row r="1674" ht="22.5" hidden="1" customHeight="1">
      <c r="A1674" s="4" t="s">
        <v>11</v>
      </c>
      <c r="B1674" s="5">
        <v>46099.380313194444</v>
      </c>
      <c r="C1674" s="6"/>
      <c r="D1674" s="4">
        <v>18.58</v>
      </c>
    </row>
    <row r="1675" ht="22.5" hidden="1" customHeight="1">
      <c r="A1675" s="4" t="s">
        <v>11</v>
      </c>
      <c r="B1675" s="5">
        <v>46099.38373728009</v>
      </c>
      <c r="C1675" s="6"/>
      <c r="D1675" s="4">
        <v>18.6</v>
      </c>
    </row>
    <row r="1676" ht="22.5" hidden="1" customHeight="1">
      <c r="A1676" s="4" t="s">
        <v>11</v>
      </c>
      <c r="B1676" s="5">
        <v>46099.385789189815</v>
      </c>
      <c r="C1676" s="6"/>
      <c r="D1676" s="4">
        <v>18.62</v>
      </c>
    </row>
    <row r="1677" ht="22.5" hidden="1" customHeight="1">
      <c r="A1677" s="4" t="s">
        <v>11</v>
      </c>
      <c r="B1677" s="5">
        <v>46099.39079988426</v>
      </c>
      <c r="C1677" s="6"/>
      <c r="D1677" s="4" t="s">
        <v>9</v>
      </c>
    </row>
    <row r="1678" ht="22.5" hidden="1" customHeight="1">
      <c r="A1678" s="4" t="s">
        <v>11</v>
      </c>
      <c r="B1678" s="5">
        <v>46099.394117986114</v>
      </c>
      <c r="C1678" s="6"/>
      <c r="D1678" s="4">
        <v>18.68</v>
      </c>
    </row>
    <row r="1679" ht="22.5" hidden="1" customHeight="1">
      <c r="A1679" s="4" t="s">
        <v>11</v>
      </c>
      <c r="B1679" s="5">
        <v>46099.39549912037</v>
      </c>
      <c r="C1679" s="6"/>
      <c r="D1679" s="4">
        <v>18.7</v>
      </c>
    </row>
    <row r="1680" ht="22.5" hidden="1" customHeight="1">
      <c r="A1680" s="4" t="s">
        <v>11</v>
      </c>
      <c r="B1680" s="5">
        <v>46099.39754266204</v>
      </c>
      <c r="C1680" s="6"/>
      <c r="D1680" s="4">
        <v>18.74</v>
      </c>
    </row>
    <row r="1681" ht="22.5" hidden="1" customHeight="1">
      <c r="A1681" s="4" t="s">
        <v>11</v>
      </c>
      <c r="B1681" s="5">
        <v>46099.399603541664</v>
      </c>
      <c r="C1681" s="6"/>
      <c r="D1681" s="4">
        <v>18.77</v>
      </c>
    </row>
    <row r="1682" ht="22.5" hidden="1" customHeight="1">
      <c r="A1682" s="4" t="s">
        <v>11</v>
      </c>
      <c r="B1682" s="5">
        <v>46099.40096753472</v>
      </c>
      <c r="C1682" s="6"/>
      <c r="D1682" s="4">
        <v>18.78</v>
      </c>
    </row>
    <row r="1683" ht="22.5" hidden="1" customHeight="1">
      <c r="A1683" s="4" t="s">
        <v>11</v>
      </c>
      <c r="B1683" s="5">
        <v>46099.40165288194</v>
      </c>
      <c r="C1683" s="6"/>
      <c r="D1683" s="4">
        <v>18.77</v>
      </c>
    </row>
    <row r="1684" ht="22.5" hidden="1" customHeight="1">
      <c r="A1684" s="4" t="s">
        <v>11</v>
      </c>
      <c r="B1684" s="5">
        <v>46099.402338125</v>
      </c>
      <c r="C1684" s="6"/>
      <c r="D1684" s="4">
        <v>18.78</v>
      </c>
    </row>
    <row r="1685" ht="22.5" hidden="1" customHeight="1">
      <c r="A1685" s="4" t="s">
        <v>11</v>
      </c>
      <c r="B1685" s="5">
        <v>46099.40439170139</v>
      </c>
      <c r="C1685" s="6"/>
      <c r="D1685" s="4">
        <v>18.82</v>
      </c>
    </row>
    <row r="1686" ht="22.5" hidden="1" customHeight="1">
      <c r="A1686" s="4" t="s">
        <v>11</v>
      </c>
      <c r="B1686" s="5">
        <v>46099.40576188658</v>
      </c>
      <c r="C1686" s="6"/>
      <c r="D1686" s="4">
        <v>18.85</v>
      </c>
    </row>
    <row r="1687" ht="22.5" hidden="1" customHeight="1">
      <c r="A1687" s="4" t="s">
        <v>11</v>
      </c>
      <c r="B1687" s="5">
        <v>46099.4064478125</v>
      </c>
      <c r="C1687" s="6"/>
      <c r="D1687" s="4">
        <v>18.86</v>
      </c>
    </row>
    <row r="1688" ht="22.5" hidden="1" customHeight="1">
      <c r="A1688" s="4" t="s">
        <v>11</v>
      </c>
      <c r="B1688" s="5">
        <v>46099.40713230324</v>
      </c>
      <c r="C1688" s="6"/>
      <c r="D1688" s="4">
        <v>18.85</v>
      </c>
    </row>
    <row r="1689" ht="22.5" hidden="1" customHeight="1">
      <c r="A1689" s="4" t="s">
        <v>11</v>
      </c>
      <c r="B1689" s="5">
        <v>46099.40883586805</v>
      </c>
      <c r="C1689" s="6"/>
      <c r="D1689" s="4">
        <v>18.86</v>
      </c>
    </row>
    <row r="1690" ht="22.5" hidden="1" customHeight="1">
      <c r="A1690" s="4" t="s">
        <v>11</v>
      </c>
      <c r="B1690" s="5">
        <v>46099.41020846065</v>
      </c>
      <c r="C1690" s="6"/>
      <c r="D1690" s="4">
        <v>18.9</v>
      </c>
    </row>
    <row r="1691" ht="22.5" hidden="1" customHeight="1">
      <c r="A1691" s="4" t="s">
        <v>11</v>
      </c>
      <c r="B1691" s="5">
        <v>46099.41089226852</v>
      </c>
      <c r="C1691" s="6"/>
      <c r="D1691" s="4">
        <v>18.86</v>
      </c>
    </row>
    <row r="1692" ht="22.5" hidden="1" customHeight="1">
      <c r="A1692" s="4" t="s">
        <v>11</v>
      </c>
      <c r="B1692" s="5">
        <v>46099.41157884259</v>
      </c>
      <c r="C1692" s="6"/>
      <c r="D1692" s="4">
        <v>18.9</v>
      </c>
    </row>
    <row r="1693" ht="22.5" hidden="1" customHeight="1">
      <c r="A1693" s="4" t="s">
        <v>11</v>
      </c>
      <c r="B1693" s="5">
        <v>46099.41294744213</v>
      </c>
      <c r="C1693" s="6"/>
      <c r="D1693" s="4">
        <v>18.93</v>
      </c>
    </row>
    <row r="1694" ht="22.5" hidden="1" customHeight="1">
      <c r="A1694" s="4" t="s">
        <v>11</v>
      </c>
      <c r="B1694" s="5">
        <v>46099.41360824074</v>
      </c>
      <c r="C1694" s="6"/>
      <c r="D1694" s="4" t="s">
        <v>9</v>
      </c>
    </row>
    <row r="1695" ht="22.5" hidden="1" customHeight="1">
      <c r="A1695" s="4" t="s">
        <v>11</v>
      </c>
      <c r="B1695" s="5">
        <v>46099.41360825232</v>
      </c>
      <c r="C1695" s="8"/>
    </row>
    <row r="1696" ht="22.5" hidden="1" customHeight="1">
      <c r="A1696" s="4" t="s">
        <v>11</v>
      </c>
      <c r="B1696" s="5">
        <v>46099.41380112268</v>
      </c>
      <c r="C1696" s="6"/>
      <c r="D1696" s="4">
        <v>18.93</v>
      </c>
    </row>
    <row r="1697" ht="22.5" hidden="1" customHeight="1">
      <c r="A1697" s="4" t="s">
        <v>11</v>
      </c>
      <c r="B1697" s="5">
        <v>46099.414323460645</v>
      </c>
      <c r="C1697" s="6"/>
      <c r="D1697" s="4">
        <v>18.94</v>
      </c>
    </row>
    <row r="1698" ht="22.5" hidden="1" customHeight="1">
      <c r="A1698" s="4" t="s">
        <v>11</v>
      </c>
      <c r="B1698" s="5">
        <v>46099.416375092595</v>
      </c>
      <c r="C1698" s="6"/>
      <c r="D1698" s="4">
        <v>18.98</v>
      </c>
    </row>
    <row r="1699" ht="22.5" hidden="1" customHeight="1">
      <c r="A1699" s="4" t="s">
        <v>11</v>
      </c>
      <c r="B1699" s="5">
        <v>46099.41979827546</v>
      </c>
      <c r="C1699" s="6"/>
      <c r="D1699" s="4">
        <v>19.01</v>
      </c>
    </row>
    <row r="1700" ht="22.5" hidden="1" customHeight="1">
      <c r="A1700" s="4" t="s">
        <v>11</v>
      </c>
      <c r="B1700" s="5">
        <v>46099.42049467593</v>
      </c>
      <c r="C1700" s="6"/>
      <c r="D1700" s="4">
        <v>19.03</v>
      </c>
    </row>
    <row r="1701" ht="22.5" hidden="1" customHeight="1">
      <c r="A1701" s="4" t="s">
        <v>11</v>
      </c>
      <c r="B1701" s="5">
        <v>46099.42117261574</v>
      </c>
      <c r="C1701" s="6"/>
      <c r="D1701" s="4">
        <v>19.01</v>
      </c>
    </row>
    <row r="1702" ht="22.5" hidden="1" customHeight="1">
      <c r="A1702" s="4" t="s">
        <v>11</v>
      </c>
      <c r="B1702" s="5">
        <v>46099.42365408565</v>
      </c>
      <c r="C1702" s="6"/>
      <c r="D1702" s="4">
        <v>19.09</v>
      </c>
    </row>
    <row r="1703" ht="22.5" hidden="1" customHeight="1">
      <c r="A1703" s="4" t="s">
        <v>11</v>
      </c>
      <c r="B1703" s="5">
        <v>46099.42414309028</v>
      </c>
      <c r="C1703" s="6"/>
      <c r="D1703" s="4" t="s">
        <v>9</v>
      </c>
    </row>
    <row r="1704" ht="22.5" hidden="1" customHeight="1">
      <c r="A1704" s="4" t="s">
        <v>11</v>
      </c>
      <c r="B1704" s="5">
        <v>46099.42414310185</v>
      </c>
      <c r="C1704" s="8"/>
    </row>
    <row r="1705" ht="22.5" hidden="1" customHeight="1">
      <c r="A1705" s="4" t="s">
        <v>11</v>
      </c>
      <c r="B1705" s="5">
        <v>46099.42430019676</v>
      </c>
      <c r="C1705" s="6"/>
      <c r="D1705" s="4">
        <v>19.09</v>
      </c>
    </row>
    <row r="1706" ht="22.5" hidden="1" customHeight="1">
      <c r="A1706" s="4" t="s">
        <v>11</v>
      </c>
      <c r="B1706" s="5">
        <v>46099.426395752314</v>
      </c>
      <c r="C1706" s="6"/>
      <c r="D1706" s="4">
        <v>19.11</v>
      </c>
    </row>
    <row r="1707" ht="22.5" hidden="1" customHeight="1">
      <c r="A1707" s="4" t="s">
        <v>11</v>
      </c>
      <c r="B1707" s="5">
        <v>46099.43050613426</v>
      </c>
      <c r="C1707" s="6"/>
      <c r="D1707" s="4">
        <v>19.14</v>
      </c>
    </row>
    <row r="1708" ht="22.5" hidden="1" customHeight="1">
      <c r="A1708" s="4" t="s">
        <v>11</v>
      </c>
      <c r="B1708" s="5">
        <v>46099.43346853009</v>
      </c>
      <c r="C1708" s="6"/>
      <c r="D1708" s="4" t="s">
        <v>9</v>
      </c>
    </row>
    <row r="1709" ht="22.5" hidden="1" customHeight="1">
      <c r="A1709" s="4" t="s">
        <v>11</v>
      </c>
      <c r="B1709" s="5">
        <v>46099.43346854167</v>
      </c>
      <c r="C1709" s="8"/>
    </row>
    <row r="1710" ht="22.5" hidden="1" customHeight="1">
      <c r="A1710" s="4" t="s">
        <v>11</v>
      </c>
      <c r="B1710" s="5">
        <v>46099.436334375</v>
      </c>
      <c r="C1710" s="6"/>
      <c r="D1710" s="4">
        <v>19.19</v>
      </c>
    </row>
    <row r="1711" ht="22.5" hidden="1" customHeight="1">
      <c r="A1711" s="4" t="s">
        <v>11</v>
      </c>
      <c r="B1711" s="5">
        <v>46099.43648773148</v>
      </c>
      <c r="C1711" s="6"/>
      <c r="D1711" s="4">
        <v>19.21</v>
      </c>
    </row>
    <row r="1712" ht="22.5" hidden="1" customHeight="1">
      <c r="A1712" s="4" t="s">
        <v>11</v>
      </c>
      <c r="B1712" s="5">
        <v>46099.4371727662</v>
      </c>
      <c r="C1712" s="6"/>
      <c r="D1712" s="4">
        <v>19.19</v>
      </c>
    </row>
    <row r="1713" ht="22.5" hidden="1" customHeight="1">
      <c r="A1713" s="4" t="s">
        <v>11</v>
      </c>
      <c r="B1713" s="5">
        <v>46099.437857743054</v>
      </c>
      <c r="C1713" s="6"/>
      <c r="D1713" s="4">
        <v>19.21</v>
      </c>
    </row>
    <row r="1714" ht="22.5" hidden="1" customHeight="1">
      <c r="A1714" s="4" t="s">
        <v>11</v>
      </c>
      <c r="B1714" s="5">
        <v>46099.43923019676</v>
      </c>
      <c r="C1714" s="6"/>
      <c r="D1714" s="4">
        <v>19.25</v>
      </c>
    </row>
    <row r="1715" ht="22.5" hidden="1" customHeight="1">
      <c r="A1715" s="4" t="s">
        <v>11</v>
      </c>
      <c r="B1715" s="5">
        <v>46099.440598333334</v>
      </c>
      <c r="C1715" s="6"/>
      <c r="D1715" s="4">
        <v>19.27</v>
      </c>
    </row>
    <row r="1716" ht="22.5" hidden="1" customHeight="1">
      <c r="A1716" s="4" t="s">
        <v>11</v>
      </c>
      <c r="B1716" s="5">
        <v>46099.44197075231</v>
      </c>
      <c r="C1716" s="6"/>
      <c r="D1716" s="4">
        <v>19.29</v>
      </c>
    </row>
    <row r="1717" ht="22.5" hidden="1" customHeight="1">
      <c r="A1717" s="4" t="s">
        <v>11</v>
      </c>
      <c r="B1717" s="5">
        <v>46099.4453946412</v>
      </c>
      <c r="C1717" s="6"/>
      <c r="D1717" s="4">
        <v>19.33</v>
      </c>
    </row>
    <row r="1718" ht="22.5" hidden="1" customHeight="1">
      <c r="A1718" s="4" t="s">
        <v>11</v>
      </c>
      <c r="B1718" s="5">
        <v>46099.446782175924</v>
      </c>
      <c r="C1718" s="6"/>
      <c r="D1718" s="4">
        <v>19.35</v>
      </c>
    </row>
    <row r="1719" ht="22.5" hidden="1" customHeight="1">
      <c r="A1719" s="4" t="s">
        <v>11</v>
      </c>
      <c r="B1719" s="5">
        <v>46099.44950837963</v>
      </c>
      <c r="C1719" s="6"/>
      <c r="D1719" s="4">
        <v>19.39</v>
      </c>
    </row>
    <row r="1720" ht="22.5" hidden="1" customHeight="1">
      <c r="A1720" s="4" t="s">
        <v>11</v>
      </c>
      <c r="B1720" s="5">
        <v>46099.45156577546</v>
      </c>
      <c r="C1720" s="6"/>
      <c r="D1720" s="4">
        <v>19.41</v>
      </c>
    </row>
    <row r="1721" ht="22.5" hidden="1" customHeight="1">
      <c r="A1721" s="4" t="s">
        <v>11</v>
      </c>
      <c r="B1721" s="5">
        <v>46099.454987349534</v>
      </c>
      <c r="C1721" s="6"/>
      <c r="D1721" s="4">
        <v>19.43</v>
      </c>
    </row>
    <row r="1722" ht="22.5" hidden="1" customHeight="1">
      <c r="A1722" s="4" t="s">
        <v>11</v>
      </c>
      <c r="B1722" s="5">
        <v>46099.457049606484</v>
      </c>
      <c r="C1722" s="6"/>
      <c r="D1722" s="4">
        <v>19.46</v>
      </c>
    </row>
    <row r="1723" ht="22.5" hidden="1" customHeight="1">
      <c r="A1723" s="4" t="s">
        <v>11</v>
      </c>
      <c r="B1723" s="5">
        <v>46099.45841393519</v>
      </c>
      <c r="C1723" s="6"/>
      <c r="D1723" s="4">
        <v>19.49</v>
      </c>
    </row>
    <row r="1724" ht="22.5" hidden="1" customHeight="1">
      <c r="A1724" s="4" t="s">
        <v>11</v>
      </c>
      <c r="B1724" s="5">
        <v>46099.46046998843</v>
      </c>
      <c r="C1724" s="6"/>
      <c r="D1724" s="4">
        <v>19.52</v>
      </c>
    </row>
    <row r="1725" ht="22.5" hidden="1" customHeight="1">
      <c r="A1725" s="4" t="s">
        <v>11</v>
      </c>
      <c r="B1725" s="5">
        <v>46099.464577858795</v>
      </c>
      <c r="C1725" s="6"/>
      <c r="D1725" s="4">
        <v>19.54</v>
      </c>
    </row>
    <row r="1726" ht="22.5" hidden="1" customHeight="1">
      <c r="A1726" s="4" t="s">
        <v>11</v>
      </c>
      <c r="B1726" s="5">
        <v>46099.46526413195</v>
      </c>
      <c r="C1726" s="6"/>
      <c r="D1726" s="4">
        <v>19.52</v>
      </c>
    </row>
    <row r="1727" ht="22.5" hidden="1" customHeight="1">
      <c r="A1727" s="4" t="s">
        <v>11</v>
      </c>
      <c r="B1727" s="5">
        <v>46099.465949247686</v>
      </c>
      <c r="C1727" s="6"/>
      <c r="D1727" s="4">
        <v>19.54</v>
      </c>
    </row>
    <row r="1728" ht="22.5" hidden="1" customHeight="1">
      <c r="A1728" s="4" t="s">
        <v>11</v>
      </c>
      <c r="B1728" s="5">
        <v>46099.469375486115</v>
      </c>
      <c r="C1728" s="6"/>
      <c r="D1728" s="4">
        <v>19.57</v>
      </c>
    </row>
    <row r="1729" ht="22.5" hidden="1" customHeight="1">
      <c r="A1729" s="4" t="s">
        <v>11</v>
      </c>
      <c r="B1729" s="5">
        <v>46099.47211563658</v>
      </c>
      <c r="C1729" s="6"/>
      <c r="D1729" s="4">
        <v>19.6</v>
      </c>
    </row>
    <row r="1730" ht="22.5" hidden="1" customHeight="1">
      <c r="A1730" s="4" t="s">
        <v>11</v>
      </c>
      <c r="B1730" s="5">
        <v>46099.474173622686</v>
      </c>
      <c r="C1730" s="6"/>
      <c r="D1730" s="4">
        <v>19.62</v>
      </c>
    </row>
    <row r="1731" ht="22.5" hidden="1" customHeight="1">
      <c r="A1731" s="4" t="s">
        <v>11</v>
      </c>
      <c r="B1731" s="5">
        <v>46099.479651608795</v>
      </c>
      <c r="C1731" s="6"/>
      <c r="D1731" s="4">
        <v>19.65</v>
      </c>
    </row>
    <row r="1732" ht="22.5" hidden="1" customHeight="1">
      <c r="A1732" s="4" t="s">
        <v>11</v>
      </c>
      <c r="B1732" s="5">
        <v>46099.480335520835</v>
      </c>
      <c r="C1732" s="6"/>
      <c r="D1732" s="4">
        <v>19.62</v>
      </c>
    </row>
    <row r="1733" ht="22.5" hidden="1" customHeight="1">
      <c r="A1733" s="4" t="s">
        <v>11</v>
      </c>
      <c r="B1733" s="5">
        <v>46099.481021273146</v>
      </c>
      <c r="C1733" s="6"/>
      <c r="D1733" s="4">
        <v>19.65</v>
      </c>
    </row>
    <row r="1734" ht="22.5" hidden="1" customHeight="1">
      <c r="A1734" s="4" t="s">
        <v>11</v>
      </c>
      <c r="B1734" s="5">
        <v>46099.48376149306</v>
      </c>
      <c r="C1734" s="6"/>
      <c r="D1734" s="4">
        <v>19.68</v>
      </c>
    </row>
    <row r="1735" ht="22.5" hidden="1" customHeight="1">
      <c r="A1735" s="4" t="s">
        <v>11</v>
      </c>
      <c r="B1735" s="5">
        <v>46099.48787150463</v>
      </c>
      <c r="C1735" s="6"/>
      <c r="D1735" s="4">
        <v>19.7</v>
      </c>
    </row>
    <row r="1736" ht="22.5" hidden="1" customHeight="1">
      <c r="A1736" s="4" t="s">
        <v>11</v>
      </c>
      <c r="B1736" s="5">
        <v>46099.490611712965</v>
      </c>
      <c r="C1736" s="6"/>
      <c r="D1736" s="4">
        <v>19.73</v>
      </c>
    </row>
    <row r="1737" ht="22.5" hidden="1" customHeight="1">
      <c r="A1737" s="4" t="s">
        <v>11</v>
      </c>
      <c r="B1737" s="5">
        <v>46099.496094456015</v>
      </c>
      <c r="C1737" s="6"/>
      <c r="D1737" s="4">
        <v>19.76</v>
      </c>
    </row>
    <row r="1738" ht="22.5" hidden="1" customHeight="1">
      <c r="A1738" s="4" t="s">
        <v>11</v>
      </c>
      <c r="B1738" s="5">
        <v>46099.49951997685</v>
      </c>
      <c r="C1738" s="6"/>
      <c r="D1738" s="4">
        <v>19.78</v>
      </c>
    </row>
    <row r="1739" ht="22.5" hidden="1" customHeight="1">
      <c r="A1739" s="4" t="s">
        <v>11</v>
      </c>
      <c r="B1739" s="5">
        <v>46099.50089216435</v>
      </c>
      <c r="C1739" s="6"/>
      <c r="D1739" s="4">
        <v>19.76</v>
      </c>
    </row>
    <row r="1740" ht="22.5" hidden="1" customHeight="1">
      <c r="A1740" s="4" t="s">
        <v>11</v>
      </c>
      <c r="B1740" s="5">
        <v>46099.501575277776</v>
      </c>
      <c r="C1740" s="6"/>
      <c r="D1740" s="4">
        <v>19.78</v>
      </c>
    </row>
    <row r="1741" ht="22.5" hidden="1" customHeight="1">
      <c r="A1741" s="4" t="s">
        <v>11</v>
      </c>
      <c r="B1741" s="5">
        <v>46099.505688460646</v>
      </c>
      <c r="C1741" s="6"/>
      <c r="D1741" s="4">
        <v>19.81</v>
      </c>
    </row>
    <row r="1742" ht="22.5" hidden="1" customHeight="1">
      <c r="A1742" s="4" t="s">
        <v>11</v>
      </c>
      <c r="B1742" s="5">
        <v>46099.506370034724</v>
      </c>
      <c r="C1742" s="6"/>
      <c r="D1742" s="4">
        <v>19.78</v>
      </c>
    </row>
    <row r="1743" ht="22.5" hidden="1" customHeight="1">
      <c r="A1743" s="4" t="s">
        <v>11</v>
      </c>
      <c r="B1743" s="5">
        <v>46099.50705502315</v>
      </c>
      <c r="C1743" s="6"/>
      <c r="D1743" s="4">
        <v>19.84</v>
      </c>
    </row>
    <row r="1744" ht="22.5" hidden="1" customHeight="1">
      <c r="A1744" s="4" t="s">
        <v>11</v>
      </c>
      <c r="B1744" s="5">
        <v>46099.50774001158</v>
      </c>
      <c r="C1744" s="6"/>
      <c r="D1744" s="4">
        <v>19.81</v>
      </c>
    </row>
    <row r="1745" ht="22.5" hidden="1" customHeight="1">
      <c r="A1745" s="4" t="s">
        <v>11</v>
      </c>
      <c r="B1745" s="5">
        <v>46099.50979513889</v>
      </c>
      <c r="C1745" s="6"/>
      <c r="D1745" s="4">
        <v>19.84</v>
      </c>
    </row>
    <row r="1746" ht="22.5" hidden="1" customHeight="1">
      <c r="A1746" s="4" t="s">
        <v>11</v>
      </c>
      <c r="B1746" s="5">
        <v>46099.5166471875</v>
      </c>
      <c r="C1746" s="6"/>
      <c r="D1746" s="4">
        <v>19.86</v>
      </c>
    </row>
    <row r="1747" ht="22.5" hidden="1" customHeight="1">
      <c r="A1747" s="4" t="s">
        <v>11</v>
      </c>
      <c r="B1747" s="5">
        <v>46099.52075694445</v>
      </c>
      <c r="C1747" s="6"/>
      <c r="D1747" s="4">
        <v>19.89</v>
      </c>
    </row>
    <row r="1748" ht="22.5" hidden="1" customHeight="1">
      <c r="A1748" s="4" t="s">
        <v>11</v>
      </c>
      <c r="B1748" s="5">
        <v>46099.52349840278</v>
      </c>
      <c r="C1748" s="6"/>
      <c r="D1748" s="4">
        <v>19.92</v>
      </c>
    </row>
    <row r="1749" ht="22.5" hidden="1" customHeight="1">
      <c r="A1749" s="4" t="s">
        <v>11</v>
      </c>
      <c r="B1749" s="5">
        <v>46099.52555251157</v>
      </c>
      <c r="C1749" s="6"/>
      <c r="D1749" s="4">
        <v>19.89</v>
      </c>
    </row>
    <row r="1750" ht="22.5" hidden="1" customHeight="1">
      <c r="A1750" s="4" t="s">
        <v>11</v>
      </c>
      <c r="B1750" s="5">
        <v>46099.52623900463</v>
      </c>
      <c r="C1750" s="6"/>
      <c r="D1750" s="4">
        <v>19.92</v>
      </c>
    </row>
    <row r="1751" ht="22.5" hidden="1" customHeight="1">
      <c r="A1751" s="4" t="s">
        <v>11</v>
      </c>
      <c r="B1751" s="5">
        <v>46099.52760851852</v>
      </c>
      <c r="C1751" s="6"/>
      <c r="D1751" s="4">
        <v>19.94</v>
      </c>
    </row>
    <row r="1752" ht="22.5" hidden="1" customHeight="1">
      <c r="A1752" s="4" t="s">
        <v>11</v>
      </c>
      <c r="B1752" s="5">
        <v>46099.528294097225</v>
      </c>
      <c r="C1752" s="6"/>
      <c r="D1752" s="4">
        <v>19.92</v>
      </c>
    </row>
    <row r="1753" ht="22.5" hidden="1" customHeight="1">
      <c r="A1753" s="4" t="s">
        <v>11</v>
      </c>
      <c r="B1753" s="5">
        <v>46099.52898097222</v>
      </c>
      <c r="C1753" s="6"/>
      <c r="D1753" s="4">
        <v>19.94</v>
      </c>
    </row>
    <row r="1754" ht="22.5" hidden="1" customHeight="1">
      <c r="A1754" s="4" t="s">
        <v>11</v>
      </c>
      <c r="B1754" s="5">
        <v>46099.53720144676</v>
      </c>
      <c r="C1754" s="6"/>
      <c r="D1754" s="4">
        <v>19.96</v>
      </c>
    </row>
    <row r="1755" ht="22.5" hidden="1" customHeight="1">
      <c r="A1755" s="4" t="s">
        <v>11</v>
      </c>
      <c r="B1755" s="5">
        <v>46099.539254675925</v>
      </c>
      <c r="C1755" s="6"/>
      <c r="D1755" s="4">
        <v>19.94</v>
      </c>
    </row>
    <row r="1756" ht="22.5" hidden="1" customHeight="1">
      <c r="A1756" s="4" t="s">
        <v>11</v>
      </c>
      <c r="B1756" s="5">
        <v>46099.53993961806</v>
      </c>
      <c r="C1756" s="6"/>
      <c r="D1756" s="4">
        <v>19.96</v>
      </c>
    </row>
    <row r="1757" ht="22.5" hidden="1" customHeight="1">
      <c r="A1757" s="4" t="s">
        <v>11</v>
      </c>
      <c r="B1757" s="5">
        <v>46099.54542002315</v>
      </c>
      <c r="C1757" s="6"/>
      <c r="D1757" s="4">
        <v>20.0</v>
      </c>
    </row>
    <row r="1758" ht="22.5" hidden="1" customHeight="1">
      <c r="A1758" s="4" t="s">
        <v>11</v>
      </c>
      <c r="B1758" s="5">
        <v>46099.54610519676</v>
      </c>
      <c r="C1758" s="6"/>
      <c r="D1758" s="4">
        <v>19.96</v>
      </c>
    </row>
    <row r="1759" ht="22.5" hidden="1" customHeight="1">
      <c r="A1759" s="4" t="s">
        <v>11</v>
      </c>
      <c r="B1759" s="5">
        <v>46099.54747513889</v>
      </c>
      <c r="C1759" s="6"/>
      <c r="D1759" s="4">
        <v>20.0</v>
      </c>
    </row>
    <row r="1760" ht="22.5" hidden="1" customHeight="1">
      <c r="A1760" s="4" t="s">
        <v>11</v>
      </c>
      <c r="B1760" s="5">
        <v>46099.55455505787</v>
      </c>
      <c r="C1760" s="6"/>
      <c r="D1760" s="4">
        <v>20.02</v>
      </c>
    </row>
    <row r="1761" ht="22.5" hidden="1" customHeight="1">
      <c r="A1761" s="4" t="s">
        <v>11</v>
      </c>
      <c r="B1761" s="5">
        <v>46099.55600549769</v>
      </c>
      <c r="C1761" s="6"/>
      <c r="D1761" s="4" t="s">
        <v>9</v>
      </c>
    </row>
    <row r="1762" ht="22.5" hidden="1" customHeight="1">
      <c r="A1762" s="4" t="s">
        <v>11</v>
      </c>
      <c r="B1762" s="5">
        <v>46099.55600552083</v>
      </c>
      <c r="C1762" s="8"/>
    </row>
    <row r="1763" ht="22.5" hidden="1" customHeight="1">
      <c r="A1763" s="4" t="s">
        <v>11</v>
      </c>
      <c r="B1763" s="5">
        <v>46099.556371770836</v>
      </c>
      <c r="C1763" s="6"/>
      <c r="D1763" s="4">
        <v>20.02</v>
      </c>
    </row>
    <row r="1764" ht="22.5" hidden="1" customHeight="1">
      <c r="A1764" s="4" t="s">
        <v>11</v>
      </c>
      <c r="B1764" s="5">
        <v>46099.56140684028</v>
      </c>
      <c r="C1764" s="6"/>
      <c r="D1764" s="4">
        <v>20.04</v>
      </c>
    </row>
    <row r="1765" ht="22.5" hidden="1" customHeight="1">
      <c r="A1765" s="4" t="s">
        <v>11</v>
      </c>
      <c r="B1765" s="5">
        <v>46099.57023631944</v>
      </c>
      <c r="C1765" s="6"/>
      <c r="D1765" s="4" t="s">
        <v>9</v>
      </c>
    </row>
    <row r="1766" ht="22.5" hidden="1" customHeight="1">
      <c r="A1766" s="4" t="s">
        <v>11</v>
      </c>
      <c r="B1766" s="5">
        <v>46099.57023633102</v>
      </c>
      <c r="C1766" s="8"/>
    </row>
    <row r="1767" ht="22.5" hidden="1" customHeight="1">
      <c r="A1767" s="4" t="s">
        <v>11</v>
      </c>
      <c r="B1767" s="5">
        <v>46099.57037703704</v>
      </c>
      <c r="C1767" s="6"/>
      <c r="D1767" s="4">
        <v>20.04</v>
      </c>
    </row>
    <row r="1768" ht="22.5" hidden="1" customHeight="1">
      <c r="A1768" s="4" t="s">
        <v>11</v>
      </c>
      <c r="B1768" s="5">
        <v>46099.572542662034</v>
      </c>
      <c r="C1768" s="6"/>
      <c r="D1768" s="4">
        <v>20.08</v>
      </c>
    </row>
    <row r="1769" ht="22.5" hidden="1" customHeight="1">
      <c r="A1769" s="4" t="s">
        <v>11</v>
      </c>
      <c r="B1769" s="5">
        <v>46099.57322799769</v>
      </c>
      <c r="C1769" s="6"/>
      <c r="D1769" s="4">
        <v>20.04</v>
      </c>
    </row>
    <row r="1770" ht="22.5" hidden="1" customHeight="1">
      <c r="A1770" s="4" t="s">
        <v>11</v>
      </c>
      <c r="B1770" s="5">
        <v>46099.57391072917</v>
      </c>
      <c r="C1770" s="6"/>
      <c r="D1770" s="4">
        <v>20.08</v>
      </c>
    </row>
    <row r="1771" ht="22.5" hidden="1" customHeight="1">
      <c r="A1771" s="4" t="s">
        <v>11</v>
      </c>
      <c r="B1771" s="5">
        <v>46099.57993820602</v>
      </c>
      <c r="C1771" s="6"/>
      <c r="D1771" s="4">
        <v>20.1</v>
      </c>
    </row>
    <row r="1772" ht="22.5" hidden="1" customHeight="1">
      <c r="A1772" s="4" t="s">
        <v>11</v>
      </c>
      <c r="B1772" s="5">
        <v>46099.58032234954</v>
      </c>
      <c r="C1772" s="6"/>
      <c r="D1772" s="4" t="s">
        <v>9</v>
      </c>
    </row>
    <row r="1773" ht="22.5" hidden="1" customHeight="1">
      <c r="A1773" s="4" t="s">
        <v>11</v>
      </c>
      <c r="B1773" s="5">
        <v>46099.580322361115</v>
      </c>
      <c r="C1773" s="8"/>
    </row>
    <row r="1774" ht="22.5" hidden="1" customHeight="1">
      <c r="A1774" s="4" t="s">
        <v>11</v>
      </c>
      <c r="B1774" s="5">
        <v>46099.62425862269</v>
      </c>
      <c r="C1774" s="6"/>
      <c r="D1774" s="4">
        <v>20.24</v>
      </c>
    </row>
    <row r="1775" ht="22.5" hidden="1" customHeight="1">
      <c r="A1775" s="4" t="s">
        <v>11</v>
      </c>
      <c r="B1775" s="5">
        <v>46099.63132798611</v>
      </c>
      <c r="C1775" s="6"/>
      <c r="D1775" s="4">
        <v>20.26</v>
      </c>
    </row>
    <row r="1776" ht="22.5" hidden="1" customHeight="1">
      <c r="A1776" s="4" t="s">
        <v>11</v>
      </c>
      <c r="B1776" s="5">
        <v>46099.63201207176</v>
      </c>
      <c r="C1776" s="6"/>
      <c r="D1776" s="4">
        <v>20.24</v>
      </c>
    </row>
    <row r="1777" ht="22.5" hidden="1" customHeight="1">
      <c r="A1777" s="4" t="s">
        <v>11</v>
      </c>
      <c r="B1777" s="5">
        <v>46099.63315996528</v>
      </c>
      <c r="C1777" s="6"/>
      <c r="D1777" s="4" t="s">
        <v>9</v>
      </c>
    </row>
    <row r="1778" ht="22.5" hidden="1" customHeight="1">
      <c r="A1778" s="4" t="s">
        <v>11</v>
      </c>
      <c r="B1778" s="5">
        <v>46099.63315997685</v>
      </c>
      <c r="C1778" s="8"/>
    </row>
    <row r="1779" ht="22.5" hidden="1" customHeight="1">
      <c r="A1779" s="4" t="s">
        <v>11</v>
      </c>
      <c r="B1779" s="5">
        <v>46099.6348783912</v>
      </c>
      <c r="C1779" s="6"/>
      <c r="D1779" s="4">
        <v>20.26</v>
      </c>
    </row>
    <row r="1780" ht="22.5" hidden="1" customHeight="1">
      <c r="A1780" s="4" t="s">
        <v>11</v>
      </c>
      <c r="B1780" s="5">
        <v>46099.63552712963</v>
      </c>
      <c r="C1780" s="6"/>
      <c r="D1780" s="4">
        <v>20.24</v>
      </c>
    </row>
    <row r="1781" ht="22.5" hidden="1" customHeight="1">
      <c r="A1781" s="4" t="s">
        <v>11</v>
      </c>
      <c r="B1781" s="5">
        <v>46099.63676059028</v>
      </c>
      <c r="C1781" s="6"/>
      <c r="D1781" s="4" t="s">
        <v>9</v>
      </c>
    </row>
    <row r="1782" ht="22.5" hidden="1" customHeight="1">
      <c r="A1782" s="4" t="s">
        <v>11</v>
      </c>
      <c r="B1782" s="5">
        <v>46099.636760601854</v>
      </c>
      <c r="C1782" s="8"/>
    </row>
    <row r="1783" ht="22.5" hidden="1" customHeight="1">
      <c r="A1783" s="4" t="s">
        <v>11</v>
      </c>
      <c r="B1783" s="5">
        <v>46099.63709454861</v>
      </c>
      <c r="C1783" s="6"/>
      <c r="D1783" s="4">
        <v>20.24</v>
      </c>
    </row>
    <row r="1784" ht="22.5" hidden="1" customHeight="1">
      <c r="A1784" s="4" t="s">
        <v>11</v>
      </c>
      <c r="B1784" s="5">
        <v>46099.63765466435</v>
      </c>
      <c r="C1784" s="6"/>
      <c r="D1784" s="4">
        <v>20.26</v>
      </c>
    </row>
    <row r="1785" ht="22.5" hidden="1" customHeight="1">
      <c r="A1785" s="4" t="s">
        <v>11</v>
      </c>
      <c r="B1785" s="5">
        <v>46099.639711261574</v>
      </c>
      <c r="C1785" s="6"/>
      <c r="D1785" s="4">
        <v>20.24</v>
      </c>
    </row>
    <row r="1786" ht="22.5" hidden="1" customHeight="1">
      <c r="A1786" s="4" t="s">
        <v>11</v>
      </c>
      <c r="B1786" s="5">
        <v>46099.64039587963</v>
      </c>
      <c r="C1786" s="6"/>
      <c r="D1786" s="4">
        <v>20.26</v>
      </c>
    </row>
    <row r="1787" ht="22.5" hidden="1" customHeight="1">
      <c r="A1787" s="4" t="s">
        <v>11</v>
      </c>
      <c r="B1787" s="5">
        <v>46099.64128549769</v>
      </c>
      <c r="C1787" s="6"/>
      <c r="D1787" s="4" t="s">
        <v>9</v>
      </c>
    </row>
    <row r="1788" ht="22.5" hidden="1" customHeight="1">
      <c r="A1788" s="4" t="s">
        <v>11</v>
      </c>
      <c r="B1788" s="5">
        <v>46099.64128552083</v>
      </c>
      <c r="C1788" s="6"/>
      <c r="D1788" s="4">
        <v>20.26</v>
      </c>
    </row>
    <row r="1789" ht="22.5" hidden="1" customHeight="1">
      <c r="A1789" s="4" t="s">
        <v>11</v>
      </c>
      <c r="B1789" s="5">
        <v>46099.65342585648</v>
      </c>
      <c r="C1789" s="6"/>
      <c r="D1789" s="4">
        <v>20.28</v>
      </c>
    </row>
    <row r="1790" ht="22.5" hidden="1" customHeight="1">
      <c r="A1790" s="4" t="s">
        <v>11</v>
      </c>
      <c r="B1790" s="5">
        <v>46099.654105127316</v>
      </c>
      <c r="C1790" s="6"/>
      <c r="D1790" s="4">
        <v>20.26</v>
      </c>
    </row>
    <row r="1791" ht="22.5" hidden="1" customHeight="1">
      <c r="A1791" s="4" t="s">
        <v>11</v>
      </c>
      <c r="B1791" s="5">
        <v>46099.654787708336</v>
      </c>
      <c r="C1791" s="6"/>
      <c r="D1791" s="4">
        <v>20.28</v>
      </c>
    </row>
    <row r="1792" ht="22.5" hidden="1" customHeight="1">
      <c r="A1792" s="4" t="s">
        <v>11</v>
      </c>
      <c r="B1792" s="5">
        <v>46099.65889840278</v>
      </c>
      <c r="C1792" s="6"/>
      <c r="D1792" s="4">
        <v>20.32</v>
      </c>
    </row>
    <row r="1793" ht="22.5" hidden="1" customHeight="1">
      <c r="A1793" s="4" t="s">
        <v>11</v>
      </c>
      <c r="B1793" s="5">
        <v>46099.65958546296</v>
      </c>
      <c r="C1793" s="6"/>
      <c r="D1793" s="4">
        <v>20.28</v>
      </c>
    </row>
    <row r="1794" ht="22.5" hidden="1" customHeight="1">
      <c r="A1794" s="4" t="s">
        <v>11</v>
      </c>
      <c r="B1794" s="5">
        <v>46099.66164167824</v>
      </c>
      <c r="C1794" s="6"/>
      <c r="D1794" s="4">
        <v>20.32</v>
      </c>
    </row>
    <row r="1795" ht="22.5" hidden="1" customHeight="1">
      <c r="A1795" s="4" t="s">
        <v>11</v>
      </c>
      <c r="B1795" s="5">
        <v>46099.66712355324</v>
      </c>
      <c r="C1795" s="6"/>
      <c r="D1795" s="4">
        <v>20.34</v>
      </c>
    </row>
    <row r="1796" ht="22.5" hidden="1" customHeight="1">
      <c r="A1796" s="4" t="s">
        <v>11</v>
      </c>
      <c r="B1796" s="5">
        <v>46099.67054828704</v>
      </c>
      <c r="C1796" s="6"/>
      <c r="D1796" s="4">
        <v>20.36</v>
      </c>
    </row>
    <row r="1797" ht="22.5" hidden="1" customHeight="1">
      <c r="A1797" s="4" t="s">
        <v>11</v>
      </c>
      <c r="B1797" s="5">
        <v>46099.671246875</v>
      </c>
      <c r="C1797" s="6"/>
      <c r="D1797" s="4">
        <v>20.34</v>
      </c>
    </row>
    <row r="1798" ht="22.5" hidden="1" customHeight="1">
      <c r="A1798" s="4" t="s">
        <v>11</v>
      </c>
      <c r="B1798" s="5">
        <v>46099.67191971065</v>
      </c>
      <c r="C1798" s="6"/>
      <c r="D1798" s="4">
        <v>20.36</v>
      </c>
    </row>
    <row r="1799" ht="22.5" hidden="1" customHeight="1">
      <c r="A1799" s="4" t="s">
        <v>11</v>
      </c>
      <c r="B1799" s="5">
        <v>46099.68288262731</v>
      </c>
      <c r="C1799" s="6"/>
      <c r="D1799" s="4">
        <v>20.4</v>
      </c>
    </row>
    <row r="1800" ht="22.5" hidden="1" customHeight="1">
      <c r="A1800" s="4" t="s">
        <v>11</v>
      </c>
      <c r="B1800" s="5">
        <v>46099.68356765046</v>
      </c>
      <c r="C1800" s="6"/>
      <c r="D1800" s="4">
        <v>20.36</v>
      </c>
    </row>
    <row r="1801" ht="22.5" hidden="1" customHeight="1">
      <c r="A1801" s="4" t="s">
        <v>11</v>
      </c>
      <c r="B1801" s="5">
        <v>46099.684252708335</v>
      </c>
      <c r="C1801" s="6"/>
      <c r="D1801" s="4">
        <v>20.4</v>
      </c>
    </row>
    <row r="1802" ht="22.5" hidden="1" customHeight="1">
      <c r="A1802" s="4" t="s">
        <v>11</v>
      </c>
      <c r="B1802" s="5">
        <v>46099.686308923614</v>
      </c>
      <c r="C1802" s="6"/>
      <c r="D1802" s="4">
        <v>20.36</v>
      </c>
    </row>
    <row r="1803" ht="22.5" hidden="1" customHeight="1">
      <c r="A1803" s="4" t="s">
        <v>11</v>
      </c>
      <c r="B1803" s="5">
        <v>46099.68699516204</v>
      </c>
      <c r="C1803" s="6"/>
      <c r="D1803" s="4">
        <v>20.4</v>
      </c>
    </row>
    <row r="1804" ht="22.5" hidden="1" customHeight="1">
      <c r="A1804" s="4" t="s">
        <v>11</v>
      </c>
      <c r="B1804" s="5">
        <v>46099.68768611111</v>
      </c>
      <c r="C1804" s="6"/>
      <c r="D1804" s="4">
        <v>20.36</v>
      </c>
    </row>
    <row r="1805" ht="22.5" hidden="1" customHeight="1">
      <c r="A1805" s="4" t="s">
        <v>11</v>
      </c>
      <c r="B1805" s="5">
        <v>46099.68836337963</v>
      </c>
      <c r="C1805" s="6"/>
      <c r="D1805" s="4">
        <v>20.4</v>
      </c>
    </row>
    <row r="1806" ht="22.5" hidden="1" customHeight="1">
      <c r="A1806" s="4" t="s">
        <v>11</v>
      </c>
      <c r="B1806" s="5">
        <v>46099.68904818287</v>
      </c>
      <c r="C1806" s="6"/>
      <c r="D1806" s="4">
        <v>20.36</v>
      </c>
    </row>
    <row r="1807" ht="22.5" hidden="1" customHeight="1">
      <c r="A1807" s="4" t="s">
        <v>11</v>
      </c>
      <c r="B1807" s="5">
        <v>46099.69042079861</v>
      </c>
      <c r="C1807" s="6"/>
      <c r="D1807" s="4">
        <v>20.4</v>
      </c>
    </row>
    <row r="1808" ht="22.5" hidden="1" customHeight="1">
      <c r="A1808" s="4" t="s">
        <v>11</v>
      </c>
      <c r="B1808" s="5">
        <v>46099.69110657407</v>
      </c>
      <c r="C1808" s="6"/>
      <c r="D1808" s="4">
        <v>20.36</v>
      </c>
    </row>
    <row r="1809" ht="22.5" hidden="1" customHeight="1">
      <c r="A1809" s="4" t="s">
        <v>11</v>
      </c>
      <c r="B1809" s="5">
        <v>46099.69248042824</v>
      </c>
      <c r="C1809" s="6"/>
      <c r="D1809" s="4">
        <v>20.4</v>
      </c>
    </row>
    <row r="1810" ht="22.5" hidden="1" customHeight="1">
      <c r="A1810" s="4" t="s">
        <v>11</v>
      </c>
      <c r="B1810" s="5">
        <v>46099.6938446875</v>
      </c>
      <c r="C1810" s="6"/>
      <c r="D1810" s="4">
        <v>20.36</v>
      </c>
    </row>
    <row r="1811" ht="22.5" hidden="1" customHeight="1">
      <c r="A1811" s="4" t="s">
        <v>11</v>
      </c>
      <c r="B1811" s="5">
        <v>46099.69452967593</v>
      </c>
      <c r="C1811" s="6"/>
      <c r="D1811" s="4">
        <v>20.4</v>
      </c>
    </row>
    <row r="1812" ht="22.5" hidden="1" customHeight="1">
      <c r="A1812" s="4" t="s">
        <v>11</v>
      </c>
      <c r="B1812" s="5">
        <v>46099.728791064816</v>
      </c>
      <c r="C1812" s="6"/>
      <c r="D1812" s="4">
        <v>20.36</v>
      </c>
    </row>
    <row r="1813" ht="22.5" hidden="1" customHeight="1">
      <c r="A1813" s="4" t="s">
        <v>11</v>
      </c>
      <c r="B1813" s="5">
        <v>46099.72947358796</v>
      </c>
      <c r="C1813" s="6"/>
      <c r="D1813" s="4">
        <v>20.4</v>
      </c>
    </row>
    <row r="1814" ht="22.5" hidden="1" customHeight="1">
      <c r="A1814" s="4" t="s">
        <v>11</v>
      </c>
      <c r="B1814" s="5">
        <v>46099.73221486111</v>
      </c>
      <c r="C1814" s="6"/>
      <c r="D1814" s="4">
        <v>20.36</v>
      </c>
    </row>
    <row r="1815" ht="22.5" hidden="1" customHeight="1">
      <c r="A1815" s="4" t="s">
        <v>11</v>
      </c>
      <c r="B1815" s="5">
        <v>46099.732902407406</v>
      </c>
      <c r="C1815" s="6"/>
      <c r="D1815" s="4">
        <v>20.4</v>
      </c>
    </row>
    <row r="1816" ht="22.5" hidden="1" customHeight="1">
      <c r="A1816" s="4" t="s">
        <v>11</v>
      </c>
      <c r="B1816" s="5">
        <v>46099.73495640046</v>
      </c>
      <c r="C1816" s="6"/>
      <c r="D1816" s="4">
        <v>20.36</v>
      </c>
    </row>
    <row r="1817" ht="22.5" hidden="1" customHeight="1">
      <c r="A1817" s="4" t="s">
        <v>11</v>
      </c>
      <c r="B1817" s="5">
        <v>46099.73564005787</v>
      </c>
      <c r="C1817" s="6"/>
      <c r="D1817" s="4">
        <v>20.4</v>
      </c>
    </row>
    <row r="1818" ht="22.5" hidden="1" customHeight="1">
      <c r="A1818" s="4" t="s">
        <v>11</v>
      </c>
      <c r="B1818" s="5">
        <v>46099.73838023148</v>
      </c>
      <c r="C1818" s="6"/>
      <c r="D1818" s="4">
        <v>20.36</v>
      </c>
    </row>
    <row r="1819" ht="22.5" hidden="1" customHeight="1">
      <c r="A1819" s="4" t="s">
        <v>11</v>
      </c>
      <c r="B1819" s="5">
        <v>46099.73906525463</v>
      </c>
      <c r="C1819" s="6"/>
      <c r="D1819" s="4">
        <v>20.4</v>
      </c>
    </row>
    <row r="1820" ht="22.5" hidden="1" customHeight="1">
      <c r="A1820" s="4" t="s">
        <v>11</v>
      </c>
      <c r="B1820" s="5">
        <v>46099.73975030093</v>
      </c>
      <c r="C1820" s="6"/>
      <c r="D1820" s="4">
        <v>20.36</v>
      </c>
    </row>
    <row r="1821" ht="22.5" hidden="1" customHeight="1">
      <c r="A1821" s="4" t="s">
        <v>11</v>
      </c>
      <c r="B1821" s="5">
        <v>46099.75002827546</v>
      </c>
      <c r="C1821" s="6"/>
      <c r="D1821" s="4">
        <v>20.34</v>
      </c>
    </row>
    <row r="1822" ht="22.5" hidden="1" customHeight="1">
      <c r="A1822" s="4" t="s">
        <v>11</v>
      </c>
      <c r="B1822" s="5">
        <v>46099.75756384259</v>
      </c>
      <c r="C1822" s="6"/>
      <c r="D1822" s="4">
        <v>20.32</v>
      </c>
    </row>
    <row r="1823" ht="22.5" hidden="1" customHeight="1">
      <c r="A1823" s="4" t="s">
        <v>11</v>
      </c>
      <c r="B1823" s="5">
        <v>46099.7582475463</v>
      </c>
      <c r="C1823" s="6"/>
      <c r="D1823" s="4">
        <v>20.34</v>
      </c>
    </row>
    <row r="1824" ht="22.5" hidden="1" customHeight="1">
      <c r="A1824" s="4" t="s">
        <v>11</v>
      </c>
      <c r="B1824" s="5">
        <v>46099.75893376157</v>
      </c>
      <c r="C1824" s="6"/>
      <c r="D1824" s="4">
        <v>20.32</v>
      </c>
    </row>
    <row r="1825" ht="22.5" hidden="1" customHeight="1">
      <c r="A1825" s="4" t="s">
        <v>11</v>
      </c>
      <c r="B1825" s="5">
        <v>46099.760989027774</v>
      </c>
      <c r="C1825" s="6"/>
      <c r="D1825" s="4">
        <v>20.28</v>
      </c>
    </row>
    <row r="1826" ht="22.5" hidden="1" customHeight="1">
      <c r="A1826" s="4" t="s">
        <v>11</v>
      </c>
      <c r="B1826" s="5">
        <v>46099.76167155093</v>
      </c>
      <c r="C1826" s="6"/>
      <c r="D1826" s="4">
        <v>20.32</v>
      </c>
    </row>
    <row r="1827" ht="22.5" hidden="1" customHeight="1">
      <c r="A1827" s="4" t="s">
        <v>11</v>
      </c>
      <c r="B1827" s="5">
        <v>46099.76235909722</v>
      </c>
      <c r="C1827" s="6"/>
      <c r="D1827" s="4">
        <v>20.28</v>
      </c>
    </row>
    <row r="1828" ht="22.5" hidden="1" customHeight="1">
      <c r="A1828" s="4" t="s">
        <v>11</v>
      </c>
      <c r="B1828" s="5">
        <v>46099.76852319444</v>
      </c>
      <c r="C1828" s="6"/>
      <c r="D1828" s="4">
        <v>20.26</v>
      </c>
    </row>
    <row r="1829" ht="22.5" hidden="1" customHeight="1">
      <c r="A1829" s="4" t="s">
        <v>11</v>
      </c>
      <c r="B1829" s="5">
        <v>46099.76920753472</v>
      </c>
      <c r="C1829" s="6"/>
      <c r="D1829" s="4">
        <v>20.28</v>
      </c>
    </row>
    <row r="1830" ht="22.5" hidden="1" customHeight="1">
      <c r="A1830" s="4" t="s">
        <v>11</v>
      </c>
      <c r="B1830" s="5">
        <v>46099.769894398145</v>
      </c>
      <c r="C1830" s="6"/>
      <c r="D1830" s="4">
        <v>20.26</v>
      </c>
    </row>
    <row r="1831" ht="22.5" hidden="1" customHeight="1">
      <c r="A1831" s="4" t="s">
        <v>11</v>
      </c>
      <c r="B1831" s="5">
        <v>46099.77948736111</v>
      </c>
      <c r="C1831" s="6"/>
      <c r="D1831" s="4">
        <v>20.24</v>
      </c>
    </row>
    <row r="1832" ht="22.5" hidden="1" customHeight="1">
      <c r="A1832" s="4" t="s">
        <v>11</v>
      </c>
      <c r="B1832" s="5">
        <v>46099.782222800925</v>
      </c>
      <c r="C1832" s="6"/>
      <c r="D1832" s="4">
        <v>20.2</v>
      </c>
    </row>
    <row r="1833" ht="22.5" hidden="1" customHeight="1">
      <c r="A1833" s="4" t="s">
        <v>11</v>
      </c>
      <c r="B1833" s="5">
        <v>46099.78291303241</v>
      </c>
      <c r="C1833" s="6"/>
      <c r="D1833" s="4">
        <v>20.24</v>
      </c>
    </row>
    <row r="1834" ht="22.5" hidden="1" customHeight="1">
      <c r="A1834" s="4" t="s">
        <v>11</v>
      </c>
      <c r="B1834" s="5">
        <v>46099.783597835645</v>
      </c>
      <c r="C1834" s="6"/>
      <c r="D1834" s="4">
        <v>20.2</v>
      </c>
    </row>
    <row r="1835" ht="22.5" hidden="1" customHeight="1">
      <c r="A1835" s="4" t="s">
        <v>11</v>
      </c>
      <c r="B1835" s="5">
        <v>46099.78976173611</v>
      </c>
      <c r="C1835" s="6"/>
      <c r="D1835" s="4">
        <v>20.18</v>
      </c>
    </row>
    <row r="1836" ht="22.5" hidden="1" customHeight="1">
      <c r="A1836" s="4" t="s">
        <v>11</v>
      </c>
      <c r="B1836" s="5">
        <v>46099.79318346065</v>
      </c>
      <c r="C1836" s="6"/>
      <c r="D1836" s="4">
        <v>20.16</v>
      </c>
    </row>
    <row r="1837" ht="22.5" hidden="1" customHeight="1">
      <c r="A1837" s="4" t="s">
        <v>11</v>
      </c>
      <c r="B1837" s="5">
        <v>46099.79386730324</v>
      </c>
      <c r="C1837" s="6"/>
      <c r="D1837" s="4">
        <v>20.18</v>
      </c>
    </row>
    <row r="1838" ht="22.5" hidden="1" customHeight="1">
      <c r="A1838" s="4" t="s">
        <v>11</v>
      </c>
      <c r="B1838" s="5">
        <v>46099.79523967593</v>
      </c>
      <c r="C1838" s="6"/>
      <c r="D1838" s="4">
        <v>20.16</v>
      </c>
    </row>
    <row r="1839" ht="22.5" hidden="1" customHeight="1">
      <c r="A1839" s="4" t="s">
        <v>11</v>
      </c>
      <c r="B1839" s="5">
        <v>46099.801401516204</v>
      </c>
      <c r="C1839" s="6"/>
      <c r="D1839" s="4">
        <v>20.12</v>
      </c>
    </row>
    <row r="1840" ht="22.5" hidden="1" customHeight="1">
      <c r="A1840" s="4" t="s">
        <v>11</v>
      </c>
      <c r="B1840" s="5">
        <v>46099.80345796296</v>
      </c>
      <c r="C1840" s="6"/>
      <c r="D1840" s="4">
        <v>20.16</v>
      </c>
    </row>
    <row r="1841" ht="22.5" hidden="1" customHeight="1">
      <c r="A1841" s="4" t="s">
        <v>11</v>
      </c>
      <c r="B1841" s="5">
        <v>46099.80414208333</v>
      </c>
      <c r="C1841" s="6"/>
      <c r="D1841" s="4">
        <v>20.1</v>
      </c>
    </row>
    <row r="1842" ht="22.5" hidden="1" customHeight="1">
      <c r="A1842" s="4" t="s">
        <v>11</v>
      </c>
      <c r="B1842" s="5">
        <v>46099.80482671296</v>
      </c>
      <c r="C1842" s="6"/>
      <c r="D1842" s="4">
        <v>20.12</v>
      </c>
    </row>
    <row r="1843" ht="22.5" hidden="1" customHeight="1">
      <c r="A1843" s="4" t="s">
        <v>11</v>
      </c>
      <c r="B1843" s="5">
        <v>46099.80551652778</v>
      </c>
      <c r="C1843" s="6"/>
      <c r="D1843" s="4">
        <v>20.1</v>
      </c>
    </row>
    <row r="1844" ht="22.5" hidden="1" customHeight="1">
      <c r="A1844" s="4" t="s">
        <v>11</v>
      </c>
      <c r="B1844" s="5">
        <v>46099.81030826389</v>
      </c>
      <c r="C1844" s="6"/>
      <c r="D1844" s="4">
        <v>20.08</v>
      </c>
    </row>
    <row r="1845" ht="22.5" hidden="1" customHeight="1">
      <c r="A1845" s="4" t="s">
        <v>11</v>
      </c>
      <c r="B1845" s="5">
        <v>46099.81372987269</v>
      </c>
      <c r="C1845" s="6"/>
      <c r="D1845" s="4">
        <v>20.04</v>
      </c>
    </row>
    <row r="1846" ht="22.5" hidden="1" customHeight="1">
      <c r="A1846" s="4" t="s">
        <v>11</v>
      </c>
      <c r="B1846" s="5">
        <v>46099.81441540509</v>
      </c>
      <c r="C1846" s="6"/>
      <c r="D1846" s="4">
        <v>20.08</v>
      </c>
    </row>
    <row r="1847" ht="22.5" hidden="1" customHeight="1">
      <c r="A1847" s="4" t="s">
        <v>11</v>
      </c>
      <c r="B1847" s="5">
        <v>46099.81510701389</v>
      </c>
      <c r="C1847" s="6"/>
      <c r="D1847" s="4">
        <v>20.04</v>
      </c>
    </row>
    <row r="1848" ht="22.5" hidden="1" customHeight="1">
      <c r="A1848" s="4" t="s">
        <v>11</v>
      </c>
      <c r="B1848" s="5">
        <v>46099.81920907408</v>
      </c>
      <c r="C1848" s="6"/>
      <c r="D1848" s="4">
        <v>20.02</v>
      </c>
    </row>
    <row r="1849" ht="22.5" hidden="1" customHeight="1">
      <c r="A1849" s="4" t="s">
        <v>11</v>
      </c>
      <c r="B1849" s="5">
        <v>46099.8233193287</v>
      </c>
      <c r="C1849" s="6"/>
      <c r="D1849" s="4">
        <v>20.0</v>
      </c>
    </row>
    <row r="1850" ht="22.5" hidden="1" customHeight="1">
      <c r="A1850" s="4" t="s">
        <v>11</v>
      </c>
      <c r="B1850" s="5">
        <v>46099.82743534722</v>
      </c>
      <c r="C1850" s="6"/>
      <c r="D1850" s="4">
        <v>19.96</v>
      </c>
    </row>
    <row r="1851" ht="22.5" hidden="1" customHeight="1">
      <c r="A1851" s="4" t="s">
        <v>11</v>
      </c>
      <c r="B1851" s="5">
        <v>46099.83428</v>
      </c>
      <c r="C1851" s="6"/>
      <c r="D1851" s="4">
        <v>19.94</v>
      </c>
    </row>
    <row r="1852" ht="22.5" hidden="1" customHeight="1">
      <c r="A1852" s="4" t="s">
        <v>11</v>
      </c>
      <c r="B1852" s="5">
        <v>46099.839071574075</v>
      </c>
      <c r="C1852" s="6"/>
      <c r="D1852" s="4">
        <v>19.92</v>
      </c>
    </row>
    <row r="1853" ht="22.5" hidden="1" customHeight="1">
      <c r="A1853" s="4" t="s">
        <v>11</v>
      </c>
      <c r="B1853" s="5">
        <v>46099.841124328705</v>
      </c>
      <c r="C1853" s="6"/>
      <c r="D1853" s="4">
        <v>19.89</v>
      </c>
    </row>
    <row r="1854" ht="22.5" hidden="1" customHeight="1">
      <c r="A1854" s="4" t="s">
        <v>11</v>
      </c>
      <c r="B1854" s="5">
        <v>46099.84454949074</v>
      </c>
      <c r="C1854" s="6"/>
      <c r="D1854" s="4">
        <v>19.86</v>
      </c>
    </row>
    <row r="1855" ht="22.5" hidden="1" customHeight="1">
      <c r="A1855" s="4" t="s">
        <v>11</v>
      </c>
      <c r="B1855" s="5">
        <v>46099.84660388889</v>
      </c>
      <c r="C1855" s="6"/>
      <c r="D1855" s="4">
        <v>19.84</v>
      </c>
    </row>
    <row r="1856" ht="22.5" hidden="1" customHeight="1">
      <c r="A1856" s="4" t="s">
        <v>11</v>
      </c>
      <c r="B1856" s="5">
        <v>46099.853451967596</v>
      </c>
      <c r="C1856" s="6"/>
      <c r="D1856" s="4">
        <v>19.81</v>
      </c>
    </row>
    <row r="1857" ht="22.5" hidden="1" customHeight="1">
      <c r="A1857" s="4" t="s">
        <v>11</v>
      </c>
      <c r="B1857" s="5">
        <v>46099.85482084491</v>
      </c>
      <c r="C1857" s="6"/>
      <c r="D1857" s="4">
        <v>19.78</v>
      </c>
    </row>
    <row r="1858" ht="22.5" hidden="1" customHeight="1">
      <c r="A1858" s="4" t="s">
        <v>11</v>
      </c>
      <c r="B1858" s="5">
        <v>46099.8555055787</v>
      </c>
      <c r="C1858" s="6"/>
      <c r="D1858" s="4">
        <v>19.81</v>
      </c>
    </row>
    <row r="1859" ht="22.5" hidden="1" customHeight="1">
      <c r="A1859" s="4" t="s">
        <v>11</v>
      </c>
      <c r="B1859" s="5">
        <v>46099.856190844905</v>
      </c>
      <c r="C1859" s="6"/>
      <c r="D1859" s="4">
        <v>19.78</v>
      </c>
    </row>
    <row r="1860" ht="22.5" hidden="1" customHeight="1">
      <c r="A1860" s="4" t="s">
        <v>11</v>
      </c>
      <c r="B1860" s="5">
        <v>46099.858930636576</v>
      </c>
      <c r="C1860" s="6"/>
      <c r="D1860" s="4">
        <v>19.76</v>
      </c>
    </row>
    <row r="1861" ht="22.5" hidden="1" customHeight="1">
      <c r="A1861" s="4" t="s">
        <v>11</v>
      </c>
      <c r="B1861" s="5">
        <v>46099.86235457176</v>
      </c>
      <c r="C1861" s="6"/>
      <c r="D1861" s="4">
        <v>19.73</v>
      </c>
    </row>
    <row r="1862" ht="22.5" hidden="1" customHeight="1">
      <c r="A1862" s="4" t="s">
        <v>11</v>
      </c>
      <c r="B1862" s="5">
        <v>46099.863040219905</v>
      </c>
      <c r="C1862" s="6"/>
      <c r="D1862" s="4">
        <v>19.76</v>
      </c>
    </row>
    <row r="1863" ht="22.5" hidden="1" customHeight="1">
      <c r="A1863" s="4" t="s">
        <v>11</v>
      </c>
      <c r="B1863" s="5">
        <v>46099.8637247338</v>
      </c>
      <c r="C1863" s="6"/>
      <c r="D1863" s="4">
        <v>19.73</v>
      </c>
    </row>
    <row r="1864" ht="22.5" hidden="1" customHeight="1">
      <c r="A1864" s="4" t="s">
        <v>11</v>
      </c>
      <c r="B1864" s="5">
        <v>46099.86851673611</v>
      </c>
      <c r="C1864" s="6"/>
      <c r="D1864" s="4">
        <v>19.7</v>
      </c>
    </row>
    <row r="1865" ht="22.5" hidden="1" customHeight="1">
      <c r="A1865" s="4" t="s">
        <v>11</v>
      </c>
      <c r="B1865" s="5">
        <v>46099.870571493055</v>
      </c>
      <c r="C1865" s="6"/>
      <c r="D1865" s="4">
        <v>19.68</v>
      </c>
    </row>
    <row r="1866" ht="22.5" hidden="1" customHeight="1">
      <c r="A1866" s="4" t="s">
        <v>11</v>
      </c>
      <c r="B1866" s="5">
        <v>46099.87331056713</v>
      </c>
      <c r="C1866" s="6"/>
      <c r="D1866" s="4">
        <v>19.65</v>
      </c>
    </row>
    <row r="1867" ht="22.5" hidden="1" customHeight="1">
      <c r="A1867" s="4" t="s">
        <v>11</v>
      </c>
      <c r="B1867" s="5">
        <v>46099.876049479164</v>
      </c>
      <c r="C1867" s="6"/>
      <c r="D1867" s="4">
        <v>19.62</v>
      </c>
    </row>
    <row r="1868" ht="22.5" hidden="1" customHeight="1">
      <c r="A1868" s="4" t="s">
        <v>11</v>
      </c>
      <c r="B1868" s="5">
        <v>46099.87673725694</v>
      </c>
      <c r="C1868" s="6"/>
      <c r="D1868" s="4">
        <v>19.65</v>
      </c>
    </row>
    <row r="1869" ht="22.5" hidden="1" customHeight="1">
      <c r="A1869" s="4" t="s">
        <v>11</v>
      </c>
      <c r="B1869" s="5">
        <v>46099.87741840278</v>
      </c>
      <c r="C1869" s="6"/>
      <c r="D1869" s="4">
        <v>19.62</v>
      </c>
    </row>
    <row r="1870" ht="22.5" hidden="1" customHeight="1">
      <c r="A1870" s="4" t="s">
        <v>11</v>
      </c>
      <c r="B1870" s="5">
        <v>46099.88289685185</v>
      </c>
      <c r="C1870" s="6"/>
      <c r="D1870" s="4">
        <v>19.6</v>
      </c>
    </row>
    <row r="1871" ht="22.5" hidden="1" customHeight="1">
      <c r="A1871" s="4" t="s">
        <v>11</v>
      </c>
      <c r="B1871" s="5">
        <v>46099.884266678244</v>
      </c>
      <c r="C1871" s="6"/>
      <c r="D1871" s="4">
        <v>19.57</v>
      </c>
    </row>
    <row r="1872" ht="22.5" hidden="1" customHeight="1">
      <c r="A1872" s="4" t="s">
        <v>11</v>
      </c>
      <c r="B1872" s="5">
        <v>46099.884950671294</v>
      </c>
      <c r="C1872" s="6"/>
      <c r="D1872" s="4">
        <v>19.6</v>
      </c>
    </row>
    <row r="1873" ht="22.5" hidden="1" customHeight="1">
      <c r="A1873" s="4" t="s">
        <v>11</v>
      </c>
      <c r="B1873" s="5">
        <v>46099.88563528935</v>
      </c>
      <c r="C1873" s="6"/>
      <c r="D1873" s="4">
        <v>19.57</v>
      </c>
    </row>
    <row r="1874" ht="22.5" hidden="1" customHeight="1">
      <c r="A1874" s="4" t="s">
        <v>11</v>
      </c>
      <c r="B1874" s="5">
        <v>46099.88905837963</v>
      </c>
      <c r="C1874" s="6"/>
      <c r="D1874" s="4">
        <v>19.54</v>
      </c>
    </row>
    <row r="1875" ht="22.5" hidden="1" customHeight="1">
      <c r="A1875" s="4" t="s">
        <v>11</v>
      </c>
      <c r="B1875" s="5">
        <v>46099.892485902776</v>
      </c>
      <c r="C1875" s="6"/>
      <c r="D1875" s="4">
        <v>19.52</v>
      </c>
    </row>
    <row r="1876" ht="22.5" hidden="1" customHeight="1">
      <c r="A1876" s="4" t="s">
        <v>11</v>
      </c>
      <c r="B1876" s="5">
        <v>46099.89864800926</v>
      </c>
      <c r="C1876" s="6"/>
      <c r="D1876" s="4">
        <v>19.49</v>
      </c>
    </row>
    <row r="1877" ht="22.5" hidden="1" customHeight="1">
      <c r="A1877" s="4" t="s">
        <v>11</v>
      </c>
      <c r="B1877" s="5">
        <v>46099.90138319445</v>
      </c>
      <c r="C1877" s="6"/>
      <c r="D1877" s="4">
        <v>19.46</v>
      </c>
    </row>
    <row r="1878" ht="22.5" hidden="1" customHeight="1">
      <c r="A1878" s="4" t="s">
        <v>11</v>
      </c>
      <c r="B1878" s="5">
        <v>46099.903439375</v>
      </c>
      <c r="C1878" s="6"/>
      <c r="D1878" s="4">
        <v>19.43</v>
      </c>
    </row>
    <row r="1879" ht="22.5" hidden="1" customHeight="1">
      <c r="A1879" s="4" t="s">
        <v>11</v>
      </c>
      <c r="B1879" s="5">
        <v>46099.90412238426</v>
      </c>
      <c r="C1879" s="6"/>
      <c r="D1879" s="4">
        <v>19.46</v>
      </c>
    </row>
    <row r="1880" ht="22.5" hidden="1" customHeight="1">
      <c r="A1880" s="4" t="s">
        <v>11</v>
      </c>
      <c r="B1880" s="5">
        <v>46099.90480809028</v>
      </c>
      <c r="C1880" s="6"/>
      <c r="D1880" s="4">
        <v>19.43</v>
      </c>
    </row>
    <row r="1881" ht="22.5" hidden="1" customHeight="1">
      <c r="A1881" s="4" t="s">
        <v>11</v>
      </c>
      <c r="B1881" s="5">
        <v>46099.90754820602</v>
      </c>
      <c r="C1881" s="6"/>
      <c r="D1881" s="4">
        <v>19.41</v>
      </c>
    </row>
    <row r="1882" ht="22.5" hidden="1" customHeight="1">
      <c r="A1882" s="4" t="s">
        <v>11</v>
      </c>
      <c r="B1882" s="5">
        <v>46099.91234604167</v>
      </c>
      <c r="C1882" s="6"/>
      <c r="D1882" s="4">
        <v>19.39</v>
      </c>
    </row>
    <row r="1883" ht="22.5" hidden="1" customHeight="1">
      <c r="A1883" s="4" t="s">
        <v>11</v>
      </c>
      <c r="B1883" s="5">
        <v>46099.91371605324</v>
      </c>
      <c r="C1883" s="6"/>
      <c r="D1883" s="4">
        <v>19.41</v>
      </c>
    </row>
    <row r="1884" ht="22.5" hidden="1" customHeight="1">
      <c r="A1884" s="4" t="s">
        <v>11</v>
      </c>
      <c r="B1884" s="5">
        <v>46099.91439268518</v>
      </c>
      <c r="C1884" s="6"/>
      <c r="D1884" s="4">
        <v>19.39</v>
      </c>
    </row>
    <row r="1885" ht="22.5" hidden="1" customHeight="1">
      <c r="A1885" s="4" t="s">
        <v>11</v>
      </c>
      <c r="B1885" s="5">
        <v>46099.91644783565</v>
      </c>
      <c r="C1885" s="6"/>
      <c r="D1885" s="4">
        <v>19.35</v>
      </c>
    </row>
    <row r="1886" ht="22.5" hidden="1" customHeight="1">
      <c r="A1886" s="4" t="s">
        <v>11</v>
      </c>
      <c r="B1886" s="5">
        <v>46099.917132083334</v>
      </c>
      <c r="C1886" s="6"/>
      <c r="D1886" s="4">
        <v>19.39</v>
      </c>
    </row>
    <row r="1887" ht="22.5" hidden="1" customHeight="1">
      <c r="A1887" s="4" t="s">
        <v>11</v>
      </c>
      <c r="B1887" s="5">
        <v>46099.91781693287</v>
      </c>
      <c r="C1887" s="6"/>
      <c r="D1887" s="4">
        <v>19.35</v>
      </c>
    </row>
    <row r="1888" ht="22.5" hidden="1" customHeight="1">
      <c r="A1888" s="4" t="s">
        <v>11</v>
      </c>
      <c r="B1888" s="5">
        <v>46099.92261123843</v>
      </c>
      <c r="C1888" s="6"/>
      <c r="D1888" s="4">
        <v>19.33</v>
      </c>
    </row>
    <row r="1889" ht="22.5" hidden="1" customHeight="1">
      <c r="A1889" s="4" t="s">
        <v>11</v>
      </c>
      <c r="B1889" s="5">
        <v>46099.928091539354</v>
      </c>
      <c r="C1889" s="6"/>
      <c r="D1889" s="4">
        <v>19.29</v>
      </c>
    </row>
    <row r="1890" ht="22.5" hidden="1" customHeight="1">
      <c r="A1890" s="4" t="s">
        <v>11</v>
      </c>
      <c r="B1890" s="5">
        <v>46099.92877258102</v>
      </c>
      <c r="C1890" s="6"/>
      <c r="D1890" s="4">
        <v>19.33</v>
      </c>
    </row>
    <row r="1891" ht="22.5" hidden="1" customHeight="1">
      <c r="A1891" s="4" t="s">
        <v>11</v>
      </c>
      <c r="B1891" s="5">
        <v>46099.92945761574</v>
      </c>
      <c r="C1891" s="6"/>
      <c r="D1891" s="4">
        <v>19.29</v>
      </c>
    </row>
    <row r="1892" ht="22.5" hidden="1" customHeight="1">
      <c r="A1892" s="4" t="s">
        <v>11</v>
      </c>
      <c r="B1892" s="5">
        <v>46099.93698949074</v>
      </c>
      <c r="C1892" s="6"/>
      <c r="D1892" s="4">
        <v>19.27</v>
      </c>
    </row>
    <row r="1893" ht="22.5" hidden="1" customHeight="1">
      <c r="A1893" s="4" t="s">
        <v>11</v>
      </c>
      <c r="B1893" s="5">
        <v>46099.937679421295</v>
      </c>
      <c r="C1893" s="6"/>
      <c r="D1893" s="4">
        <v>19.29</v>
      </c>
    </row>
    <row r="1894" ht="22.5" hidden="1" customHeight="1">
      <c r="A1894" s="4" t="s">
        <v>11</v>
      </c>
      <c r="B1894" s="5">
        <v>46099.938359583335</v>
      </c>
      <c r="C1894" s="6"/>
      <c r="D1894" s="4">
        <v>19.27</v>
      </c>
    </row>
    <row r="1895" ht="22.5" hidden="1" customHeight="1">
      <c r="A1895" s="4" t="s">
        <v>11</v>
      </c>
      <c r="B1895" s="5">
        <v>46099.939044618055</v>
      </c>
      <c r="C1895" s="6"/>
      <c r="D1895" s="4">
        <v>19.29</v>
      </c>
    </row>
    <row r="1896" ht="22.5" hidden="1" customHeight="1">
      <c r="A1896" s="4" t="s">
        <v>11</v>
      </c>
      <c r="B1896" s="5">
        <v>46099.93972854166</v>
      </c>
      <c r="C1896" s="6"/>
      <c r="D1896" s="4">
        <v>19.27</v>
      </c>
    </row>
    <row r="1897" ht="22.5" hidden="1" customHeight="1">
      <c r="A1897" s="4" t="s">
        <v>11</v>
      </c>
      <c r="B1897" s="5">
        <v>46099.94315496528</v>
      </c>
      <c r="C1897" s="6"/>
      <c r="D1897" s="4">
        <v>19.25</v>
      </c>
    </row>
    <row r="1898" ht="22.5" hidden="1" customHeight="1">
      <c r="A1898" s="4" t="s">
        <v>11</v>
      </c>
      <c r="B1898" s="5">
        <v>46099.943839907406</v>
      </c>
      <c r="C1898" s="6"/>
      <c r="D1898" s="4">
        <v>19.27</v>
      </c>
    </row>
    <row r="1899" ht="22.5" hidden="1" customHeight="1">
      <c r="A1899" s="4" t="s">
        <v>11</v>
      </c>
      <c r="B1899" s="5">
        <v>46099.94452152778</v>
      </c>
      <c r="C1899" s="6"/>
      <c r="D1899" s="4">
        <v>19.25</v>
      </c>
    </row>
    <row r="1900" ht="22.5" hidden="1" customHeight="1">
      <c r="A1900" s="4" t="s">
        <v>11</v>
      </c>
      <c r="B1900" s="5">
        <v>46099.945210081016</v>
      </c>
      <c r="C1900" s="6"/>
      <c r="D1900" s="4">
        <v>19.27</v>
      </c>
    </row>
    <row r="1901" ht="22.5" hidden="1" customHeight="1">
      <c r="A1901" s="4" t="s">
        <v>11</v>
      </c>
      <c r="B1901" s="5">
        <v>46099.94727101852</v>
      </c>
      <c r="C1901" s="6"/>
      <c r="D1901" s="4">
        <v>19.25</v>
      </c>
    </row>
    <row r="1902" ht="22.5" hidden="1" customHeight="1">
      <c r="A1902" s="4" t="s">
        <v>11</v>
      </c>
      <c r="B1902" s="5">
        <v>46099.95479354166</v>
      </c>
      <c r="C1902" s="6"/>
      <c r="D1902" s="4">
        <v>19.27</v>
      </c>
    </row>
    <row r="1903" ht="22.5" hidden="1" customHeight="1">
      <c r="A1903" s="4" t="s">
        <v>11</v>
      </c>
      <c r="B1903" s="5">
        <v>46099.955483287034</v>
      </c>
      <c r="C1903" s="6"/>
      <c r="D1903" s="4">
        <v>19.25</v>
      </c>
    </row>
    <row r="1904" ht="22.5" hidden="1" customHeight="1">
      <c r="A1904" s="4" t="s">
        <v>11</v>
      </c>
      <c r="B1904" s="5">
        <v>46099.96643681713</v>
      </c>
      <c r="C1904" s="6"/>
      <c r="D1904" s="4">
        <v>19.27</v>
      </c>
    </row>
    <row r="1905" ht="22.5" hidden="1" customHeight="1">
      <c r="A1905" s="4" t="s">
        <v>11</v>
      </c>
      <c r="B1905" s="5">
        <v>46099.96712538195</v>
      </c>
      <c r="C1905" s="6"/>
      <c r="D1905" s="4">
        <v>19.25</v>
      </c>
    </row>
    <row r="1906" ht="22.5" hidden="1" customHeight="1">
      <c r="A1906" s="4" t="s">
        <v>11</v>
      </c>
      <c r="B1906" s="5">
        <v>46099.969860868056</v>
      </c>
      <c r="C1906" s="6"/>
      <c r="D1906" s="4">
        <v>19.27</v>
      </c>
    </row>
    <row r="1907" ht="22.5" hidden="1" customHeight="1">
      <c r="A1907" s="4" t="s">
        <v>11</v>
      </c>
      <c r="B1907" s="5">
        <v>46099.970544791664</v>
      </c>
      <c r="C1907" s="6"/>
      <c r="D1907" s="4">
        <v>19.25</v>
      </c>
    </row>
    <row r="1908" ht="22.5" hidden="1" customHeight="1">
      <c r="A1908" s="4" t="s">
        <v>11</v>
      </c>
      <c r="B1908" s="5">
        <v>46099.97123340278</v>
      </c>
      <c r="C1908" s="6"/>
      <c r="D1908" s="4">
        <v>19.27</v>
      </c>
    </row>
    <row r="1909" ht="22.5" hidden="1" customHeight="1">
      <c r="A1909" s="4" t="s">
        <v>11</v>
      </c>
      <c r="B1909" s="5">
        <v>46099.97191465278</v>
      </c>
      <c r="C1909" s="6"/>
      <c r="D1909" s="4">
        <v>19.25</v>
      </c>
    </row>
    <row r="1910" ht="22.5" hidden="1" customHeight="1">
      <c r="A1910" s="4" t="s">
        <v>11</v>
      </c>
      <c r="B1910" s="5">
        <v>46099.97396976852</v>
      </c>
      <c r="C1910" s="6"/>
      <c r="D1910" s="4">
        <v>19.27</v>
      </c>
    </row>
    <row r="1911" ht="22.5" hidden="1" customHeight="1">
      <c r="A1911" s="4" t="s">
        <v>11</v>
      </c>
      <c r="B1911" s="5">
        <v>46099.99245899305</v>
      </c>
      <c r="C1911" s="6"/>
      <c r="D1911" s="4">
        <v>19.29</v>
      </c>
    </row>
    <row r="1912" ht="22.5" hidden="1" customHeight="1">
      <c r="A1912" s="4" t="s">
        <v>11</v>
      </c>
      <c r="B1912" s="5">
        <v>46099.99314381945</v>
      </c>
      <c r="C1912" s="6"/>
      <c r="D1912" s="4">
        <v>19.27</v>
      </c>
    </row>
    <row r="1913" ht="22.5" hidden="1" customHeight="1">
      <c r="A1913" s="4" t="s">
        <v>11</v>
      </c>
      <c r="B1913" s="5">
        <v>46099.997938402776</v>
      </c>
      <c r="C1913" s="6"/>
      <c r="D1913" s="4">
        <v>19.29</v>
      </c>
    </row>
    <row r="1914" ht="22.5" hidden="1" customHeight="1">
      <c r="A1914" s="4" t="s">
        <v>11</v>
      </c>
      <c r="B1914" s="5">
        <v>46099.99862439815</v>
      </c>
      <c r="C1914" s="6"/>
      <c r="D1914" s="4">
        <v>19.27</v>
      </c>
    </row>
    <row r="1915" ht="22.5" hidden="1" customHeight="1">
      <c r="A1915" s="4" t="s">
        <v>11</v>
      </c>
      <c r="B1915" s="5">
        <v>46100.00820988426</v>
      </c>
      <c r="C1915" s="6"/>
      <c r="D1915" s="4">
        <v>19.25</v>
      </c>
    </row>
    <row r="1916" ht="22.5" hidden="1" customHeight="1">
      <c r="A1916" s="4" t="s">
        <v>11</v>
      </c>
      <c r="B1916" s="5">
        <v>46100.01849502315</v>
      </c>
      <c r="C1916" s="6"/>
      <c r="D1916" s="4">
        <v>19.21</v>
      </c>
    </row>
    <row r="1917" ht="22.5" hidden="1" customHeight="1">
      <c r="A1917" s="4" t="s">
        <v>11</v>
      </c>
      <c r="B1917" s="5">
        <v>46100.01916696759</v>
      </c>
      <c r="C1917" s="6"/>
      <c r="D1917" s="4">
        <v>19.25</v>
      </c>
    </row>
    <row r="1918" ht="22.5" hidden="1" customHeight="1">
      <c r="A1918" s="4" t="s">
        <v>11</v>
      </c>
      <c r="B1918" s="5">
        <v>46100.01985445602</v>
      </c>
      <c r="C1918" s="6"/>
      <c r="D1918" s="4">
        <v>19.21</v>
      </c>
    </row>
    <row r="1919" ht="22.5" hidden="1" customHeight="1">
      <c r="A1919" s="4" t="s">
        <v>11</v>
      </c>
      <c r="B1919" s="5">
        <v>46100.0266965162</v>
      </c>
      <c r="C1919" s="6"/>
      <c r="D1919" s="4">
        <v>19.19</v>
      </c>
    </row>
    <row r="1920" ht="22.5" hidden="1" customHeight="1">
      <c r="A1920" s="4" t="s">
        <v>11</v>
      </c>
      <c r="B1920" s="5">
        <v>46100.02875179398</v>
      </c>
      <c r="C1920" s="6"/>
      <c r="D1920" s="4">
        <v>19.21</v>
      </c>
    </row>
    <row r="1921" ht="22.5" hidden="1" customHeight="1">
      <c r="A1921" s="4" t="s">
        <v>11</v>
      </c>
      <c r="B1921" s="5">
        <v>46100.02943461805</v>
      </c>
      <c r="C1921" s="6"/>
      <c r="D1921" s="4">
        <v>19.19</v>
      </c>
    </row>
    <row r="1922" ht="22.5" hidden="1" customHeight="1">
      <c r="A1922" s="4" t="s">
        <v>11</v>
      </c>
      <c r="B1922" s="5">
        <v>46100.036282280096</v>
      </c>
      <c r="C1922" s="6"/>
      <c r="D1922" s="4">
        <v>19.17</v>
      </c>
    </row>
    <row r="1923" ht="22.5" hidden="1" customHeight="1">
      <c r="A1923" s="4" t="s">
        <v>11</v>
      </c>
      <c r="B1923" s="5">
        <v>46100.03765599537</v>
      </c>
      <c r="C1923" s="6"/>
      <c r="D1923" s="4">
        <v>19.19</v>
      </c>
    </row>
    <row r="1924" ht="22.5" hidden="1" customHeight="1">
      <c r="A1924" s="4" t="s">
        <v>11</v>
      </c>
      <c r="B1924" s="5">
        <v>46100.038335081015</v>
      </c>
      <c r="C1924" s="6"/>
      <c r="D1924" s="4">
        <v>19.17</v>
      </c>
    </row>
    <row r="1925" ht="22.5" hidden="1" customHeight="1">
      <c r="A1925" s="4" t="s">
        <v>11</v>
      </c>
      <c r="B1925" s="5">
        <v>46100.04176383102</v>
      </c>
      <c r="C1925" s="6"/>
      <c r="D1925" s="4">
        <v>19.14</v>
      </c>
    </row>
    <row r="1926" ht="22.5" hidden="1" customHeight="1">
      <c r="A1926" s="4" t="s">
        <v>11</v>
      </c>
      <c r="B1926" s="5">
        <v>46100.04792557871</v>
      </c>
      <c r="C1926" s="6"/>
      <c r="D1926" s="4">
        <v>19.11</v>
      </c>
    </row>
    <row r="1927" ht="22.5" hidden="1" customHeight="1">
      <c r="A1927" s="4" t="s">
        <v>11</v>
      </c>
      <c r="B1927" s="5">
        <v>46100.04860592593</v>
      </c>
      <c r="C1927" s="6"/>
      <c r="D1927" s="4">
        <v>19.14</v>
      </c>
    </row>
    <row r="1928" ht="22.5" hidden="1" customHeight="1">
      <c r="A1928" s="4" t="s">
        <v>11</v>
      </c>
      <c r="B1928" s="5">
        <v>46100.04997625</v>
      </c>
      <c r="C1928" s="6"/>
      <c r="D1928" s="4">
        <v>19.11</v>
      </c>
    </row>
    <row r="1929" ht="22.5" hidden="1" customHeight="1">
      <c r="A1929" s="4" t="s">
        <v>11</v>
      </c>
      <c r="B1929" s="5">
        <v>46100.05545157407</v>
      </c>
      <c r="C1929" s="6"/>
      <c r="D1929" s="4">
        <v>19.09</v>
      </c>
    </row>
    <row r="1930" ht="22.5" hidden="1" customHeight="1">
      <c r="A1930" s="4" t="s">
        <v>11</v>
      </c>
      <c r="B1930" s="5">
        <v>46100.05682871528</v>
      </c>
      <c r="C1930" s="6"/>
      <c r="D1930" s="4">
        <v>19.11</v>
      </c>
    </row>
    <row r="1931" ht="22.5" hidden="1" customHeight="1">
      <c r="A1931" s="4" t="s">
        <v>11</v>
      </c>
      <c r="B1931" s="5">
        <v>46100.057505868055</v>
      </c>
      <c r="C1931" s="6"/>
      <c r="D1931" s="4">
        <v>19.09</v>
      </c>
    </row>
    <row r="1932" ht="22.5" hidden="1" customHeight="1">
      <c r="A1932" s="4" t="s">
        <v>11</v>
      </c>
      <c r="B1932" s="5">
        <v>46100.064354664355</v>
      </c>
      <c r="C1932" s="6"/>
      <c r="D1932" s="4">
        <v>19.06</v>
      </c>
    </row>
    <row r="1933" ht="22.5" hidden="1" customHeight="1">
      <c r="A1933" s="4" t="s">
        <v>11</v>
      </c>
      <c r="B1933" s="5">
        <v>46100.066405335645</v>
      </c>
      <c r="C1933" s="6"/>
      <c r="D1933" s="4">
        <v>19.03</v>
      </c>
    </row>
    <row r="1934" ht="22.5" hidden="1" customHeight="1">
      <c r="A1934" s="4" t="s">
        <v>11</v>
      </c>
      <c r="B1934" s="5">
        <v>46100.06914412037</v>
      </c>
      <c r="C1934" s="6"/>
      <c r="D1934" s="4">
        <v>19.01</v>
      </c>
    </row>
    <row r="1935" ht="22.5" hidden="1" customHeight="1">
      <c r="A1935" s="4" t="s">
        <v>11</v>
      </c>
      <c r="B1935" s="5">
        <v>46100.070514722225</v>
      </c>
      <c r="C1935" s="6"/>
      <c r="D1935" s="4">
        <v>18.98</v>
      </c>
    </row>
    <row r="1936" ht="22.5" hidden="1" customHeight="1">
      <c r="A1936" s="4" t="s">
        <v>11</v>
      </c>
      <c r="B1936" s="5">
        <v>46100.07119795139</v>
      </c>
      <c r="C1936" s="6"/>
      <c r="D1936" s="4">
        <v>19.01</v>
      </c>
    </row>
    <row r="1937" ht="22.5" hidden="1" customHeight="1">
      <c r="A1937" s="4" t="s">
        <v>11</v>
      </c>
      <c r="B1937" s="5">
        <v>46100.07188181713</v>
      </c>
      <c r="C1937" s="6"/>
      <c r="D1937" s="4">
        <v>18.98</v>
      </c>
    </row>
    <row r="1938" ht="22.5" hidden="1" customHeight="1">
      <c r="A1938" s="4" t="s">
        <v>11</v>
      </c>
      <c r="B1938" s="5">
        <v>46100.078043657406</v>
      </c>
      <c r="C1938" s="6"/>
      <c r="D1938" s="4">
        <v>18.94</v>
      </c>
    </row>
    <row r="1939" ht="22.5" hidden="1" customHeight="1">
      <c r="A1939" s="4" t="s">
        <v>11</v>
      </c>
      <c r="B1939" s="5">
        <v>46100.07872745371</v>
      </c>
      <c r="C1939" s="6"/>
      <c r="D1939" s="4">
        <v>18.98</v>
      </c>
    </row>
    <row r="1940" ht="22.5" hidden="1" customHeight="1">
      <c r="A1940" s="4" t="s">
        <v>11</v>
      </c>
      <c r="B1940" s="5">
        <v>46100.07941258102</v>
      </c>
      <c r="C1940" s="6"/>
      <c r="D1940" s="4">
        <v>18.94</v>
      </c>
    </row>
    <row r="1941" ht="22.5" hidden="1" customHeight="1">
      <c r="A1941" s="4" t="s">
        <v>11</v>
      </c>
      <c r="B1941" s="5">
        <v>46100.08146646991</v>
      </c>
      <c r="C1941" s="6"/>
      <c r="D1941" s="4">
        <v>18.93</v>
      </c>
    </row>
    <row r="1942" ht="22.5" hidden="1" customHeight="1">
      <c r="A1942" s="4" t="s">
        <v>11</v>
      </c>
      <c r="B1942" s="5">
        <v>46100.086257546296</v>
      </c>
      <c r="C1942" s="6"/>
      <c r="D1942" s="4">
        <v>18.9</v>
      </c>
    </row>
    <row r="1943" ht="22.5" hidden="1" customHeight="1">
      <c r="A1943" s="4" t="s">
        <v>11</v>
      </c>
      <c r="B1943" s="5">
        <v>46100.09036653935</v>
      </c>
      <c r="C1943" s="6"/>
      <c r="D1943" s="4">
        <v>18.86</v>
      </c>
    </row>
    <row r="1944" ht="22.5" hidden="1" customHeight="1">
      <c r="A1944" s="4" t="s">
        <v>11</v>
      </c>
      <c r="B1944" s="5">
        <v>46100.0965384838</v>
      </c>
      <c r="C1944" s="6"/>
      <c r="D1944" s="4">
        <v>18.85</v>
      </c>
    </row>
    <row r="1945" ht="22.5" hidden="1" customHeight="1">
      <c r="A1945" s="4" t="s">
        <v>11</v>
      </c>
      <c r="B1945" s="5">
        <v>46100.099950752316</v>
      </c>
      <c r="C1945" s="6"/>
      <c r="D1945" s="4">
        <v>18.82</v>
      </c>
    </row>
    <row r="1946" ht="22.5" hidden="1" customHeight="1">
      <c r="A1946" s="4" t="s">
        <v>11</v>
      </c>
      <c r="B1946" s="5">
        <v>46100.103371192126</v>
      </c>
      <c r="C1946" s="6"/>
      <c r="D1946" s="4">
        <v>18.78</v>
      </c>
    </row>
    <row r="1947" ht="22.5" hidden="1" customHeight="1">
      <c r="A1947" s="4" t="s">
        <v>11</v>
      </c>
      <c r="B1947" s="5">
        <v>46100.10679293981</v>
      </c>
      <c r="C1947" s="6"/>
      <c r="D1947" s="4">
        <v>18.77</v>
      </c>
    </row>
    <row r="1948" ht="22.5" hidden="1" customHeight="1">
      <c r="A1948" s="4" t="s">
        <v>11</v>
      </c>
      <c r="B1948" s="5">
        <v>46100.113641296295</v>
      </c>
      <c r="C1948" s="6"/>
      <c r="D1948" s="4">
        <v>18.74</v>
      </c>
    </row>
    <row r="1949" ht="22.5" hidden="1" customHeight="1">
      <c r="A1949" s="4" t="s">
        <v>11</v>
      </c>
      <c r="B1949" s="5">
        <v>46100.114329965276</v>
      </c>
      <c r="C1949" s="6"/>
      <c r="D1949" s="4">
        <v>18.77</v>
      </c>
    </row>
    <row r="1950" ht="22.5" hidden="1" customHeight="1">
      <c r="A1950" s="4" t="s">
        <v>11</v>
      </c>
      <c r="B1950" s="5">
        <v>46100.11501115741</v>
      </c>
      <c r="C1950" s="6"/>
      <c r="D1950" s="4">
        <v>18.74</v>
      </c>
    </row>
    <row r="1951" ht="22.5" hidden="1" customHeight="1">
      <c r="A1951" s="4" t="s">
        <v>11</v>
      </c>
      <c r="B1951" s="5">
        <v>46100.116377384256</v>
      </c>
      <c r="C1951" s="6"/>
      <c r="D1951" s="4">
        <v>18.7</v>
      </c>
    </row>
    <row r="1952" ht="22.5" hidden="1" customHeight="1">
      <c r="A1952" s="4" t="s">
        <v>11</v>
      </c>
      <c r="B1952" s="5">
        <v>46100.1225369213</v>
      </c>
      <c r="C1952" s="6"/>
      <c r="D1952" s="4">
        <v>18.68</v>
      </c>
    </row>
    <row r="1953" ht="22.5" hidden="1" customHeight="1">
      <c r="A1953" s="4" t="s">
        <v>11</v>
      </c>
      <c r="B1953" s="5">
        <v>46100.123909664355</v>
      </c>
      <c r="C1953" s="6"/>
      <c r="D1953" s="4">
        <v>18.66</v>
      </c>
    </row>
    <row r="1954" ht="22.5" hidden="1" customHeight="1">
      <c r="A1954" s="4" t="s">
        <v>11</v>
      </c>
      <c r="B1954" s="5">
        <v>46100.1245925</v>
      </c>
      <c r="C1954" s="6"/>
      <c r="D1954" s="4">
        <v>18.68</v>
      </c>
    </row>
    <row r="1955" ht="22.5" hidden="1" customHeight="1">
      <c r="A1955" s="4" t="s">
        <v>11</v>
      </c>
      <c r="B1955" s="5">
        <v>46100.125275046295</v>
      </c>
      <c r="C1955" s="6"/>
      <c r="D1955" s="4">
        <v>18.66</v>
      </c>
    </row>
    <row r="1956" ht="22.5" hidden="1" customHeight="1">
      <c r="A1956" s="4" t="s">
        <v>11</v>
      </c>
      <c r="B1956" s="5">
        <v>46100.12596210648</v>
      </c>
      <c r="C1956" s="6"/>
      <c r="D1956" s="4">
        <v>18.68</v>
      </c>
    </row>
    <row r="1957" ht="22.5" hidden="1" customHeight="1">
      <c r="A1957" s="4" t="s">
        <v>11</v>
      </c>
      <c r="B1957" s="5">
        <v>46100.126644675925</v>
      </c>
      <c r="C1957" s="6"/>
      <c r="D1957" s="4">
        <v>18.66</v>
      </c>
    </row>
    <row r="1958" ht="22.5" hidden="1" customHeight="1">
      <c r="A1958" s="4" t="s">
        <v>11</v>
      </c>
      <c r="B1958" s="5">
        <v>46100.130067708335</v>
      </c>
      <c r="C1958" s="6"/>
      <c r="D1958" s="4">
        <v>18.62</v>
      </c>
    </row>
    <row r="1959" ht="22.5" hidden="1" customHeight="1">
      <c r="A1959" s="4" t="s">
        <v>11</v>
      </c>
      <c r="B1959" s="5">
        <v>46100.130750462966</v>
      </c>
      <c r="C1959" s="6"/>
      <c r="D1959" s="4">
        <v>18.66</v>
      </c>
    </row>
    <row r="1960" ht="22.5" hidden="1" customHeight="1">
      <c r="A1960" s="4" t="s">
        <v>11</v>
      </c>
      <c r="B1960" s="5">
        <v>46100.13143574074</v>
      </c>
      <c r="C1960" s="6"/>
      <c r="D1960" s="4">
        <v>18.62</v>
      </c>
    </row>
    <row r="1961" ht="22.5" hidden="1" customHeight="1">
      <c r="A1961" s="4" t="s">
        <v>11</v>
      </c>
      <c r="B1961" s="5">
        <v>46100.13212261574</v>
      </c>
      <c r="C1961" s="6"/>
      <c r="D1961" s="4">
        <v>18.66</v>
      </c>
    </row>
    <row r="1962" ht="22.5" hidden="1" customHeight="1">
      <c r="A1962" s="4" t="s">
        <v>11</v>
      </c>
      <c r="B1962" s="5">
        <v>46100.13280423611</v>
      </c>
      <c r="C1962" s="6"/>
      <c r="D1962" s="4">
        <v>18.62</v>
      </c>
    </row>
    <row r="1963" ht="22.5" hidden="1" customHeight="1">
      <c r="A1963" s="4" t="s">
        <v>11</v>
      </c>
      <c r="B1963" s="5">
        <v>46100.135546909725</v>
      </c>
      <c r="C1963" s="6"/>
      <c r="D1963" s="4">
        <v>18.6</v>
      </c>
    </row>
    <row r="1964" ht="22.5" hidden="1" customHeight="1">
      <c r="A1964" s="4" t="s">
        <v>11</v>
      </c>
      <c r="B1964" s="5">
        <v>46100.137596342596</v>
      </c>
      <c r="C1964" s="6"/>
      <c r="D1964" s="4">
        <v>18.58</v>
      </c>
    </row>
    <row r="1965" ht="22.5" hidden="1" customHeight="1">
      <c r="A1965" s="4" t="s">
        <v>11</v>
      </c>
      <c r="B1965" s="5">
        <v>46100.14101798611</v>
      </c>
      <c r="C1965" s="6"/>
      <c r="D1965" s="4">
        <v>18.54</v>
      </c>
    </row>
    <row r="1966" ht="22.5" hidden="1" customHeight="1">
      <c r="A1966" s="4" t="s">
        <v>11</v>
      </c>
      <c r="B1966" s="5">
        <v>46100.14170487269</v>
      </c>
      <c r="C1966" s="6"/>
      <c r="D1966" s="4">
        <v>18.58</v>
      </c>
    </row>
    <row r="1967" ht="22.5" hidden="1" customHeight="1">
      <c r="A1967" s="4" t="s">
        <v>11</v>
      </c>
      <c r="B1967" s="5">
        <v>46100.142387534725</v>
      </c>
      <c r="C1967" s="6"/>
      <c r="D1967" s="4">
        <v>18.54</v>
      </c>
    </row>
    <row r="1968" ht="22.5" hidden="1" customHeight="1">
      <c r="A1968" s="4" t="s">
        <v>11</v>
      </c>
      <c r="B1968" s="5">
        <v>46100.143755474535</v>
      </c>
      <c r="C1968" s="6"/>
      <c r="D1968" s="4">
        <v>18.58</v>
      </c>
    </row>
    <row r="1969" ht="22.5" hidden="1" customHeight="1">
      <c r="A1969" s="4" t="s">
        <v>11</v>
      </c>
      <c r="B1969" s="5">
        <v>46100.144441979166</v>
      </c>
      <c r="C1969" s="6"/>
      <c r="D1969" s="4">
        <v>18.54</v>
      </c>
    </row>
    <row r="1970" ht="22.5" hidden="1" customHeight="1">
      <c r="A1970" s="4" t="s">
        <v>11</v>
      </c>
      <c r="B1970" s="5">
        <v>46100.1471784375</v>
      </c>
      <c r="C1970" s="6"/>
      <c r="D1970" s="4">
        <v>18.52</v>
      </c>
    </row>
    <row r="1971" ht="22.5" hidden="1" customHeight="1">
      <c r="A1971" s="4" t="s">
        <v>11</v>
      </c>
      <c r="B1971" s="5">
        <v>46100.14786347222</v>
      </c>
      <c r="C1971" s="6"/>
      <c r="D1971" s="4">
        <v>18.54</v>
      </c>
    </row>
    <row r="1972" ht="22.5" hidden="1" customHeight="1">
      <c r="A1972" s="4" t="s">
        <v>11</v>
      </c>
      <c r="B1972" s="5">
        <v>46100.14923137731</v>
      </c>
      <c r="C1972" s="6"/>
      <c r="D1972" s="4">
        <v>18.52</v>
      </c>
    </row>
    <row r="1973" ht="22.5" hidden="1" customHeight="1">
      <c r="A1973" s="4" t="s">
        <v>11</v>
      </c>
      <c r="B1973" s="5">
        <v>46100.15265636574</v>
      </c>
      <c r="C1973" s="6"/>
      <c r="D1973" s="4">
        <v>18.49</v>
      </c>
    </row>
    <row r="1974" ht="22.5" hidden="1" customHeight="1">
      <c r="A1974" s="4" t="s">
        <v>11</v>
      </c>
      <c r="B1974" s="5">
        <v>46100.15607532408</v>
      </c>
      <c r="C1974" s="6"/>
      <c r="D1974" s="4">
        <v>18.46</v>
      </c>
    </row>
    <row r="1975" ht="22.5" hidden="1" customHeight="1">
      <c r="A1975" s="4" t="s">
        <v>11</v>
      </c>
      <c r="B1975" s="5">
        <v>46100.160869363426</v>
      </c>
      <c r="C1975" s="6"/>
      <c r="D1975" s="4">
        <v>18.44</v>
      </c>
    </row>
    <row r="1976" ht="22.5" hidden="1" customHeight="1">
      <c r="A1976" s="4" t="s">
        <v>11</v>
      </c>
      <c r="B1976" s="5">
        <v>46100.1656590625</v>
      </c>
      <c r="C1976" s="6"/>
      <c r="D1976" s="4">
        <v>18.41</v>
      </c>
    </row>
    <row r="1977" ht="22.5" hidden="1" customHeight="1">
      <c r="A1977" s="4" t="s">
        <v>11</v>
      </c>
      <c r="B1977" s="5">
        <v>46100.16634263889</v>
      </c>
      <c r="C1977" s="6"/>
      <c r="D1977" s="4">
        <v>18.44</v>
      </c>
    </row>
    <row r="1978" ht="22.5" hidden="1" customHeight="1">
      <c r="A1978" s="4" t="s">
        <v>11</v>
      </c>
      <c r="B1978" s="5">
        <v>46100.1670287963</v>
      </c>
      <c r="C1978" s="6"/>
      <c r="D1978" s="4">
        <v>18.41</v>
      </c>
    </row>
    <row r="1979" ht="22.5" hidden="1" customHeight="1">
      <c r="A1979" s="4" t="s">
        <v>11</v>
      </c>
      <c r="B1979" s="5">
        <v>46100.17113552083</v>
      </c>
      <c r="C1979" s="6"/>
      <c r="D1979" s="4">
        <v>18.37</v>
      </c>
    </row>
    <row r="1980" ht="22.5" hidden="1" customHeight="1">
      <c r="A1980" s="4" t="s">
        <v>11</v>
      </c>
      <c r="B1980" s="5">
        <v>46100.1738709375</v>
      </c>
      <c r="C1980" s="6"/>
      <c r="D1980" s="4">
        <v>18.35</v>
      </c>
    </row>
    <row r="1981" ht="22.5" hidden="1" customHeight="1">
      <c r="A1981" s="4" t="s">
        <v>11</v>
      </c>
      <c r="B1981" s="5">
        <v>46100.17660799769</v>
      </c>
      <c r="C1981" s="6"/>
      <c r="D1981" s="4">
        <v>18.33</v>
      </c>
    </row>
    <row r="1982" ht="22.5" hidden="1" customHeight="1">
      <c r="A1982" s="4" t="s">
        <v>11</v>
      </c>
      <c r="B1982" s="5">
        <v>46100.17729393519</v>
      </c>
      <c r="C1982" s="6"/>
      <c r="D1982" s="4">
        <v>18.35</v>
      </c>
    </row>
    <row r="1983" ht="22.5" hidden="1" customHeight="1">
      <c r="A1983" s="4" t="s">
        <v>11</v>
      </c>
      <c r="B1983" s="5">
        <v>46100.17934765046</v>
      </c>
      <c r="C1983" s="6"/>
      <c r="D1983" s="4">
        <v>18.33</v>
      </c>
    </row>
    <row r="1984" ht="22.5" hidden="1" customHeight="1">
      <c r="A1984" s="4" t="s">
        <v>11</v>
      </c>
      <c r="B1984" s="5">
        <v>46100.184139502315</v>
      </c>
      <c r="C1984" s="6"/>
      <c r="D1984" s="4">
        <v>18.29</v>
      </c>
    </row>
    <row r="1985" ht="22.5" hidden="1" customHeight="1">
      <c r="A1985" s="4" t="s">
        <v>11</v>
      </c>
      <c r="B1985" s="5">
        <v>46100.18824420139</v>
      </c>
      <c r="C1985" s="6"/>
      <c r="D1985" s="4">
        <v>18.27</v>
      </c>
    </row>
    <row r="1986" ht="22.5" hidden="1" customHeight="1">
      <c r="A1986" s="4" t="s">
        <v>11</v>
      </c>
      <c r="B1986" s="5">
        <v>46100.19234917824</v>
      </c>
      <c r="C1986" s="6"/>
      <c r="D1986" s="4">
        <v>18.25</v>
      </c>
    </row>
    <row r="1987" ht="22.5" hidden="1" customHeight="1">
      <c r="A1987" s="4" t="s">
        <v>11</v>
      </c>
      <c r="B1987" s="5">
        <v>46100.19713908565</v>
      </c>
      <c r="C1987" s="6"/>
      <c r="D1987" s="4">
        <v>18.21</v>
      </c>
    </row>
    <row r="1988" ht="22.5" hidden="1" customHeight="1">
      <c r="A1988" s="4" t="s">
        <v>11</v>
      </c>
      <c r="B1988" s="5">
        <v>46100.19782475694</v>
      </c>
      <c r="C1988" s="6"/>
      <c r="D1988" s="4">
        <v>18.25</v>
      </c>
    </row>
    <row r="1989" ht="22.5" hidden="1" customHeight="1">
      <c r="A1989" s="4" t="s">
        <v>11</v>
      </c>
      <c r="B1989" s="5">
        <v>46100.199201145835</v>
      </c>
      <c r="C1989" s="6"/>
      <c r="D1989" s="4">
        <v>18.21</v>
      </c>
    </row>
    <row r="1990" ht="22.5" hidden="1" customHeight="1">
      <c r="A1990" s="4" t="s">
        <v>11</v>
      </c>
      <c r="B1990" s="5">
        <v>46100.20467196759</v>
      </c>
      <c r="C1990" s="6"/>
      <c r="D1990" s="4">
        <v>18.19</v>
      </c>
    </row>
    <row r="1991" ht="22.5" hidden="1" customHeight="1">
      <c r="A1991" s="4" t="s">
        <v>11</v>
      </c>
      <c r="B1991" s="5">
        <v>46100.20809086806</v>
      </c>
      <c r="C1991" s="6"/>
      <c r="D1991" s="4">
        <v>18.17</v>
      </c>
    </row>
    <row r="1992" ht="22.5" hidden="1" customHeight="1">
      <c r="A1992" s="4" t="s">
        <v>11</v>
      </c>
      <c r="B1992" s="5">
        <v>46100.21151479167</v>
      </c>
      <c r="C1992" s="6"/>
      <c r="D1992" s="4">
        <v>18.14</v>
      </c>
    </row>
    <row r="1993" ht="22.5" hidden="1" customHeight="1">
      <c r="A1993" s="4" t="s">
        <v>11</v>
      </c>
      <c r="B1993" s="5">
        <v>46100.212880555555</v>
      </c>
      <c r="C1993" s="6"/>
      <c r="D1993" s="4">
        <v>18.1</v>
      </c>
    </row>
    <row r="1994" ht="22.5" hidden="1" customHeight="1">
      <c r="A1994" s="4" t="s">
        <v>11</v>
      </c>
      <c r="B1994" s="5">
        <v>46100.2135640625</v>
      </c>
      <c r="C1994" s="6"/>
      <c r="D1994" s="4">
        <v>18.14</v>
      </c>
    </row>
    <row r="1995" ht="22.5" hidden="1" customHeight="1">
      <c r="A1995" s="4" t="s">
        <v>11</v>
      </c>
      <c r="B1995" s="5">
        <v>46100.214251516205</v>
      </c>
      <c r="C1995" s="6"/>
      <c r="D1995" s="4">
        <v>18.1</v>
      </c>
    </row>
    <row r="1996" ht="22.5" hidden="1" customHeight="1">
      <c r="A1996" s="4" t="s">
        <v>11</v>
      </c>
      <c r="B1996" s="5">
        <v>46100.21494773148</v>
      </c>
      <c r="C1996" s="6"/>
      <c r="D1996" s="4">
        <v>18.14</v>
      </c>
    </row>
    <row r="1997" ht="22.5" hidden="1" customHeight="1">
      <c r="A1997" s="4" t="s">
        <v>11</v>
      </c>
      <c r="B1997" s="5">
        <v>46100.21561685185</v>
      </c>
      <c r="C1997" s="6"/>
      <c r="D1997" s="4">
        <v>18.1</v>
      </c>
    </row>
    <row r="1998" ht="22.5" hidden="1" customHeight="1">
      <c r="A1998" s="4" t="s">
        <v>11</v>
      </c>
      <c r="B1998" s="5">
        <v>46100.221779837964</v>
      </c>
      <c r="C1998" s="6"/>
      <c r="D1998" s="4">
        <v>18.08</v>
      </c>
    </row>
    <row r="1999" ht="22.5" hidden="1" customHeight="1">
      <c r="A1999" s="4" t="s">
        <v>11</v>
      </c>
      <c r="B1999" s="5">
        <v>46100.224515208334</v>
      </c>
      <c r="C1999" s="6"/>
      <c r="D1999" s="4">
        <v>18.06</v>
      </c>
    </row>
    <row r="2000" ht="22.5" hidden="1" customHeight="1">
      <c r="A2000" s="4" t="s">
        <v>11</v>
      </c>
      <c r="B2000" s="5">
        <v>46100.22519712963</v>
      </c>
      <c r="C2000" s="6"/>
      <c r="D2000" s="4">
        <v>18.08</v>
      </c>
    </row>
    <row r="2001" ht="22.5" hidden="1" customHeight="1">
      <c r="A2001" s="4" t="s">
        <v>11</v>
      </c>
      <c r="B2001" s="5">
        <v>46100.22588946759</v>
      </c>
      <c r="C2001" s="6"/>
      <c r="D2001" s="4">
        <v>18.06</v>
      </c>
    </row>
    <row r="2002" ht="22.5" hidden="1" customHeight="1">
      <c r="A2002" s="4" t="s">
        <v>11</v>
      </c>
      <c r="B2002" s="5">
        <v>46100.23135888889</v>
      </c>
      <c r="C2002" s="6"/>
      <c r="D2002" s="4">
        <v>18.02</v>
      </c>
    </row>
    <row r="2003" ht="22.5" hidden="1" customHeight="1">
      <c r="A2003" s="4" t="s">
        <v>11</v>
      </c>
      <c r="B2003" s="5">
        <v>46100.23615041667</v>
      </c>
      <c r="C2003" s="6"/>
      <c r="D2003" s="4">
        <v>18.0</v>
      </c>
    </row>
    <row r="2004" ht="22.5" hidden="1" customHeight="1">
      <c r="A2004" s="4" t="s">
        <v>11</v>
      </c>
      <c r="B2004" s="5">
        <v>46100.24025369213</v>
      </c>
      <c r="C2004" s="6"/>
      <c r="D2004" s="4">
        <v>17.96</v>
      </c>
    </row>
    <row r="2005" ht="22.5" hidden="1" customHeight="1">
      <c r="A2005" s="4" t="s">
        <v>11</v>
      </c>
      <c r="B2005" s="5">
        <v>46100.24162260417</v>
      </c>
      <c r="C2005" s="6"/>
      <c r="D2005" s="4">
        <v>18.0</v>
      </c>
    </row>
    <row r="2006" ht="22.5" hidden="1" customHeight="1">
      <c r="A2006" s="4" t="s">
        <v>11</v>
      </c>
      <c r="B2006" s="5">
        <v>46100.24231822917</v>
      </c>
      <c r="C2006" s="6"/>
      <c r="D2006" s="4">
        <v>17.96</v>
      </c>
    </row>
    <row r="2007" ht="22.5" hidden="1" customHeight="1">
      <c r="A2007" s="4" t="s">
        <v>11</v>
      </c>
      <c r="B2007" s="5">
        <v>46100.245054872685</v>
      </c>
      <c r="C2007" s="6"/>
      <c r="D2007" s="4">
        <v>17.94</v>
      </c>
    </row>
    <row r="2008" ht="22.5" hidden="1" customHeight="1">
      <c r="A2008" s="4" t="s">
        <v>11</v>
      </c>
      <c r="B2008" s="5">
        <v>46100.24846364583</v>
      </c>
      <c r="C2008" s="6"/>
      <c r="D2008" s="4">
        <v>17.92</v>
      </c>
    </row>
    <row r="2009" ht="22.5" hidden="1" customHeight="1">
      <c r="A2009" s="4" t="s">
        <v>11</v>
      </c>
      <c r="B2009" s="5">
        <v>46100.24914820602</v>
      </c>
      <c r="C2009" s="6"/>
      <c r="D2009" s="4">
        <v>17.94</v>
      </c>
    </row>
    <row r="2010" ht="22.5" hidden="1" customHeight="1">
      <c r="A2010" s="4" t="s">
        <v>11</v>
      </c>
      <c r="B2010" s="5">
        <v>46100.250516168984</v>
      </c>
      <c r="C2010" s="6"/>
      <c r="D2010" s="4">
        <v>17.92</v>
      </c>
    </row>
    <row r="2011" ht="22.5" hidden="1" customHeight="1">
      <c r="A2011" s="4" t="s">
        <v>11</v>
      </c>
      <c r="B2011" s="5">
        <v>46100.25257221065</v>
      </c>
      <c r="C2011" s="6"/>
      <c r="D2011" s="4">
        <v>17.89</v>
      </c>
    </row>
    <row r="2012" ht="22.5" hidden="1" customHeight="1">
      <c r="A2012" s="4" t="s">
        <v>11</v>
      </c>
      <c r="B2012" s="5">
        <v>46100.25393990741</v>
      </c>
      <c r="C2012" s="6"/>
      <c r="D2012" s="4">
        <v>17.92</v>
      </c>
    </row>
    <row r="2013" ht="22.5" hidden="1" customHeight="1">
      <c r="A2013" s="4" t="s">
        <v>11</v>
      </c>
      <c r="B2013" s="5">
        <v>46100.25462380787</v>
      </c>
      <c r="C2013" s="6"/>
      <c r="D2013" s="4">
        <v>17.89</v>
      </c>
    </row>
    <row r="2014" ht="22.5" hidden="1" customHeight="1">
      <c r="A2014" s="4" t="s">
        <v>11</v>
      </c>
      <c r="B2014" s="5">
        <v>46100.260097569444</v>
      </c>
      <c r="C2014" s="6"/>
      <c r="D2014" s="4">
        <v>17.86</v>
      </c>
    </row>
    <row r="2015" ht="22.5" hidden="1" customHeight="1">
      <c r="A2015" s="4" t="s">
        <v>11</v>
      </c>
      <c r="B2015" s="5">
        <v>46100.265573715275</v>
      </c>
      <c r="C2015" s="6"/>
      <c r="D2015" s="4">
        <v>17.84</v>
      </c>
    </row>
    <row r="2016" ht="22.5" hidden="1" customHeight="1">
      <c r="A2016" s="4" t="s">
        <v>11</v>
      </c>
      <c r="B2016" s="5">
        <v>46100.27174027778</v>
      </c>
      <c r="C2016" s="6"/>
      <c r="D2016" s="4">
        <v>17.81</v>
      </c>
    </row>
    <row r="2017" ht="22.5" hidden="1" customHeight="1">
      <c r="A2017" s="4" t="s">
        <v>11</v>
      </c>
      <c r="B2017" s="5">
        <v>46100.2724150463</v>
      </c>
      <c r="C2017" s="6"/>
      <c r="D2017" s="4">
        <v>17.84</v>
      </c>
    </row>
    <row r="2018" ht="22.5" hidden="1" customHeight="1">
      <c r="A2018" s="4" t="s">
        <v>11</v>
      </c>
      <c r="B2018" s="5">
        <v>46100.27310086806</v>
      </c>
      <c r="C2018" s="6"/>
      <c r="D2018" s="4">
        <v>17.81</v>
      </c>
    </row>
    <row r="2019" ht="22.5" hidden="1" customHeight="1">
      <c r="A2019" s="4" t="s">
        <v>11</v>
      </c>
      <c r="B2019" s="5">
        <v>46100.27378239583</v>
      </c>
      <c r="C2019" s="6"/>
      <c r="D2019" s="4">
        <v>17.84</v>
      </c>
    </row>
    <row r="2020" ht="22.5" hidden="1" customHeight="1">
      <c r="A2020" s="4" t="s">
        <v>11</v>
      </c>
      <c r="B2020" s="5">
        <v>46100.27447716435</v>
      </c>
      <c r="C2020" s="6"/>
      <c r="D2020" s="4">
        <v>17.81</v>
      </c>
    </row>
    <row r="2021" ht="22.5" hidden="1" customHeight="1">
      <c r="A2021" s="4" t="s">
        <v>11</v>
      </c>
      <c r="B2021" s="5">
        <v>46100.281322662035</v>
      </c>
      <c r="C2021" s="6"/>
      <c r="D2021" s="4">
        <v>17.77</v>
      </c>
    </row>
    <row r="2022" ht="22.5" hidden="1" customHeight="1">
      <c r="A2022" s="4" t="s">
        <v>11</v>
      </c>
      <c r="B2022" s="5">
        <v>46100.28199934028</v>
      </c>
      <c r="C2022" s="6"/>
      <c r="D2022" s="4">
        <v>17.81</v>
      </c>
    </row>
    <row r="2023" ht="22.5" hidden="1" customHeight="1">
      <c r="A2023" s="4" t="s">
        <v>11</v>
      </c>
      <c r="B2023" s="5">
        <v>46100.28611328704</v>
      </c>
      <c r="C2023" s="6"/>
      <c r="D2023" s="4">
        <v>17.77</v>
      </c>
    </row>
    <row r="2024" ht="22.5" hidden="1" customHeight="1">
      <c r="A2024" s="4" t="s">
        <v>11</v>
      </c>
      <c r="B2024" s="5">
        <v>46100.299104224534</v>
      </c>
      <c r="C2024" s="6"/>
      <c r="D2024" s="4">
        <v>17.81</v>
      </c>
    </row>
    <row r="2025" ht="22.5" hidden="1" customHeight="1">
      <c r="A2025" s="4" t="s">
        <v>11</v>
      </c>
      <c r="B2025" s="5">
        <v>46100.29978949074</v>
      </c>
      <c r="C2025" s="6"/>
      <c r="D2025" s="4">
        <v>17.77</v>
      </c>
    </row>
    <row r="2026" ht="22.5" hidden="1" customHeight="1">
      <c r="A2026" s="4" t="s">
        <v>11</v>
      </c>
      <c r="B2026" s="5">
        <v>46100.30526451389</v>
      </c>
      <c r="C2026" s="6"/>
      <c r="D2026" s="4">
        <v>17.81</v>
      </c>
    </row>
    <row r="2027" ht="22.5" hidden="1" customHeight="1">
      <c r="A2027" s="4" t="s">
        <v>11</v>
      </c>
      <c r="B2027" s="5">
        <v>46100.305950752314</v>
      </c>
      <c r="C2027" s="6"/>
      <c r="D2027" s="4">
        <v>17.77</v>
      </c>
    </row>
    <row r="2028" ht="22.5" hidden="1" customHeight="1">
      <c r="A2028" s="4" t="s">
        <v>11</v>
      </c>
      <c r="B2028" s="5">
        <v>46100.306632685184</v>
      </c>
      <c r="C2028" s="6"/>
      <c r="D2028" s="4">
        <v>17.81</v>
      </c>
    </row>
    <row r="2029" ht="22.5" hidden="1" customHeight="1">
      <c r="A2029" s="4" t="s">
        <v>11</v>
      </c>
      <c r="B2029" s="5">
        <v>46100.307319907406</v>
      </c>
      <c r="C2029" s="6"/>
      <c r="D2029" s="4">
        <v>17.77</v>
      </c>
    </row>
    <row r="2030" ht="22.5" hidden="1" customHeight="1">
      <c r="A2030" s="4" t="s">
        <v>11</v>
      </c>
      <c r="B2030" s="5">
        <v>46100.30937137731</v>
      </c>
      <c r="C2030" s="6"/>
      <c r="D2030" s="4">
        <v>17.81</v>
      </c>
    </row>
    <row r="2031" ht="22.5" hidden="1" customHeight="1">
      <c r="A2031" s="4" t="s">
        <v>11</v>
      </c>
      <c r="B2031" s="5">
        <v>46100.31621578704</v>
      </c>
      <c r="C2031" s="6"/>
      <c r="D2031" s="4">
        <v>17.77</v>
      </c>
    </row>
    <row r="2032" ht="22.5" hidden="1" customHeight="1">
      <c r="A2032" s="4" t="s">
        <v>11</v>
      </c>
      <c r="B2032" s="5">
        <v>46100.31758599537</v>
      </c>
      <c r="C2032" s="6"/>
      <c r="D2032" s="4">
        <v>17.81</v>
      </c>
    </row>
    <row r="2033" ht="22.5" hidden="1" customHeight="1">
      <c r="A2033" s="4" t="s">
        <v>11</v>
      </c>
      <c r="B2033" s="5">
        <v>46100.32306043981</v>
      </c>
      <c r="C2033" s="6"/>
      <c r="D2033" s="4">
        <v>17.84</v>
      </c>
    </row>
    <row r="2034" ht="22.5" hidden="1" customHeight="1">
      <c r="A2034" s="4" t="s">
        <v>11</v>
      </c>
      <c r="B2034" s="5">
        <v>46100.329223622684</v>
      </c>
      <c r="C2034" s="6"/>
      <c r="D2034" s="4">
        <v>17.86</v>
      </c>
    </row>
    <row r="2035" ht="22.5" hidden="1" customHeight="1">
      <c r="A2035" s="4" t="s">
        <v>11</v>
      </c>
      <c r="B2035" s="5">
        <v>46100.33264721065</v>
      </c>
      <c r="C2035" s="6"/>
      <c r="D2035" s="4">
        <v>17.89</v>
      </c>
    </row>
    <row r="2036" ht="22.5" hidden="1" customHeight="1">
      <c r="A2036" s="4" t="s">
        <v>11</v>
      </c>
      <c r="B2036" s="5">
        <v>46100.338121574074</v>
      </c>
      <c r="C2036" s="6"/>
      <c r="D2036" s="4">
        <v>17.92</v>
      </c>
    </row>
    <row r="2037" ht="22.5" hidden="1" customHeight="1">
      <c r="A2037" s="4" t="s">
        <v>11</v>
      </c>
      <c r="B2037" s="5">
        <v>46100.341556273146</v>
      </c>
      <c r="C2037" s="6"/>
      <c r="D2037" s="4">
        <v>17.94</v>
      </c>
    </row>
    <row r="2038" ht="22.5" hidden="1" customHeight="1">
      <c r="A2038" s="4" t="s">
        <v>11</v>
      </c>
      <c r="B2038" s="5">
        <v>46100.3442849537</v>
      </c>
      <c r="C2038" s="6"/>
      <c r="D2038" s="4">
        <v>17.96</v>
      </c>
    </row>
    <row r="2039" ht="22.5" hidden="1" customHeight="1">
      <c r="A2039" s="4" t="s">
        <v>11</v>
      </c>
      <c r="B2039" s="5">
        <v>46100.346339780095</v>
      </c>
      <c r="C2039" s="6"/>
      <c r="D2039" s="4">
        <v>18.0</v>
      </c>
    </row>
    <row r="2040" ht="22.5" hidden="1" customHeight="1">
      <c r="A2040" s="4" t="s">
        <v>11</v>
      </c>
      <c r="B2040" s="5">
        <v>46100.3470275463</v>
      </c>
      <c r="C2040" s="6"/>
      <c r="D2040" s="4">
        <v>17.96</v>
      </c>
    </row>
    <row r="2041" ht="22.5" hidden="1" customHeight="1">
      <c r="A2041" s="4" t="s">
        <v>11</v>
      </c>
      <c r="B2041" s="5">
        <v>46100.34770641204</v>
      </c>
      <c r="C2041" s="6"/>
      <c r="D2041" s="4">
        <v>18.0</v>
      </c>
    </row>
    <row r="2042" ht="22.5" hidden="1" customHeight="1">
      <c r="A2042" s="4" t="s">
        <v>11</v>
      </c>
      <c r="B2042" s="5">
        <v>46100.351132592594</v>
      </c>
      <c r="C2042" s="6"/>
      <c r="D2042" s="4">
        <v>18.02</v>
      </c>
    </row>
    <row r="2043" ht="22.5" hidden="1" customHeight="1">
      <c r="A2043" s="4" t="s">
        <v>11</v>
      </c>
      <c r="B2043" s="5">
        <v>46100.35386913194</v>
      </c>
      <c r="C2043" s="6"/>
      <c r="D2043" s="4">
        <v>18.06</v>
      </c>
    </row>
    <row r="2044" ht="22.5" hidden="1" customHeight="1">
      <c r="A2044" s="4" t="s">
        <v>11</v>
      </c>
      <c r="B2044" s="5">
        <v>46100.35729355324</v>
      </c>
      <c r="C2044" s="6"/>
      <c r="D2044" s="4">
        <v>18.08</v>
      </c>
    </row>
    <row r="2045" ht="22.5" hidden="1" customHeight="1">
      <c r="A2045" s="4" t="s">
        <v>11</v>
      </c>
      <c r="B2045" s="5">
        <v>46100.36003092593</v>
      </c>
      <c r="C2045" s="6"/>
      <c r="D2045" s="4">
        <v>18.1</v>
      </c>
    </row>
    <row r="2046" ht="22.5" hidden="1" customHeight="1">
      <c r="A2046" s="4" t="s">
        <v>11</v>
      </c>
      <c r="B2046" s="5">
        <v>46100.36345532408</v>
      </c>
      <c r="C2046" s="6"/>
      <c r="D2046" s="4">
        <v>18.14</v>
      </c>
    </row>
    <row r="2047" ht="22.5" hidden="1" customHeight="1">
      <c r="A2047" s="4" t="s">
        <v>11</v>
      </c>
      <c r="B2047" s="5">
        <v>46100.366193912036</v>
      </c>
      <c r="C2047" s="6"/>
      <c r="D2047" s="4">
        <v>18.17</v>
      </c>
    </row>
    <row r="2048" ht="22.5" hidden="1" customHeight="1">
      <c r="A2048" s="4" t="s">
        <v>11</v>
      </c>
      <c r="B2048" s="5">
        <v>46100.36756436343</v>
      </c>
      <c r="C2048" s="6"/>
      <c r="D2048" s="4">
        <v>18.19</v>
      </c>
    </row>
    <row r="2049" ht="22.5" hidden="1" customHeight="1">
      <c r="A2049" s="4" t="s">
        <v>11</v>
      </c>
      <c r="B2049" s="5">
        <v>46100.370304282405</v>
      </c>
      <c r="C2049" s="6"/>
      <c r="D2049" s="4">
        <v>18.21</v>
      </c>
    </row>
    <row r="2050" ht="22.5" hidden="1" customHeight="1">
      <c r="A2050" s="4" t="s">
        <v>11</v>
      </c>
      <c r="B2050" s="5">
        <v>46100.3737258912</v>
      </c>
      <c r="C2050" s="6"/>
      <c r="D2050" s="4">
        <v>18.25</v>
      </c>
    </row>
    <row r="2054" ht="22.5" customHeight="1">
      <c r="B2054" s="1" t="s">
        <v>0</v>
      </c>
      <c r="C2054" s="1" t="s">
        <v>1</v>
      </c>
      <c r="D2054" s="2" t="s">
        <v>12</v>
      </c>
      <c r="E2054" s="2" t="s">
        <v>13</v>
      </c>
      <c r="F2054" s="1" t="s">
        <v>7</v>
      </c>
    </row>
    <row r="2055" ht="22.5" customHeight="1">
      <c r="B2055" s="4" t="s">
        <v>8</v>
      </c>
      <c r="C2055" s="9">
        <v>46094.32986111111</v>
      </c>
      <c r="D2055" s="10"/>
      <c r="E2055" s="10">
        <f t="shared" ref="E2055:E2983" si="2">DATEVALUE(C2055) + timevalue(C2055)</f>
        <v>46094.32986</v>
      </c>
      <c r="F2055" s="10">
        <v>3.21</v>
      </c>
    </row>
    <row r="2056" ht="22.5" customHeight="1">
      <c r="B2056" s="4" t="s">
        <v>8</v>
      </c>
      <c r="C2056" s="9">
        <v>46094.344560185185</v>
      </c>
      <c r="D2056" s="10"/>
      <c r="E2056" s="10">
        <f t="shared" si="2"/>
        <v>46094.34456</v>
      </c>
      <c r="F2056" s="10">
        <v>3.23</v>
      </c>
    </row>
    <row r="2057" ht="22.5" customHeight="1">
      <c r="B2057" s="4" t="s">
        <v>8</v>
      </c>
      <c r="C2057" s="9">
        <v>46094.36025462963</v>
      </c>
      <c r="D2057" s="10"/>
      <c r="E2057" s="10">
        <f t="shared" si="2"/>
        <v>46094.36025</v>
      </c>
      <c r="F2057" s="10">
        <v>3.21</v>
      </c>
    </row>
    <row r="2058" ht="22.5" customHeight="1">
      <c r="B2058" s="4" t="s">
        <v>8</v>
      </c>
      <c r="C2058" s="9">
        <v>46094.53775462963</v>
      </c>
      <c r="D2058" s="10"/>
      <c r="E2058" s="10">
        <f t="shared" si="2"/>
        <v>46094.53775</v>
      </c>
      <c r="F2058" s="10">
        <v>3.21</v>
      </c>
    </row>
    <row r="2059" ht="22.5" customHeight="1">
      <c r="B2059" s="4" t="s">
        <v>8</v>
      </c>
      <c r="C2059" s="9">
        <v>46094.580358796295</v>
      </c>
      <c r="D2059" s="10"/>
      <c r="E2059" s="10">
        <f t="shared" si="2"/>
        <v>46094.58036</v>
      </c>
      <c r="F2059" s="10">
        <v>3.98</v>
      </c>
    </row>
    <row r="2060" ht="22.5" customHeight="1">
      <c r="B2060" s="4" t="s">
        <v>8</v>
      </c>
      <c r="C2060" s="9">
        <v>46094.581770833334</v>
      </c>
      <c r="D2060" s="10"/>
      <c r="E2060" s="10">
        <f t="shared" si="2"/>
        <v>46094.58177</v>
      </c>
      <c r="F2060" s="10">
        <v>3.93</v>
      </c>
    </row>
    <row r="2061" ht="22.5" customHeight="1">
      <c r="B2061" s="4" t="s">
        <v>8</v>
      </c>
      <c r="C2061" s="9">
        <v>46094.628657407404</v>
      </c>
      <c r="D2061" s="10"/>
      <c r="E2061" s="10">
        <f t="shared" si="2"/>
        <v>46094.62866</v>
      </c>
      <c r="F2061" s="10">
        <v>3.67</v>
      </c>
    </row>
    <row r="2062" ht="22.5" customHeight="1">
      <c r="B2062" s="4" t="s">
        <v>8</v>
      </c>
      <c r="C2062" s="9">
        <v>46094.63008101852</v>
      </c>
      <c r="D2062" s="10"/>
      <c r="E2062" s="10">
        <f t="shared" si="2"/>
        <v>46094.63008</v>
      </c>
      <c r="F2062" s="10">
        <v>3.7</v>
      </c>
    </row>
    <row r="2063" ht="22.5" customHeight="1">
      <c r="B2063" s="4" t="s">
        <v>8</v>
      </c>
      <c r="C2063" s="9">
        <v>46094.63150462963</v>
      </c>
      <c r="D2063" s="10"/>
      <c r="E2063" s="10">
        <f t="shared" si="2"/>
        <v>46094.6315</v>
      </c>
      <c r="F2063" s="10">
        <v>3.67</v>
      </c>
    </row>
    <row r="2064" ht="22.5" customHeight="1">
      <c r="B2064" s="4" t="s">
        <v>8</v>
      </c>
      <c r="C2064" s="9">
        <v>46094.640023148146</v>
      </c>
      <c r="D2064" s="10"/>
      <c r="E2064" s="10">
        <f t="shared" si="2"/>
        <v>46094.64002</v>
      </c>
      <c r="F2064" s="10">
        <v>3.7</v>
      </c>
    </row>
    <row r="2065" ht="22.5" customHeight="1">
      <c r="B2065" s="4" t="s">
        <v>8</v>
      </c>
      <c r="C2065" s="9">
        <v>46094.64287037037</v>
      </c>
      <c r="D2065" s="10"/>
      <c r="E2065" s="10">
        <f t="shared" si="2"/>
        <v>46094.64287</v>
      </c>
      <c r="F2065" s="10">
        <v>3.62</v>
      </c>
    </row>
    <row r="2066" ht="22.5" customHeight="1">
      <c r="B2066" s="4" t="s">
        <v>8</v>
      </c>
      <c r="C2066" s="9">
        <v>46094.67980324074</v>
      </c>
      <c r="D2066" s="10"/>
      <c r="E2066" s="10">
        <f t="shared" si="2"/>
        <v>46094.6798</v>
      </c>
      <c r="F2066" s="10">
        <v>3.59</v>
      </c>
    </row>
    <row r="2067" ht="22.5" customHeight="1">
      <c r="B2067" s="4" t="s">
        <v>8</v>
      </c>
      <c r="C2067" s="9">
        <v>46094.681226851855</v>
      </c>
      <c r="D2067" s="10"/>
      <c r="E2067" s="10">
        <f t="shared" si="2"/>
        <v>46094.68123</v>
      </c>
      <c r="F2067" s="10">
        <v>3.62</v>
      </c>
    </row>
    <row r="2068" ht="22.5" customHeight="1">
      <c r="B2068" s="4" t="s">
        <v>8</v>
      </c>
      <c r="C2068" s="9">
        <v>46094.682650462964</v>
      </c>
      <c r="D2068" s="10"/>
      <c r="E2068" s="10">
        <f t="shared" si="2"/>
        <v>46094.68265</v>
      </c>
      <c r="F2068" s="10">
        <v>3.59</v>
      </c>
    </row>
    <row r="2069" ht="22.5" customHeight="1">
      <c r="B2069" s="4" t="s">
        <v>8</v>
      </c>
      <c r="C2069" s="9">
        <v>46094.68548611111</v>
      </c>
      <c r="D2069" s="10"/>
      <c r="E2069" s="10">
        <f t="shared" si="2"/>
        <v>46094.68549</v>
      </c>
      <c r="F2069" s="10">
        <v>3.62</v>
      </c>
    </row>
    <row r="2070" ht="22.5" customHeight="1">
      <c r="B2070" s="4" t="s">
        <v>8</v>
      </c>
      <c r="C2070" s="9">
        <v>46094.69118055556</v>
      </c>
      <c r="D2070" s="10"/>
      <c r="E2070" s="10">
        <f t="shared" si="2"/>
        <v>46094.69118</v>
      </c>
      <c r="F2070" s="10">
        <v>3.59</v>
      </c>
    </row>
    <row r="2071" ht="22.5" customHeight="1">
      <c r="B2071" s="4" t="s">
        <v>8</v>
      </c>
      <c r="C2071" s="9">
        <v>46094.794907407406</v>
      </c>
      <c r="D2071" s="10"/>
      <c r="E2071" s="10">
        <f t="shared" si="2"/>
        <v>46094.79491</v>
      </c>
      <c r="F2071" s="10">
        <v>3.54</v>
      </c>
    </row>
    <row r="2072" ht="22.5" customHeight="1">
      <c r="B2072" s="4" t="s">
        <v>8</v>
      </c>
      <c r="C2072" s="9">
        <v>46094.80059027778</v>
      </c>
      <c r="D2072" s="10"/>
      <c r="E2072" s="10">
        <f t="shared" si="2"/>
        <v>46094.80059</v>
      </c>
      <c r="F2072" s="10">
        <v>3.59</v>
      </c>
    </row>
    <row r="2073" ht="22.5" customHeight="1">
      <c r="B2073" s="4" t="s">
        <v>8</v>
      </c>
      <c r="C2073" s="9">
        <v>46094.80200231481</v>
      </c>
      <c r="D2073" s="10"/>
      <c r="E2073" s="10">
        <f t="shared" si="2"/>
        <v>46094.802</v>
      </c>
      <c r="F2073" s="10">
        <v>3.54</v>
      </c>
    </row>
    <row r="2074" ht="22.5" customHeight="1">
      <c r="B2074" s="4" t="s">
        <v>8</v>
      </c>
      <c r="C2074" s="9">
        <v>46094.80484953704</v>
      </c>
      <c r="D2074" s="10"/>
      <c r="E2074" s="10">
        <f t="shared" si="2"/>
        <v>46094.80485</v>
      </c>
      <c r="F2074" s="10">
        <v>3.59</v>
      </c>
    </row>
    <row r="2075" ht="22.5" customHeight="1">
      <c r="B2075" s="4" t="s">
        <v>8</v>
      </c>
      <c r="C2075" s="9">
        <v>46095.01372685185</v>
      </c>
      <c r="D2075" s="10"/>
      <c r="E2075" s="10">
        <f t="shared" si="2"/>
        <v>46095.01373</v>
      </c>
      <c r="F2075" s="10">
        <v>3.54</v>
      </c>
    </row>
    <row r="2076" ht="22.5" customHeight="1">
      <c r="B2076" s="4" t="s">
        <v>8</v>
      </c>
      <c r="C2076" s="9">
        <v>46095.01798611111</v>
      </c>
      <c r="D2076" s="10"/>
      <c r="E2076" s="10">
        <f t="shared" si="2"/>
        <v>46095.01799</v>
      </c>
      <c r="F2076" s="10">
        <v>3.59</v>
      </c>
    </row>
    <row r="2077" ht="22.5" customHeight="1">
      <c r="B2077" s="4" t="s">
        <v>8</v>
      </c>
      <c r="C2077" s="9">
        <v>46095.01940972222</v>
      </c>
      <c r="D2077" s="10"/>
      <c r="E2077" s="10">
        <f t="shared" si="2"/>
        <v>46095.01941</v>
      </c>
      <c r="F2077" s="10">
        <v>3.54</v>
      </c>
    </row>
    <row r="2078" ht="22.5" customHeight="1">
      <c r="B2078" s="4" t="s">
        <v>8</v>
      </c>
      <c r="C2078" s="9">
        <v>46095.023668981485</v>
      </c>
      <c r="D2078" s="10"/>
      <c r="E2078" s="10">
        <f t="shared" si="2"/>
        <v>46095.02367</v>
      </c>
      <c r="F2078" s="10">
        <v>3.59</v>
      </c>
    </row>
    <row r="2079" ht="22.5" customHeight="1">
      <c r="B2079" s="4" t="s">
        <v>8</v>
      </c>
      <c r="C2079" s="9">
        <v>46095.026504629626</v>
      </c>
      <c r="D2079" s="10"/>
      <c r="E2079" s="10">
        <f t="shared" si="2"/>
        <v>46095.0265</v>
      </c>
      <c r="F2079" s="10">
        <v>3.54</v>
      </c>
    </row>
    <row r="2080" ht="22.5" customHeight="1">
      <c r="B2080" s="4" t="s">
        <v>8</v>
      </c>
      <c r="C2080" s="9">
        <v>46095.02792824074</v>
      </c>
      <c r="D2080" s="10"/>
      <c r="E2080" s="10">
        <f t="shared" si="2"/>
        <v>46095.02793</v>
      </c>
      <c r="F2080" s="10">
        <v>3.59</v>
      </c>
    </row>
    <row r="2081" ht="22.5" customHeight="1">
      <c r="B2081" s="4" t="s">
        <v>8</v>
      </c>
      <c r="C2081" s="9">
        <v>46095.02935185185</v>
      </c>
      <c r="D2081" s="10"/>
      <c r="E2081" s="10">
        <f t="shared" si="2"/>
        <v>46095.02935</v>
      </c>
      <c r="F2081" s="10">
        <v>3.54</v>
      </c>
    </row>
    <row r="2082" ht="22.5" customHeight="1">
      <c r="B2082" s="4" t="s">
        <v>8</v>
      </c>
      <c r="C2082" s="9">
        <v>46095.03787037037</v>
      </c>
      <c r="D2082" s="10"/>
      <c r="E2082" s="10">
        <f t="shared" si="2"/>
        <v>46095.03787</v>
      </c>
      <c r="F2082" s="10">
        <v>3.59</v>
      </c>
    </row>
    <row r="2083" ht="22.5" customHeight="1">
      <c r="B2083" s="4" t="s">
        <v>8</v>
      </c>
      <c r="C2083" s="9">
        <v>46095.039293981485</v>
      </c>
      <c r="D2083" s="10"/>
      <c r="E2083" s="10">
        <f t="shared" si="2"/>
        <v>46095.03929</v>
      </c>
      <c r="F2083" s="10">
        <v>3.54</v>
      </c>
    </row>
    <row r="2084" ht="22.5" customHeight="1">
      <c r="B2084" s="4" t="s">
        <v>8</v>
      </c>
      <c r="C2084" s="9">
        <v>46095.0421412037</v>
      </c>
      <c r="D2084" s="10"/>
      <c r="E2084" s="10">
        <f t="shared" si="2"/>
        <v>46095.04214</v>
      </c>
      <c r="F2084" s="10">
        <v>3.59</v>
      </c>
    </row>
    <row r="2085" ht="22.5" customHeight="1">
      <c r="B2085" s="4" t="s">
        <v>8</v>
      </c>
      <c r="C2085" s="9">
        <v>46095.04356481481</v>
      </c>
      <c r="D2085" s="10"/>
      <c r="E2085" s="10">
        <f t="shared" si="2"/>
        <v>46095.04356</v>
      </c>
      <c r="F2085" s="10">
        <v>3.54</v>
      </c>
    </row>
    <row r="2086" ht="22.5" customHeight="1">
      <c r="B2086" s="4" t="s">
        <v>8</v>
      </c>
      <c r="C2086" s="9">
        <v>46095.053506944445</v>
      </c>
      <c r="D2086" s="10"/>
      <c r="E2086" s="10">
        <f t="shared" si="2"/>
        <v>46095.05351</v>
      </c>
      <c r="F2086" s="10">
        <v>3.59</v>
      </c>
    </row>
    <row r="2087" ht="22.5" customHeight="1">
      <c r="B2087" s="4" t="s">
        <v>8</v>
      </c>
      <c r="C2087" s="9">
        <v>46095.054918981485</v>
      </c>
      <c r="D2087" s="10"/>
      <c r="E2087" s="10">
        <f t="shared" si="2"/>
        <v>46095.05492</v>
      </c>
      <c r="F2087" s="10">
        <v>3.54</v>
      </c>
    </row>
    <row r="2088" ht="22.5" customHeight="1">
      <c r="B2088" s="4" t="s">
        <v>8</v>
      </c>
      <c r="C2088" s="9">
        <v>46095.083344907405</v>
      </c>
      <c r="D2088" s="10"/>
      <c r="E2088" s="10">
        <f t="shared" si="2"/>
        <v>46095.08334</v>
      </c>
      <c r="F2088" s="10">
        <v>3.52</v>
      </c>
    </row>
    <row r="2089" ht="22.5" customHeight="1">
      <c r="B2089" s="4" t="s">
        <v>8</v>
      </c>
      <c r="C2089" s="9">
        <v>46095.09043981481</v>
      </c>
      <c r="D2089" s="10"/>
      <c r="E2089" s="10">
        <f t="shared" si="2"/>
        <v>46095.09044</v>
      </c>
      <c r="F2089" s="10">
        <v>3.54</v>
      </c>
    </row>
    <row r="2090" ht="22.5" customHeight="1">
      <c r="B2090" s="4" t="s">
        <v>8</v>
      </c>
      <c r="C2090" s="9">
        <v>46095.09328703704</v>
      </c>
      <c r="D2090" s="10"/>
      <c r="E2090" s="10">
        <f t="shared" si="2"/>
        <v>46095.09329</v>
      </c>
      <c r="F2090" s="10">
        <v>3.52</v>
      </c>
    </row>
    <row r="2091" ht="22.5" customHeight="1">
      <c r="B2091" s="4" t="s">
        <v>8</v>
      </c>
      <c r="C2091" s="9">
        <v>46095.09471064815</v>
      </c>
      <c r="D2091" s="10"/>
      <c r="E2091" s="10">
        <f t="shared" si="2"/>
        <v>46095.09471</v>
      </c>
      <c r="F2091" s="10">
        <v>3.54</v>
      </c>
    </row>
    <row r="2092" ht="22.5" customHeight="1">
      <c r="B2092" s="4" t="s">
        <v>8</v>
      </c>
      <c r="C2092" s="9">
        <v>46095.10039351852</v>
      </c>
      <c r="D2092" s="10"/>
      <c r="E2092" s="10">
        <f t="shared" si="2"/>
        <v>46095.10039</v>
      </c>
      <c r="F2092" s="10">
        <v>3.46</v>
      </c>
    </row>
    <row r="2093" ht="22.5" customHeight="1">
      <c r="B2093" s="4" t="s">
        <v>8</v>
      </c>
      <c r="C2093" s="9">
        <v>46095.10322916666</v>
      </c>
      <c r="D2093" s="10"/>
      <c r="E2093" s="10">
        <f t="shared" si="2"/>
        <v>46095.10323</v>
      </c>
      <c r="F2093" s="10">
        <v>3.54</v>
      </c>
    </row>
    <row r="2094" ht="22.5" customHeight="1">
      <c r="B2094" s="4" t="s">
        <v>8</v>
      </c>
      <c r="C2094" s="9">
        <v>46095.10465277778</v>
      </c>
      <c r="D2094" s="10"/>
      <c r="E2094" s="10">
        <f t="shared" si="2"/>
        <v>46095.10465</v>
      </c>
      <c r="F2094" s="10">
        <v>3.52</v>
      </c>
    </row>
    <row r="2095" ht="22.5" customHeight="1">
      <c r="B2095" s="4" t="s">
        <v>8</v>
      </c>
      <c r="C2095" s="9">
        <v>46095.108923611115</v>
      </c>
      <c r="D2095" s="10"/>
      <c r="E2095" s="10">
        <f t="shared" si="2"/>
        <v>46095.10892</v>
      </c>
      <c r="F2095" s="10">
        <v>3.54</v>
      </c>
    </row>
    <row r="2096" ht="22.5" customHeight="1">
      <c r="B2096" s="4" t="s">
        <v>8</v>
      </c>
      <c r="C2096" s="9">
        <v>46095.11318287037</v>
      </c>
      <c r="D2096" s="10"/>
      <c r="E2096" s="10">
        <f t="shared" si="2"/>
        <v>46095.11318</v>
      </c>
      <c r="F2096" s="10">
        <v>3.52</v>
      </c>
    </row>
    <row r="2097" ht="22.5" customHeight="1">
      <c r="B2097" s="4" t="s">
        <v>8</v>
      </c>
      <c r="C2097" s="9">
        <v>46095.125972222224</v>
      </c>
      <c r="D2097" s="10"/>
      <c r="E2097" s="10">
        <f t="shared" si="2"/>
        <v>46095.12597</v>
      </c>
      <c r="F2097" s="10">
        <v>3.46</v>
      </c>
    </row>
    <row r="2098" ht="22.5" customHeight="1">
      <c r="B2098" s="4" t="s">
        <v>8</v>
      </c>
      <c r="C2098" s="9">
        <v>46095.13023148148</v>
      </c>
      <c r="D2098" s="10"/>
      <c r="E2098" s="10">
        <f t="shared" si="2"/>
        <v>46095.13023</v>
      </c>
      <c r="F2098" s="10">
        <v>3.52</v>
      </c>
    </row>
    <row r="2099" ht="22.5" customHeight="1">
      <c r="B2099" s="4" t="s">
        <v>8</v>
      </c>
      <c r="C2099" s="9">
        <v>46095.14160879629</v>
      </c>
      <c r="D2099" s="10"/>
      <c r="E2099" s="10">
        <f t="shared" si="2"/>
        <v>46095.14161</v>
      </c>
      <c r="F2099" s="10">
        <v>3.46</v>
      </c>
    </row>
    <row r="2100" ht="22.5" customHeight="1">
      <c r="B2100" s="4" t="s">
        <v>8</v>
      </c>
      <c r="C2100" s="9">
        <v>46095.16006944444</v>
      </c>
      <c r="D2100" s="10"/>
      <c r="E2100" s="10">
        <f t="shared" si="2"/>
        <v>46095.16007</v>
      </c>
      <c r="F2100" s="10">
        <v>3.52</v>
      </c>
    </row>
    <row r="2101" ht="22.5" customHeight="1">
      <c r="B2101" s="4" t="s">
        <v>8</v>
      </c>
      <c r="C2101" s="9">
        <v>46095.16149305556</v>
      </c>
      <c r="D2101" s="10"/>
      <c r="E2101" s="10">
        <f t="shared" si="2"/>
        <v>46095.16149</v>
      </c>
      <c r="F2101" s="10">
        <v>3.46</v>
      </c>
    </row>
    <row r="2102" ht="22.5" customHeight="1">
      <c r="B2102" s="4" t="s">
        <v>8</v>
      </c>
      <c r="C2102" s="9">
        <v>46095.16575231482</v>
      </c>
      <c r="D2102" s="10"/>
      <c r="E2102" s="10">
        <f t="shared" si="2"/>
        <v>46095.16575</v>
      </c>
      <c r="F2102" s="10">
        <v>3.52</v>
      </c>
    </row>
    <row r="2103" ht="22.5" customHeight="1">
      <c r="B2103" s="4" t="s">
        <v>8</v>
      </c>
      <c r="C2103" s="9">
        <v>46095.17570601852</v>
      </c>
      <c r="D2103" s="10"/>
      <c r="E2103" s="10">
        <f t="shared" si="2"/>
        <v>46095.17571</v>
      </c>
      <c r="F2103" s="10">
        <v>3.46</v>
      </c>
    </row>
    <row r="2104" ht="22.5" customHeight="1">
      <c r="B2104" s="4" t="s">
        <v>8</v>
      </c>
      <c r="C2104" s="9">
        <v>46095.37032407407</v>
      </c>
      <c r="D2104" s="10"/>
      <c r="E2104" s="10">
        <f t="shared" si="2"/>
        <v>46095.37032</v>
      </c>
      <c r="F2104" s="10">
        <v>3.46</v>
      </c>
    </row>
    <row r="2105" ht="22.5" customHeight="1">
      <c r="B2105" s="4" t="s">
        <v>8</v>
      </c>
      <c r="C2105" s="9">
        <v>46095.39763888889</v>
      </c>
      <c r="D2105" s="10"/>
      <c r="E2105" s="10">
        <f t="shared" si="2"/>
        <v>46095.39764</v>
      </c>
      <c r="F2105" s="10">
        <v>3.98</v>
      </c>
    </row>
    <row r="2106" ht="22.5" customHeight="1">
      <c r="B2106" s="4" t="s">
        <v>8</v>
      </c>
      <c r="C2106" s="9">
        <v>46095.40190972222</v>
      </c>
      <c r="D2106" s="10"/>
      <c r="E2106" s="10">
        <f t="shared" si="2"/>
        <v>46095.40191</v>
      </c>
      <c r="F2106" s="10">
        <v>4.0</v>
      </c>
    </row>
    <row r="2107" ht="22.5" customHeight="1">
      <c r="B2107" s="4" t="s">
        <v>8</v>
      </c>
      <c r="C2107" s="9">
        <v>46095.40332175926</v>
      </c>
      <c r="D2107" s="10"/>
      <c r="E2107" s="10">
        <f t="shared" si="2"/>
        <v>46095.40332</v>
      </c>
      <c r="F2107" s="10">
        <v>4.06</v>
      </c>
    </row>
    <row r="2108" ht="22.5" customHeight="1">
      <c r="B2108" s="4" t="s">
        <v>8</v>
      </c>
      <c r="C2108" s="9">
        <v>46095.41042824074</v>
      </c>
      <c r="D2108" s="10"/>
      <c r="E2108" s="10">
        <f t="shared" si="2"/>
        <v>46095.41043</v>
      </c>
      <c r="F2108" s="10">
        <v>4.0</v>
      </c>
    </row>
    <row r="2109" ht="22.5" customHeight="1">
      <c r="B2109" s="4" t="s">
        <v>8</v>
      </c>
      <c r="C2109" s="9">
        <v>46095.41185185185</v>
      </c>
      <c r="D2109" s="10"/>
      <c r="E2109" s="10">
        <f t="shared" si="2"/>
        <v>46095.41185</v>
      </c>
      <c r="F2109" s="10">
        <v>3.98</v>
      </c>
    </row>
    <row r="2110" ht="22.5" customHeight="1">
      <c r="B2110" s="4" t="s">
        <v>8</v>
      </c>
      <c r="C2110" s="9">
        <v>46095.41327546296</v>
      </c>
      <c r="D2110" s="10"/>
      <c r="E2110" s="10">
        <f t="shared" si="2"/>
        <v>46095.41328</v>
      </c>
      <c r="F2110" s="10">
        <v>4.06</v>
      </c>
    </row>
    <row r="2111" ht="22.5" customHeight="1">
      <c r="B2111" s="4" t="s">
        <v>8</v>
      </c>
      <c r="C2111" s="9">
        <v>46095.4146875</v>
      </c>
      <c r="D2111" s="10"/>
      <c r="E2111" s="10">
        <f t="shared" si="2"/>
        <v>46095.41469</v>
      </c>
      <c r="F2111" s="10">
        <v>4.0</v>
      </c>
    </row>
    <row r="2112" ht="22.5" customHeight="1">
      <c r="B2112" s="4" t="s">
        <v>8</v>
      </c>
      <c r="C2112" s="9">
        <v>46095.41611111111</v>
      </c>
      <c r="D2112" s="10"/>
      <c r="E2112" s="10">
        <f t="shared" si="2"/>
        <v>46095.41611</v>
      </c>
      <c r="F2112" s="10">
        <v>4.06</v>
      </c>
    </row>
    <row r="2113" ht="22.5" customHeight="1">
      <c r="B2113" s="4" t="s">
        <v>8</v>
      </c>
      <c r="C2113" s="9">
        <v>46095.44311342593</v>
      </c>
      <c r="D2113" s="10"/>
      <c r="E2113" s="10">
        <f t="shared" si="2"/>
        <v>46095.44311</v>
      </c>
      <c r="F2113" s="10">
        <v>4.13</v>
      </c>
    </row>
    <row r="2114" ht="22.5" customHeight="1">
      <c r="B2114" s="4" t="s">
        <v>8</v>
      </c>
      <c r="C2114" s="9">
        <v>46095.448796296296</v>
      </c>
      <c r="D2114" s="10"/>
      <c r="E2114" s="10">
        <f t="shared" si="2"/>
        <v>46095.4488</v>
      </c>
      <c r="F2114" s="10">
        <v>3.98</v>
      </c>
    </row>
    <row r="2115" ht="22.5" customHeight="1">
      <c r="B2115" s="4" t="s">
        <v>8</v>
      </c>
      <c r="C2115" s="9">
        <v>46095.78184027778</v>
      </c>
      <c r="D2115" s="10"/>
      <c r="E2115" s="10">
        <f t="shared" si="2"/>
        <v>46095.78184</v>
      </c>
      <c r="F2115" s="10">
        <v>3.98</v>
      </c>
    </row>
    <row r="2116" ht="22.5" customHeight="1">
      <c r="B2116" s="4" t="s">
        <v>8</v>
      </c>
      <c r="C2116" s="9">
        <v>46095.83148148148</v>
      </c>
      <c r="D2116" s="10"/>
      <c r="E2116" s="10">
        <f t="shared" si="2"/>
        <v>46095.83148</v>
      </c>
      <c r="F2116" s="10">
        <v>4.23</v>
      </c>
    </row>
    <row r="2117" ht="22.5" customHeight="1">
      <c r="B2117" s="4" t="s">
        <v>8</v>
      </c>
      <c r="C2117" s="9">
        <v>46095.83825231482</v>
      </c>
      <c r="D2117" s="10"/>
      <c r="E2117" s="10">
        <f t="shared" si="2"/>
        <v>46095.83825</v>
      </c>
      <c r="F2117" s="10">
        <v>4.13</v>
      </c>
    </row>
    <row r="2118" ht="22.5" customHeight="1">
      <c r="B2118" s="4" t="s">
        <v>8</v>
      </c>
      <c r="C2118" s="9">
        <v>46095.99820601852</v>
      </c>
      <c r="D2118" s="10"/>
      <c r="E2118" s="10">
        <f t="shared" si="2"/>
        <v>46095.99821</v>
      </c>
      <c r="F2118" s="10">
        <v>4.08</v>
      </c>
    </row>
    <row r="2119" ht="22.5" customHeight="1">
      <c r="B2119" s="4" t="s">
        <v>8</v>
      </c>
      <c r="C2119" s="9">
        <v>46096.023148148146</v>
      </c>
      <c r="D2119" s="10"/>
      <c r="E2119" s="10">
        <f t="shared" si="2"/>
        <v>46096.02315</v>
      </c>
      <c r="F2119" s="10">
        <v>4.13</v>
      </c>
    </row>
    <row r="2120" ht="22.5" customHeight="1">
      <c r="B2120" s="4" t="s">
        <v>8</v>
      </c>
      <c r="C2120" s="9">
        <v>46096.06568287037</v>
      </c>
      <c r="D2120" s="10"/>
      <c r="E2120" s="10">
        <f t="shared" si="2"/>
        <v>46096.06568</v>
      </c>
      <c r="F2120" s="10">
        <v>4.0</v>
      </c>
    </row>
    <row r="2121" ht="22.5" customHeight="1">
      <c r="B2121" s="4" t="s">
        <v>8</v>
      </c>
      <c r="C2121" s="9">
        <v>46096.06715277778</v>
      </c>
      <c r="D2121" s="10"/>
      <c r="E2121" s="10">
        <f t="shared" si="2"/>
        <v>46096.06715</v>
      </c>
      <c r="F2121" s="10">
        <v>4.06</v>
      </c>
    </row>
    <row r="2122" ht="22.5" customHeight="1">
      <c r="B2122" s="4" t="s">
        <v>8</v>
      </c>
      <c r="C2122" s="9">
        <v>46096.06862268518</v>
      </c>
      <c r="D2122" s="10"/>
      <c r="E2122" s="10">
        <f t="shared" si="2"/>
        <v>46096.06862</v>
      </c>
      <c r="F2122" s="10">
        <v>4.08</v>
      </c>
    </row>
    <row r="2123" ht="22.5" customHeight="1">
      <c r="B2123" s="4" t="s">
        <v>8</v>
      </c>
      <c r="C2123" s="9">
        <v>46096.07009259259</v>
      </c>
      <c r="D2123" s="10"/>
      <c r="E2123" s="10">
        <f t="shared" si="2"/>
        <v>46096.07009</v>
      </c>
      <c r="F2123" s="10">
        <v>4.06</v>
      </c>
    </row>
    <row r="2124" ht="22.5" customHeight="1">
      <c r="B2124" s="4" t="s">
        <v>8</v>
      </c>
      <c r="C2124" s="9">
        <v>46096.087685185186</v>
      </c>
      <c r="D2124" s="10"/>
      <c r="E2124" s="10">
        <f t="shared" si="2"/>
        <v>46096.08769</v>
      </c>
      <c r="F2124" s="10">
        <v>4.08</v>
      </c>
    </row>
    <row r="2125" ht="22.5" customHeight="1">
      <c r="B2125" s="4" t="s">
        <v>8</v>
      </c>
      <c r="C2125" s="9">
        <v>46096.10528935185</v>
      </c>
      <c r="D2125" s="10"/>
      <c r="E2125" s="10">
        <f t="shared" si="2"/>
        <v>46096.10529</v>
      </c>
      <c r="F2125" s="10">
        <v>4.13</v>
      </c>
    </row>
    <row r="2126" ht="22.5" customHeight="1">
      <c r="B2126" s="4" t="s">
        <v>8</v>
      </c>
      <c r="C2126" s="9">
        <v>46096.1199537037</v>
      </c>
      <c r="D2126" s="10"/>
      <c r="E2126" s="10">
        <f t="shared" si="2"/>
        <v>46096.11995</v>
      </c>
      <c r="F2126" s="10">
        <v>4.08</v>
      </c>
    </row>
    <row r="2127" ht="22.5" customHeight="1">
      <c r="B2127" s="4" t="s">
        <v>8</v>
      </c>
      <c r="C2127" s="9">
        <v>46096.125810185185</v>
      </c>
      <c r="D2127" s="10"/>
      <c r="E2127" s="10">
        <f t="shared" si="2"/>
        <v>46096.12581</v>
      </c>
      <c r="F2127" s="10">
        <v>4.13</v>
      </c>
    </row>
    <row r="2128" ht="22.5" customHeight="1">
      <c r="B2128" s="4" t="s">
        <v>8</v>
      </c>
      <c r="C2128" s="9">
        <v>46096.18152777778</v>
      </c>
      <c r="D2128" s="10"/>
      <c r="E2128" s="10">
        <f t="shared" si="2"/>
        <v>46096.18153</v>
      </c>
      <c r="F2128" s="10">
        <v>4.06</v>
      </c>
    </row>
    <row r="2129" ht="22.5" customHeight="1">
      <c r="B2129" s="4" t="s">
        <v>8</v>
      </c>
      <c r="C2129" s="9">
        <v>46096.18299768519</v>
      </c>
      <c r="D2129" s="10"/>
      <c r="E2129" s="10">
        <f t="shared" si="2"/>
        <v>46096.183</v>
      </c>
      <c r="F2129" s="10">
        <v>4.08</v>
      </c>
    </row>
    <row r="2130" ht="22.5" customHeight="1">
      <c r="B2130" s="4" t="s">
        <v>8</v>
      </c>
      <c r="C2130" s="9">
        <v>46096.18446759259</v>
      </c>
      <c r="D2130" s="10"/>
      <c r="E2130" s="10">
        <f t="shared" si="2"/>
        <v>46096.18447</v>
      </c>
      <c r="F2130" s="10">
        <v>4.06</v>
      </c>
    </row>
    <row r="2131" ht="22.5" customHeight="1">
      <c r="B2131" s="4" t="s">
        <v>8</v>
      </c>
      <c r="C2131" s="9">
        <v>46096.19619212963</v>
      </c>
      <c r="D2131" s="10"/>
      <c r="E2131" s="10">
        <f t="shared" si="2"/>
        <v>46096.19619</v>
      </c>
      <c r="F2131" s="10">
        <v>4.08</v>
      </c>
    </row>
    <row r="2132" ht="22.5" customHeight="1">
      <c r="B2132" s="4" t="s">
        <v>8</v>
      </c>
      <c r="C2132" s="9">
        <v>46096.203518518516</v>
      </c>
      <c r="D2132" s="10"/>
      <c r="E2132" s="10">
        <f t="shared" si="2"/>
        <v>46096.20352</v>
      </c>
      <c r="F2132" s="10">
        <v>4.0</v>
      </c>
    </row>
    <row r="2133" ht="22.5" customHeight="1">
      <c r="B2133" s="4" t="s">
        <v>8</v>
      </c>
      <c r="C2133" s="9">
        <v>46096.204988425925</v>
      </c>
      <c r="D2133" s="10"/>
      <c r="E2133" s="10">
        <f t="shared" si="2"/>
        <v>46096.20499</v>
      </c>
      <c r="F2133" s="10">
        <v>4.06</v>
      </c>
    </row>
    <row r="2134" ht="22.5" customHeight="1">
      <c r="B2134" s="4" t="s">
        <v>8</v>
      </c>
      <c r="C2134" s="9">
        <v>46096.22697916667</v>
      </c>
      <c r="D2134" s="10"/>
      <c r="E2134" s="10">
        <f t="shared" si="2"/>
        <v>46096.22698</v>
      </c>
      <c r="F2134" s="10">
        <v>4.0</v>
      </c>
    </row>
    <row r="2135" ht="22.5" customHeight="1">
      <c r="B2135" s="4" t="s">
        <v>8</v>
      </c>
      <c r="C2135" s="9">
        <v>46096.22990740741</v>
      </c>
      <c r="D2135" s="10"/>
      <c r="E2135" s="10">
        <f t="shared" si="2"/>
        <v>46096.22991</v>
      </c>
      <c r="F2135" s="10">
        <v>4.06</v>
      </c>
    </row>
    <row r="2136" ht="22.5" customHeight="1">
      <c r="B2136" s="4" t="s">
        <v>8</v>
      </c>
      <c r="C2136" s="9">
        <v>46096.23137731481</v>
      </c>
      <c r="D2136" s="10"/>
      <c r="E2136" s="10">
        <f t="shared" si="2"/>
        <v>46096.23138</v>
      </c>
      <c r="F2136" s="10">
        <v>4.08</v>
      </c>
    </row>
    <row r="2137" ht="22.5" customHeight="1">
      <c r="B2137" s="4" t="s">
        <v>8</v>
      </c>
      <c r="C2137" s="9">
        <v>46096.23284722222</v>
      </c>
      <c r="D2137" s="10"/>
      <c r="E2137" s="10">
        <f t="shared" si="2"/>
        <v>46096.23285</v>
      </c>
      <c r="F2137" s="10">
        <v>4.06</v>
      </c>
    </row>
    <row r="2138" ht="22.5" customHeight="1">
      <c r="B2138" s="4" t="s">
        <v>8</v>
      </c>
      <c r="C2138" s="9">
        <v>46096.26217592593</v>
      </c>
      <c r="D2138" s="10"/>
      <c r="E2138" s="10">
        <f t="shared" si="2"/>
        <v>46096.26218</v>
      </c>
      <c r="F2138" s="10">
        <v>4.13</v>
      </c>
    </row>
    <row r="2139" ht="22.5" customHeight="1">
      <c r="B2139" s="4" t="s">
        <v>8</v>
      </c>
      <c r="C2139" s="9">
        <v>46096.30030092593</v>
      </c>
      <c r="D2139" s="10"/>
      <c r="E2139" s="10">
        <f t="shared" si="2"/>
        <v>46096.3003</v>
      </c>
      <c r="F2139" s="10">
        <v>4.08</v>
      </c>
    </row>
    <row r="2140" ht="22.5" customHeight="1">
      <c r="B2140" s="4" t="s">
        <v>8</v>
      </c>
      <c r="C2140" s="9">
        <v>46096.301770833335</v>
      </c>
      <c r="D2140" s="10"/>
      <c r="E2140" s="10">
        <f t="shared" si="2"/>
        <v>46096.30177</v>
      </c>
      <c r="F2140" s="10">
        <v>4.13</v>
      </c>
    </row>
    <row r="2141" ht="22.5" customHeight="1">
      <c r="B2141" s="4" t="s">
        <v>8</v>
      </c>
      <c r="C2141" s="9">
        <v>46096.3091087963</v>
      </c>
      <c r="D2141" s="10"/>
      <c r="E2141" s="10">
        <f t="shared" si="2"/>
        <v>46096.30911</v>
      </c>
      <c r="F2141" s="10">
        <v>4.08</v>
      </c>
    </row>
    <row r="2142" ht="22.5" customHeight="1">
      <c r="B2142" s="4" t="s">
        <v>8</v>
      </c>
      <c r="C2142" s="9">
        <v>46096.310578703706</v>
      </c>
      <c r="D2142" s="10"/>
      <c r="E2142" s="10">
        <f t="shared" si="2"/>
        <v>46096.31058</v>
      </c>
      <c r="F2142" s="10">
        <v>4.13</v>
      </c>
    </row>
    <row r="2143" ht="22.5" customHeight="1">
      <c r="B2143" s="4" t="s">
        <v>8</v>
      </c>
      <c r="C2143" s="9">
        <v>46096.319375</v>
      </c>
      <c r="D2143" s="10"/>
      <c r="E2143" s="10">
        <f t="shared" si="2"/>
        <v>46096.31938</v>
      </c>
      <c r="F2143" s="10">
        <v>4.08</v>
      </c>
    </row>
    <row r="2144" ht="22.5" customHeight="1">
      <c r="B2144" s="4" t="s">
        <v>8</v>
      </c>
      <c r="C2144" s="9">
        <v>46096.32084490741</v>
      </c>
      <c r="D2144" s="10"/>
      <c r="E2144" s="10">
        <f t="shared" si="2"/>
        <v>46096.32084</v>
      </c>
      <c r="F2144" s="10">
        <v>4.13</v>
      </c>
    </row>
    <row r="2145" ht="22.5" customHeight="1">
      <c r="B2145" s="4" t="s">
        <v>8</v>
      </c>
      <c r="C2145" s="9">
        <v>46096.32377314815</v>
      </c>
      <c r="D2145" s="10"/>
      <c r="E2145" s="10">
        <f t="shared" si="2"/>
        <v>46096.32377</v>
      </c>
      <c r="F2145" s="10">
        <v>4.08</v>
      </c>
    </row>
    <row r="2146" ht="22.5" customHeight="1">
      <c r="B2146" s="4" t="s">
        <v>8</v>
      </c>
      <c r="C2146" s="9">
        <v>46096.33550925926</v>
      </c>
      <c r="D2146" s="10"/>
      <c r="E2146" s="10">
        <f t="shared" si="2"/>
        <v>46096.33551</v>
      </c>
      <c r="F2146" s="10">
        <v>4.13</v>
      </c>
    </row>
    <row r="2147" ht="22.5" customHeight="1">
      <c r="B2147" s="4" t="s">
        <v>8</v>
      </c>
      <c r="C2147" s="9">
        <v>46096.38935185185</v>
      </c>
      <c r="D2147" s="10"/>
      <c r="E2147" s="10">
        <f t="shared" si="2"/>
        <v>46096.38935</v>
      </c>
      <c r="F2147" s="10">
        <v>4.13</v>
      </c>
    </row>
    <row r="2148" ht="22.5" customHeight="1">
      <c r="B2148" s="4" t="s">
        <v>8</v>
      </c>
      <c r="C2148" s="9">
        <v>46096.41033564815</v>
      </c>
      <c r="D2148" s="10"/>
      <c r="E2148" s="10">
        <f t="shared" si="2"/>
        <v>46096.41034</v>
      </c>
      <c r="F2148" s="10">
        <v>3.69</v>
      </c>
    </row>
    <row r="2149" ht="22.5" customHeight="1">
      <c r="B2149" s="4" t="s">
        <v>8</v>
      </c>
      <c r="C2149" s="9">
        <v>46096.41179398148</v>
      </c>
      <c r="D2149" s="10"/>
      <c r="E2149" s="10">
        <f t="shared" si="2"/>
        <v>46096.41179</v>
      </c>
      <c r="F2149" s="10">
        <v>3.75</v>
      </c>
    </row>
    <row r="2150" ht="22.5" customHeight="1">
      <c r="B2150" s="4" t="s">
        <v>8</v>
      </c>
      <c r="C2150" s="9">
        <v>46096.4162037037</v>
      </c>
      <c r="D2150" s="10"/>
      <c r="E2150" s="10">
        <f t="shared" si="2"/>
        <v>46096.4162</v>
      </c>
      <c r="F2150" s="10">
        <v>3.69</v>
      </c>
    </row>
    <row r="2151" ht="22.5" customHeight="1">
      <c r="B2151" s="4" t="s">
        <v>8</v>
      </c>
      <c r="C2151" s="9">
        <v>46096.42207175926</v>
      </c>
      <c r="D2151" s="10"/>
      <c r="E2151" s="10">
        <f t="shared" si="2"/>
        <v>46096.42207</v>
      </c>
      <c r="F2151" s="10">
        <v>3.75</v>
      </c>
    </row>
    <row r="2152" ht="22.5" customHeight="1">
      <c r="B2152" s="4" t="s">
        <v>8</v>
      </c>
      <c r="C2152" s="9">
        <v>46096.42354166666</v>
      </c>
      <c r="D2152" s="10"/>
      <c r="E2152" s="10">
        <f t="shared" si="2"/>
        <v>46096.42354</v>
      </c>
      <c r="F2152" s="10">
        <v>3.69</v>
      </c>
    </row>
    <row r="2153" ht="22.5" customHeight="1">
      <c r="B2153" s="4" t="s">
        <v>8</v>
      </c>
      <c r="C2153" s="9">
        <v>46096.43381944444</v>
      </c>
      <c r="D2153" s="10"/>
      <c r="E2153" s="10">
        <f t="shared" si="2"/>
        <v>46096.43382</v>
      </c>
      <c r="F2153" s="10">
        <v>3.66</v>
      </c>
    </row>
    <row r="2154" ht="22.5" customHeight="1">
      <c r="B2154" s="4" t="s">
        <v>8</v>
      </c>
      <c r="C2154" s="9">
        <v>46096.43528935185</v>
      </c>
      <c r="D2154" s="10"/>
      <c r="E2154" s="10">
        <f t="shared" si="2"/>
        <v>46096.43529</v>
      </c>
      <c r="F2154" s="10">
        <v>3.75</v>
      </c>
    </row>
    <row r="2155" ht="22.5" customHeight="1">
      <c r="B2155" s="4" t="s">
        <v>8</v>
      </c>
      <c r="C2155" s="9">
        <v>46096.471979166665</v>
      </c>
      <c r="D2155" s="10"/>
      <c r="E2155" s="10">
        <f t="shared" si="2"/>
        <v>46096.47198</v>
      </c>
      <c r="F2155" s="10">
        <v>3.62</v>
      </c>
    </row>
    <row r="2156" ht="22.5" customHeight="1">
      <c r="B2156" s="4" t="s">
        <v>8</v>
      </c>
      <c r="C2156" s="9">
        <v>46096.47638888889</v>
      </c>
      <c r="D2156" s="10"/>
      <c r="E2156" s="10">
        <f t="shared" si="2"/>
        <v>46096.47639</v>
      </c>
      <c r="F2156" s="10">
        <v>3.69</v>
      </c>
    </row>
    <row r="2157" ht="22.5" customHeight="1">
      <c r="B2157" s="4" t="s">
        <v>8</v>
      </c>
      <c r="C2157" s="9">
        <v>46096.477858796294</v>
      </c>
      <c r="D2157" s="10"/>
      <c r="E2157" s="10">
        <f t="shared" si="2"/>
        <v>46096.47786</v>
      </c>
      <c r="F2157" s="10">
        <v>3.85</v>
      </c>
    </row>
    <row r="2158" ht="22.5" customHeight="1">
      <c r="B2158" s="4" t="s">
        <v>8</v>
      </c>
      <c r="C2158" s="9">
        <v>46096.480787037035</v>
      </c>
      <c r="D2158" s="10"/>
      <c r="E2158" s="10">
        <f t="shared" si="2"/>
        <v>46096.48079</v>
      </c>
      <c r="F2158" s="10">
        <v>3.9</v>
      </c>
    </row>
    <row r="2159" ht="22.5" customHeight="1">
      <c r="B2159" s="4" t="s">
        <v>8</v>
      </c>
      <c r="C2159" s="9">
        <v>46096.488125</v>
      </c>
      <c r="D2159" s="10"/>
      <c r="E2159" s="10">
        <f t="shared" si="2"/>
        <v>46096.48813</v>
      </c>
      <c r="F2159" s="10">
        <v>3.92</v>
      </c>
    </row>
    <row r="2160" ht="22.5" customHeight="1">
      <c r="B2160" s="4" t="s">
        <v>8</v>
      </c>
      <c r="C2160" s="9">
        <v>46096.513078703705</v>
      </c>
      <c r="D2160" s="10"/>
      <c r="E2160" s="10">
        <f t="shared" si="2"/>
        <v>46096.51308</v>
      </c>
      <c r="F2160" s="10">
        <v>3.9</v>
      </c>
    </row>
    <row r="2161" ht="22.5" customHeight="1">
      <c r="B2161" s="4" t="s">
        <v>8</v>
      </c>
      <c r="C2161" s="9">
        <v>46096.52922453704</v>
      </c>
      <c r="D2161" s="10"/>
      <c r="E2161" s="10">
        <f t="shared" si="2"/>
        <v>46096.52922</v>
      </c>
      <c r="F2161" s="10">
        <v>3.92</v>
      </c>
    </row>
    <row r="2162" ht="22.5" customHeight="1">
      <c r="B2162" s="4" t="s">
        <v>8</v>
      </c>
      <c r="C2162" s="9">
        <v>46096.540972222225</v>
      </c>
      <c r="D2162" s="10"/>
      <c r="E2162" s="10">
        <f t="shared" si="2"/>
        <v>46096.54097</v>
      </c>
      <c r="F2162" s="10">
        <v>3.85</v>
      </c>
    </row>
    <row r="2163" ht="22.5" customHeight="1">
      <c r="B2163" s="4" t="s">
        <v>8</v>
      </c>
      <c r="C2163" s="9">
        <v>46096.57769675926</v>
      </c>
      <c r="D2163" s="10"/>
      <c r="E2163" s="10">
        <f t="shared" si="2"/>
        <v>46096.5777</v>
      </c>
      <c r="F2163" s="10">
        <v>3.08</v>
      </c>
    </row>
    <row r="2164" ht="22.5" customHeight="1">
      <c r="B2164" s="4" t="s">
        <v>8</v>
      </c>
      <c r="C2164" s="9">
        <v>46096.60990740741</v>
      </c>
      <c r="D2164" s="10"/>
      <c r="E2164" s="10">
        <f t="shared" si="2"/>
        <v>46096.60991</v>
      </c>
      <c r="F2164" s="10">
        <v>3.05</v>
      </c>
    </row>
    <row r="2165" ht="22.5" customHeight="1">
      <c r="B2165" s="4" t="s">
        <v>8</v>
      </c>
      <c r="C2165" s="9">
        <v>46096.61195601852</v>
      </c>
      <c r="D2165" s="10"/>
      <c r="E2165" s="10">
        <f t="shared" si="2"/>
        <v>46096.61196</v>
      </c>
      <c r="F2165" s="10">
        <v>3.08</v>
      </c>
    </row>
    <row r="2166" ht="22.5" customHeight="1">
      <c r="B2166" s="4" t="s">
        <v>8</v>
      </c>
      <c r="C2166" s="9">
        <v>46096.612650462965</v>
      </c>
      <c r="D2166" s="10"/>
      <c r="E2166" s="10">
        <f t="shared" si="2"/>
        <v>46096.61265</v>
      </c>
      <c r="F2166" s="10">
        <v>3.05</v>
      </c>
    </row>
    <row r="2167" ht="22.5" customHeight="1">
      <c r="B2167" s="4" t="s">
        <v>8</v>
      </c>
      <c r="C2167" s="9">
        <v>46096.614699074074</v>
      </c>
      <c r="D2167" s="10"/>
      <c r="E2167" s="10">
        <f t="shared" si="2"/>
        <v>46096.6147</v>
      </c>
      <c r="F2167" s="10">
        <v>3.08</v>
      </c>
    </row>
    <row r="2168" ht="22.5" customHeight="1">
      <c r="B2168" s="4" t="s">
        <v>8</v>
      </c>
      <c r="C2168" s="9">
        <v>46096.729097222225</v>
      </c>
      <c r="D2168" s="10"/>
      <c r="E2168" s="10">
        <f t="shared" si="2"/>
        <v>46096.7291</v>
      </c>
      <c r="F2168" s="10">
        <v>3.05</v>
      </c>
    </row>
    <row r="2169" ht="22.5" customHeight="1">
      <c r="B2169" s="4" t="s">
        <v>8</v>
      </c>
      <c r="C2169" s="9">
        <v>46096.729780092595</v>
      </c>
      <c r="D2169" s="10"/>
      <c r="E2169" s="10">
        <f t="shared" si="2"/>
        <v>46096.72978</v>
      </c>
      <c r="F2169" s="10">
        <v>3.08</v>
      </c>
    </row>
    <row r="2170" ht="22.5" customHeight="1">
      <c r="B2170" s="4" t="s">
        <v>8</v>
      </c>
      <c r="C2170" s="9">
        <v>46096.74965277778</v>
      </c>
      <c r="D2170" s="10"/>
      <c r="E2170" s="10">
        <f t="shared" si="2"/>
        <v>46096.74965</v>
      </c>
      <c r="F2170" s="10">
        <v>3.05</v>
      </c>
    </row>
    <row r="2171" ht="22.5" customHeight="1">
      <c r="B2171" s="4" t="s">
        <v>8</v>
      </c>
      <c r="C2171" s="9">
        <v>46096.75444444444</v>
      </c>
      <c r="D2171" s="10"/>
      <c r="E2171" s="10">
        <f t="shared" si="2"/>
        <v>46096.75444</v>
      </c>
      <c r="F2171" s="10">
        <v>3.08</v>
      </c>
    </row>
    <row r="2172" ht="22.5" customHeight="1">
      <c r="B2172" s="4" t="s">
        <v>8</v>
      </c>
      <c r="C2172" s="9">
        <v>46096.75512731481</v>
      </c>
      <c r="D2172" s="10"/>
      <c r="E2172" s="10">
        <f t="shared" si="2"/>
        <v>46096.75513</v>
      </c>
      <c r="F2172" s="10">
        <v>3.05</v>
      </c>
    </row>
    <row r="2173" ht="22.5" customHeight="1">
      <c r="B2173" s="4" t="s">
        <v>8</v>
      </c>
      <c r="C2173" s="9">
        <v>46096.75581018518</v>
      </c>
      <c r="D2173" s="10"/>
      <c r="E2173" s="10">
        <f t="shared" si="2"/>
        <v>46096.75581</v>
      </c>
      <c r="F2173" s="10">
        <v>3.08</v>
      </c>
    </row>
    <row r="2174" ht="22.5" customHeight="1">
      <c r="B2174" s="4" t="s">
        <v>8</v>
      </c>
      <c r="C2174" s="9">
        <v>46096.78023148148</v>
      </c>
      <c r="D2174" s="10"/>
      <c r="E2174" s="10">
        <f t="shared" si="2"/>
        <v>46096.78023</v>
      </c>
      <c r="F2174" s="10">
        <v>3.75</v>
      </c>
    </row>
    <row r="2175" ht="22.5" customHeight="1">
      <c r="B2175" s="4" t="s">
        <v>8</v>
      </c>
      <c r="C2175" s="9">
        <v>46096.78947916667</v>
      </c>
      <c r="D2175" s="10"/>
      <c r="E2175" s="10">
        <f t="shared" si="2"/>
        <v>46096.78948</v>
      </c>
      <c r="F2175" s="10">
        <v>4.08</v>
      </c>
    </row>
    <row r="2176" ht="22.5" customHeight="1">
      <c r="B2176" s="4" t="s">
        <v>8</v>
      </c>
      <c r="C2176" s="9">
        <v>46096.793587962966</v>
      </c>
      <c r="D2176" s="10"/>
      <c r="E2176" s="10">
        <f t="shared" si="2"/>
        <v>46096.79359</v>
      </c>
      <c r="F2176" s="10">
        <v>4.06</v>
      </c>
    </row>
    <row r="2177" ht="22.5" customHeight="1">
      <c r="B2177" s="4" t="s">
        <v>8</v>
      </c>
      <c r="C2177" s="9">
        <v>46096.794270833336</v>
      </c>
      <c r="D2177" s="10"/>
      <c r="E2177" s="10">
        <f t="shared" si="2"/>
        <v>46096.79427</v>
      </c>
      <c r="F2177" s="10">
        <v>4.08</v>
      </c>
    </row>
    <row r="2178" ht="22.5" customHeight="1">
      <c r="B2178" s="4" t="s">
        <v>8</v>
      </c>
      <c r="C2178" s="9">
        <v>46096.794965277775</v>
      </c>
      <c r="D2178" s="10"/>
      <c r="E2178" s="10">
        <f t="shared" si="2"/>
        <v>46096.79497</v>
      </c>
      <c r="F2178" s="10">
        <v>4.06</v>
      </c>
    </row>
    <row r="2179" ht="22.5" customHeight="1">
      <c r="B2179" s="4" t="s">
        <v>8</v>
      </c>
      <c r="C2179" s="9">
        <v>46096.79975694444</v>
      </c>
      <c r="D2179" s="10"/>
      <c r="E2179" s="10">
        <f t="shared" si="2"/>
        <v>46096.79976</v>
      </c>
      <c r="F2179" s="10">
        <v>4.0</v>
      </c>
    </row>
    <row r="2180" ht="22.5" customHeight="1">
      <c r="B2180" s="4" t="s">
        <v>8</v>
      </c>
      <c r="C2180" s="9">
        <v>46096.81071759259</v>
      </c>
      <c r="D2180" s="10"/>
      <c r="E2180" s="10">
        <f t="shared" si="2"/>
        <v>46096.81072</v>
      </c>
      <c r="F2180" s="10">
        <v>4.08</v>
      </c>
    </row>
    <row r="2181" ht="22.5" customHeight="1">
      <c r="B2181" s="4" t="s">
        <v>8</v>
      </c>
      <c r="C2181" s="9">
        <v>46096.81141203704</v>
      </c>
      <c r="D2181" s="10"/>
      <c r="E2181" s="10">
        <f t="shared" si="2"/>
        <v>46096.81141</v>
      </c>
      <c r="F2181" s="10">
        <v>4.06</v>
      </c>
    </row>
    <row r="2182" ht="22.5" customHeight="1">
      <c r="B2182" s="4" t="s">
        <v>8</v>
      </c>
      <c r="C2182" s="9">
        <v>46096.81346064815</v>
      </c>
      <c r="D2182" s="10"/>
      <c r="E2182" s="10">
        <f t="shared" si="2"/>
        <v>46096.81346</v>
      </c>
      <c r="F2182" s="10">
        <v>4.08</v>
      </c>
    </row>
    <row r="2183" ht="22.5" customHeight="1">
      <c r="B2183" s="4" t="s">
        <v>8</v>
      </c>
      <c r="C2183" s="9">
        <v>46096.83293981481</v>
      </c>
      <c r="D2183" s="10"/>
      <c r="E2183" s="10">
        <f t="shared" si="2"/>
        <v>46096.83294</v>
      </c>
      <c r="F2183" s="10">
        <v>3.31</v>
      </c>
    </row>
    <row r="2184" ht="22.5" customHeight="1">
      <c r="B2184" s="4" t="s">
        <v>8</v>
      </c>
      <c r="C2184" s="9">
        <v>46096.83363425926</v>
      </c>
      <c r="D2184" s="10"/>
      <c r="E2184" s="10">
        <f t="shared" si="2"/>
        <v>46096.83363</v>
      </c>
      <c r="F2184" s="10">
        <v>3.21</v>
      </c>
    </row>
    <row r="2185" ht="22.5" customHeight="1">
      <c r="B2185" s="4" t="s">
        <v>8</v>
      </c>
      <c r="C2185" s="9">
        <v>46096.83430555555</v>
      </c>
      <c r="D2185" s="10"/>
      <c r="E2185" s="10">
        <f t="shared" si="2"/>
        <v>46096.83431</v>
      </c>
      <c r="F2185" s="10">
        <v>3.36</v>
      </c>
    </row>
    <row r="2186" ht="22.5" customHeight="1">
      <c r="B2186" s="4" t="s">
        <v>8</v>
      </c>
      <c r="C2186" s="9">
        <v>46096.839108796295</v>
      </c>
      <c r="D2186" s="10"/>
      <c r="E2186" s="10">
        <f t="shared" si="2"/>
        <v>46096.83911</v>
      </c>
      <c r="F2186" s="10">
        <v>3.36</v>
      </c>
    </row>
    <row r="2187" ht="22.5" customHeight="1">
      <c r="B2187" s="4" t="s">
        <v>8</v>
      </c>
      <c r="C2187" s="9">
        <v>46096.96202546296</v>
      </c>
      <c r="D2187" s="10"/>
      <c r="E2187" s="10">
        <f t="shared" si="2"/>
        <v>46096.96203</v>
      </c>
      <c r="F2187" s="10">
        <v>3.39</v>
      </c>
    </row>
    <row r="2188" ht="22.5" customHeight="1">
      <c r="B2188" s="4" t="s">
        <v>8</v>
      </c>
      <c r="C2188" s="9">
        <v>46096.96275462963</v>
      </c>
      <c r="D2188" s="10"/>
      <c r="E2188" s="10">
        <f t="shared" si="2"/>
        <v>46096.96275</v>
      </c>
      <c r="F2188" s="10">
        <v>3.36</v>
      </c>
    </row>
    <row r="2189" ht="22.5" customHeight="1">
      <c r="B2189" s="4" t="s">
        <v>8</v>
      </c>
      <c r="C2189" s="9">
        <v>46096.96481481481</v>
      </c>
      <c r="D2189" s="10"/>
      <c r="E2189" s="10">
        <f t="shared" si="2"/>
        <v>46096.96481</v>
      </c>
      <c r="F2189" s="10">
        <v>3.39</v>
      </c>
    </row>
    <row r="2190" ht="22.5" customHeight="1">
      <c r="B2190" s="4" t="s">
        <v>8</v>
      </c>
      <c r="C2190" s="9">
        <v>46096.96686342593</v>
      </c>
      <c r="D2190" s="10"/>
      <c r="E2190" s="10">
        <f t="shared" si="2"/>
        <v>46096.96686</v>
      </c>
      <c r="F2190" s="10">
        <v>3.36</v>
      </c>
    </row>
    <row r="2191" ht="22.5" customHeight="1">
      <c r="B2191" s="4" t="s">
        <v>8</v>
      </c>
      <c r="C2191" s="9">
        <v>46096.96755787037</v>
      </c>
      <c r="D2191" s="10"/>
      <c r="E2191" s="10">
        <f t="shared" si="2"/>
        <v>46096.96756</v>
      </c>
      <c r="F2191" s="10">
        <v>3.39</v>
      </c>
    </row>
    <row r="2192" ht="22.5" customHeight="1">
      <c r="B2192" s="4" t="s">
        <v>8</v>
      </c>
      <c r="C2192" s="9">
        <v>46096.96824074074</v>
      </c>
      <c r="D2192" s="10"/>
      <c r="E2192" s="10">
        <f t="shared" si="2"/>
        <v>46096.96824</v>
      </c>
      <c r="F2192" s="10">
        <v>3.36</v>
      </c>
    </row>
    <row r="2193" ht="22.5" customHeight="1">
      <c r="B2193" s="4" t="s">
        <v>8</v>
      </c>
      <c r="C2193" s="9">
        <v>46096.97439814815</v>
      </c>
      <c r="D2193" s="10"/>
      <c r="E2193" s="10">
        <f t="shared" si="2"/>
        <v>46096.9744</v>
      </c>
      <c r="F2193" s="10">
        <v>3.39</v>
      </c>
    </row>
    <row r="2194" ht="22.5" customHeight="1">
      <c r="B2194" s="4" t="s">
        <v>8</v>
      </c>
      <c r="C2194" s="9">
        <v>46096.97508101852</v>
      </c>
      <c r="D2194" s="10"/>
      <c r="E2194" s="10">
        <f t="shared" si="2"/>
        <v>46096.97508</v>
      </c>
      <c r="F2194" s="10">
        <v>3.36</v>
      </c>
    </row>
    <row r="2195" ht="22.5" customHeight="1">
      <c r="B2195" s="4" t="s">
        <v>8</v>
      </c>
      <c r="C2195" s="9">
        <v>46096.97851851852</v>
      </c>
      <c r="D2195" s="10"/>
      <c r="E2195" s="10">
        <f t="shared" si="2"/>
        <v>46096.97852</v>
      </c>
      <c r="F2195" s="10">
        <v>3.39</v>
      </c>
    </row>
    <row r="2196" ht="22.5" customHeight="1">
      <c r="B2196" s="4" t="s">
        <v>8</v>
      </c>
      <c r="C2196" s="9">
        <v>46096.97918981482</v>
      </c>
      <c r="D2196" s="10"/>
      <c r="E2196" s="10">
        <f t="shared" si="2"/>
        <v>46096.97919</v>
      </c>
      <c r="F2196" s="10">
        <v>3.36</v>
      </c>
    </row>
    <row r="2197" ht="22.5" customHeight="1">
      <c r="B2197" s="4" t="s">
        <v>8</v>
      </c>
      <c r="C2197" s="9">
        <v>46096.982615740744</v>
      </c>
      <c r="D2197" s="10"/>
      <c r="E2197" s="10">
        <f t="shared" si="2"/>
        <v>46096.98262</v>
      </c>
      <c r="F2197" s="10">
        <v>3.39</v>
      </c>
    </row>
    <row r="2198" ht="22.5" customHeight="1">
      <c r="B2198" s="4" t="s">
        <v>8</v>
      </c>
      <c r="C2198" s="9">
        <v>46096.983298611114</v>
      </c>
      <c r="D2198" s="10"/>
      <c r="E2198" s="10">
        <f t="shared" si="2"/>
        <v>46096.9833</v>
      </c>
      <c r="F2198" s="10">
        <v>3.36</v>
      </c>
    </row>
    <row r="2199" ht="22.5" customHeight="1">
      <c r="B2199" s="4" t="s">
        <v>8</v>
      </c>
      <c r="C2199" s="9">
        <v>46096.98672453704</v>
      </c>
      <c r="D2199" s="10"/>
      <c r="E2199" s="10">
        <f t="shared" si="2"/>
        <v>46096.98672</v>
      </c>
      <c r="F2199" s="10">
        <v>3.39</v>
      </c>
    </row>
    <row r="2200" ht="22.5" customHeight="1">
      <c r="B2200" s="4" t="s">
        <v>8</v>
      </c>
      <c r="C2200" s="9">
        <v>46096.98741898148</v>
      </c>
      <c r="D2200" s="10"/>
      <c r="E2200" s="10">
        <f t="shared" si="2"/>
        <v>46096.98742</v>
      </c>
      <c r="F2200" s="10">
        <v>3.36</v>
      </c>
    </row>
    <row r="2201" ht="22.5" customHeight="1">
      <c r="B2201" s="4" t="s">
        <v>8</v>
      </c>
      <c r="C2201" s="9">
        <v>46096.98810185185</v>
      </c>
      <c r="D2201" s="10"/>
      <c r="E2201" s="10">
        <f t="shared" si="2"/>
        <v>46096.9881</v>
      </c>
      <c r="F2201" s="10">
        <v>3.39</v>
      </c>
    </row>
    <row r="2202" ht="22.5" customHeight="1">
      <c r="B2202" s="4" t="s">
        <v>8</v>
      </c>
      <c r="C2202" s="9">
        <v>46096.992893518516</v>
      </c>
      <c r="D2202" s="10"/>
      <c r="E2202" s="10">
        <f t="shared" si="2"/>
        <v>46096.99289</v>
      </c>
      <c r="F2202" s="10">
        <v>3.36</v>
      </c>
    </row>
    <row r="2203" ht="22.5" customHeight="1">
      <c r="B2203" s="4" t="s">
        <v>8</v>
      </c>
      <c r="C2203" s="9">
        <v>46096.993576388886</v>
      </c>
      <c r="D2203" s="10"/>
      <c r="E2203" s="10">
        <f t="shared" si="2"/>
        <v>46096.99358</v>
      </c>
      <c r="F2203" s="10">
        <v>3.39</v>
      </c>
    </row>
    <row r="2204" ht="22.5" customHeight="1">
      <c r="B2204" s="4" t="s">
        <v>8</v>
      </c>
      <c r="C2204" s="9">
        <v>46096.994259259256</v>
      </c>
      <c r="D2204" s="10"/>
      <c r="E2204" s="10">
        <f t="shared" si="2"/>
        <v>46096.99426</v>
      </c>
      <c r="F2204" s="10">
        <v>3.36</v>
      </c>
    </row>
    <row r="2205" ht="22.5" customHeight="1">
      <c r="B2205" s="4" t="s">
        <v>8</v>
      </c>
      <c r="C2205" s="9">
        <v>46096.99630787037</v>
      </c>
      <c r="D2205" s="10"/>
      <c r="E2205" s="10">
        <f t="shared" si="2"/>
        <v>46096.99631</v>
      </c>
      <c r="F2205" s="10">
        <v>3.39</v>
      </c>
    </row>
    <row r="2206" ht="22.5" customHeight="1">
      <c r="B2206" s="4" t="s">
        <v>8</v>
      </c>
      <c r="C2206" s="9">
        <v>46096.99700231481</v>
      </c>
      <c r="D2206" s="10"/>
      <c r="E2206" s="10">
        <f t="shared" si="2"/>
        <v>46096.997</v>
      </c>
      <c r="F2206" s="10">
        <v>3.36</v>
      </c>
    </row>
    <row r="2207" ht="22.5" customHeight="1">
      <c r="B2207" s="4" t="s">
        <v>8</v>
      </c>
      <c r="C2207" s="9">
        <v>46096.99768518518</v>
      </c>
      <c r="D2207" s="10"/>
      <c r="E2207" s="10">
        <f t="shared" si="2"/>
        <v>46096.99769</v>
      </c>
      <c r="F2207" s="10">
        <v>3.43</v>
      </c>
    </row>
    <row r="2208" ht="22.5" customHeight="1">
      <c r="B2208" s="4" t="s">
        <v>8</v>
      </c>
      <c r="C2208" s="9">
        <v>46096.99836805555</v>
      </c>
      <c r="D2208" s="10"/>
      <c r="E2208" s="10">
        <f t="shared" si="2"/>
        <v>46096.99837</v>
      </c>
      <c r="F2208" s="10">
        <v>3.36</v>
      </c>
    </row>
    <row r="2209" ht="22.5" customHeight="1">
      <c r="B2209" s="4" t="s">
        <v>8</v>
      </c>
      <c r="C2209" s="9">
        <v>46096.99905092592</v>
      </c>
      <c r="D2209" s="10"/>
      <c r="E2209" s="10">
        <f t="shared" si="2"/>
        <v>46096.99905</v>
      </c>
      <c r="F2209" s="10">
        <v>3.43</v>
      </c>
    </row>
    <row r="2210" ht="22.5" customHeight="1">
      <c r="B2210" s="4" t="s">
        <v>8</v>
      </c>
      <c r="C2210" s="9">
        <v>46096.9997337963</v>
      </c>
      <c r="D2210" s="10"/>
      <c r="E2210" s="10">
        <f t="shared" si="2"/>
        <v>46096.99973</v>
      </c>
      <c r="F2210" s="10">
        <v>3.36</v>
      </c>
    </row>
    <row r="2211" ht="22.5" customHeight="1">
      <c r="B2211" s="4" t="s">
        <v>8</v>
      </c>
      <c r="C2211" s="9">
        <v>46097.00042824074</v>
      </c>
      <c r="D2211" s="10"/>
      <c r="E2211" s="10">
        <f t="shared" si="2"/>
        <v>46097.00043</v>
      </c>
      <c r="F2211" s="10">
        <v>3.39</v>
      </c>
    </row>
    <row r="2212" ht="22.5" customHeight="1">
      <c r="B2212" s="4" t="s">
        <v>8</v>
      </c>
      <c r="C2212" s="9">
        <v>46097.00111111111</v>
      </c>
      <c r="D2212" s="10"/>
      <c r="E2212" s="10">
        <f t="shared" si="2"/>
        <v>46097.00111</v>
      </c>
      <c r="F2212" s="10">
        <v>3.36</v>
      </c>
    </row>
    <row r="2213" ht="22.5" customHeight="1">
      <c r="B2213" s="4" t="s">
        <v>8</v>
      </c>
      <c r="C2213" s="9">
        <v>46097.00179398148</v>
      </c>
      <c r="D2213" s="10"/>
      <c r="E2213" s="10">
        <f t="shared" si="2"/>
        <v>46097.00179</v>
      </c>
      <c r="F2213" s="10">
        <v>3.39</v>
      </c>
    </row>
    <row r="2214" ht="22.5" customHeight="1">
      <c r="B2214" s="4" t="s">
        <v>8</v>
      </c>
      <c r="C2214" s="9">
        <v>46097.00247685185</v>
      </c>
      <c r="D2214" s="10"/>
      <c r="E2214" s="10">
        <f t="shared" si="2"/>
        <v>46097.00248</v>
      </c>
      <c r="F2214" s="10">
        <v>3.36</v>
      </c>
    </row>
    <row r="2215" ht="22.5" customHeight="1">
      <c r="B2215" s="4" t="s">
        <v>8</v>
      </c>
      <c r="C2215" s="9">
        <v>46097.00315972222</v>
      </c>
      <c r="D2215" s="10"/>
      <c r="E2215" s="10">
        <f t="shared" si="2"/>
        <v>46097.00316</v>
      </c>
      <c r="F2215" s="10">
        <v>3.39</v>
      </c>
    </row>
    <row r="2216" ht="22.5" customHeight="1">
      <c r="B2216" s="4" t="s">
        <v>8</v>
      </c>
      <c r="C2216" s="9">
        <v>46097.005219907405</v>
      </c>
      <c r="D2216" s="10"/>
      <c r="E2216" s="10">
        <f t="shared" si="2"/>
        <v>46097.00522</v>
      </c>
      <c r="F2216" s="10">
        <v>3.36</v>
      </c>
    </row>
    <row r="2217" ht="22.5" customHeight="1">
      <c r="B2217" s="4" t="s">
        <v>8</v>
      </c>
      <c r="C2217" s="9">
        <v>46097.00863425926</v>
      </c>
      <c r="D2217" s="10"/>
      <c r="E2217" s="10">
        <f t="shared" si="2"/>
        <v>46097.00863</v>
      </c>
      <c r="F2217" s="10">
        <v>3.39</v>
      </c>
    </row>
    <row r="2218" ht="22.5" customHeight="1">
      <c r="B2218" s="4" t="s">
        <v>8</v>
      </c>
      <c r="C2218" s="9">
        <v>46097.0093287037</v>
      </c>
      <c r="D2218" s="10"/>
      <c r="E2218" s="10">
        <f t="shared" si="2"/>
        <v>46097.00933</v>
      </c>
      <c r="F2218" s="10">
        <v>3.36</v>
      </c>
    </row>
    <row r="2219" ht="22.5" customHeight="1">
      <c r="B2219" s="4" t="s">
        <v>8</v>
      </c>
      <c r="C2219" s="9">
        <v>46097.03876157408</v>
      </c>
      <c r="D2219" s="10"/>
      <c r="E2219" s="10">
        <f t="shared" si="2"/>
        <v>46097.03876</v>
      </c>
      <c r="F2219" s="10">
        <v>3.39</v>
      </c>
    </row>
    <row r="2220" ht="22.5" customHeight="1">
      <c r="B2220" s="4" t="s">
        <v>8</v>
      </c>
      <c r="C2220" s="9">
        <v>46097.03944444445</v>
      </c>
      <c r="D2220" s="10"/>
      <c r="E2220" s="10">
        <f t="shared" si="2"/>
        <v>46097.03944</v>
      </c>
      <c r="F2220" s="10">
        <v>3.36</v>
      </c>
    </row>
    <row r="2221" ht="22.5" customHeight="1">
      <c r="B2221" s="4" t="s">
        <v>8</v>
      </c>
      <c r="C2221" s="9">
        <v>46097.32898148148</v>
      </c>
      <c r="D2221" s="10"/>
      <c r="E2221" s="10">
        <f t="shared" si="2"/>
        <v>46097.32898</v>
      </c>
      <c r="F2221" s="10">
        <v>3.39</v>
      </c>
    </row>
    <row r="2222" ht="22.5" customHeight="1">
      <c r="B2222" s="4" t="s">
        <v>8</v>
      </c>
      <c r="C2222" s="9">
        <v>46097.340625</v>
      </c>
      <c r="D2222" s="10"/>
      <c r="E2222" s="10">
        <f t="shared" si="2"/>
        <v>46097.34063</v>
      </c>
      <c r="F2222" s="10">
        <v>3.36</v>
      </c>
    </row>
    <row r="2223" ht="22.5" customHeight="1">
      <c r="B2223" s="4" t="s">
        <v>8</v>
      </c>
      <c r="C2223" s="9">
        <v>46097.34130787037</v>
      </c>
      <c r="D2223" s="10"/>
      <c r="E2223" s="10">
        <f t="shared" si="2"/>
        <v>46097.34131</v>
      </c>
      <c r="F2223" s="10">
        <v>3.43</v>
      </c>
    </row>
    <row r="2224" ht="22.5" customHeight="1">
      <c r="B2224" s="4" t="s">
        <v>8</v>
      </c>
      <c r="C2224" s="9">
        <v>46097.341990740744</v>
      </c>
      <c r="D2224" s="10"/>
      <c r="E2224" s="10">
        <f t="shared" si="2"/>
        <v>46097.34199</v>
      </c>
      <c r="F2224" s="10">
        <v>3.36</v>
      </c>
    </row>
    <row r="2225" ht="22.5" customHeight="1">
      <c r="B2225" s="4" t="s">
        <v>8</v>
      </c>
      <c r="C2225" s="9">
        <v>46097.343356481484</v>
      </c>
      <c r="D2225" s="10"/>
      <c r="E2225" s="10">
        <f t="shared" si="2"/>
        <v>46097.34336</v>
      </c>
      <c r="F2225" s="10">
        <v>3.39</v>
      </c>
    </row>
    <row r="2226" ht="22.5" customHeight="1">
      <c r="B2226" s="4" t="s">
        <v>8</v>
      </c>
      <c r="C2226" s="9">
        <v>46097.34405092592</v>
      </c>
      <c r="D2226" s="10"/>
      <c r="E2226" s="10">
        <f t="shared" si="2"/>
        <v>46097.34405</v>
      </c>
      <c r="F2226" s="10">
        <v>3.43</v>
      </c>
    </row>
    <row r="2227" ht="22.5" customHeight="1">
      <c r="B2227" s="4" t="s">
        <v>8</v>
      </c>
      <c r="C2227" s="9">
        <v>46097.34473379629</v>
      </c>
      <c r="D2227" s="10"/>
      <c r="E2227" s="10">
        <f t="shared" si="2"/>
        <v>46097.34473</v>
      </c>
      <c r="F2227" s="10">
        <v>3.39</v>
      </c>
    </row>
    <row r="2228" ht="22.5" customHeight="1">
      <c r="B2228" s="4" t="s">
        <v>8</v>
      </c>
      <c r="C2228" s="9">
        <v>46097.34609953704</v>
      </c>
      <c r="D2228" s="10"/>
      <c r="E2228" s="10">
        <f t="shared" si="2"/>
        <v>46097.3461</v>
      </c>
      <c r="F2228" s="10">
        <v>3.36</v>
      </c>
    </row>
    <row r="2229" ht="22.5" customHeight="1">
      <c r="B2229" s="4" t="s">
        <v>8</v>
      </c>
      <c r="C2229" s="9">
        <v>46097.34678240741</v>
      </c>
      <c r="D2229" s="10"/>
      <c r="E2229" s="10">
        <f t="shared" si="2"/>
        <v>46097.34678</v>
      </c>
      <c r="F2229" s="10">
        <v>3.43</v>
      </c>
    </row>
    <row r="2230" ht="22.5" customHeight="1">
      <c r="B2230" s="4" t="s">
        <v>8</v>
      </c>
      <c r="C2230" s="9">
        <v>46097.34746527778</v>
      </c>
      <c r="D2230" s="10"/>
      <c r="E2230" s="10">
        <f t="shared" si="2"/>
        <v>46097.34747</v>
      </c>
      <c r="F2230" s="10">
        <v>3.36</v>
      </c>
    </row>
    <row r="2231" ht="22.5" customHeight="1">
      <c r="B2231" s="4" t="s">
        <v>8</v>
      </c>
      <c r="C2231" s="9">
        <v>46097.34952546296</v>
      </c>
      <c r="D2231" s="10"/>
      <c r="E2231" s="10">
        <f t="shared" si="2"/>
        <v>46097.34953</v>
      </c>
      <c r="F2231" s="10">
        <v>3.43</v>
      </c>
    </row>
    <row r="2232" ht="22.5" customHeight="1">
      <c r="B2232" s="4" t="s">
        <v>8</v>
      </c>
      <c r="C2232" s="9">
        <v>46097.369618055556</v>
      </c>
      <c r="D2232" s="10"/>
      <c r="E2232" s="10">
        <f t="shared" si="2"/>
        <v>46097.36962</v>
      </c>
      <c r="F2232" s="10">
        <v>3.43</v>
      </c>
    </row>
    <row r="2233" ht="22.5" customHeight="1">
      <c r="B2233" s="4" t="s">
        <v>8</v>
      </c>
      <c r="C2233" s="9">
        <v>46097.37099537037</v>
      </c>
      <c r="D2233" s="10"/>
      <c r="E2233" s="10">
        <f t="shared" si="2"/>
        <v>46097.371</v>
      </c>
      <c r="F2233" s="10">
        <v>4.06</v>
      </c>
    </row>
    <row r="2234" ht="22.5" customHeight="1">
      <c r="B2234" s="4" t="s">
        <v>8</v>
      </c>
      <c r="C2234" s="9">
        <v>46097.37167824074</v>
      </c>
      <c r="D2234" s="10"/>
      <c r="E2234" s="10">
        <f t="shared" si="2"/>
        <v>46097.37168</v>
      </c>
      <c r="F2234" s="10">
        <v>4.13</v>
      </c>
    </row>
    <row r="2235" ht="22.5" customHeight="1">
      <c r="B2235" s="4" t="s">
        <v>8</v>
      </c>
      <c r="C2235" s="9">
        <v>46097.37236111111</v>
      </c>
      <c r="D2235" s="10"/>
      <c r="E2235" s="10">
        <f t="shared" si="2"/>
        <v>46097.37236</v>
      </c>
      <c r="F2235" s="10">
        <v>4.08</v>
      </c>
    </row>
    <row r="2236" ht="22.5" customHeight="1">
      <c r="B2236" s="4" t="s">
        <v>8</v>
      </c>
      <c r="C2236" s="9">
        <v>46097.37440972222</v>
      </c>
      <c r="D2236" s="10"/>
      <c r="E2236" s="10">
        <f t="shared" si="2"/>
        <v>46097.37441</v>
      </c>
      <c r="F2236" s="10">
        <v>4.13</v>
      </c>
    </row>
    <row r="2237" ht="22.5" customHeight="1">
      <c r="B2237" s="4" t="s">
        <v>8</v>
      </c>
      <c r="C2237" s="9">
        <v>46097.38673611111</v>
      </c>
      <c r="D2237" s="10"/>
      <c r="E2237" s="10">
        <f t="shared" si="2"/>
        <v>46097.38674</v>
      </c>
      <c r="F2237" s="10">
        <v>11.49</v>
      </c>
    </row>
    <row r="2238" ht="22.5" customHeight="1">
      <c r="B2238" s="4" t="s">
        <v>8</v>
      </c>
      <c r="C2238" s="9">
        <v>46097.39016203704</v>
      </c>
      <c r="D2238" s="10"/>
      <c r="E2238" s="10">
        <f t="shared" si="2"/>
        <v>46097.39016</v>
      </c>
      <c r="F2238" s="10">
        <v>11.21</v>
      </c>
    </row>
    <row r="2239" ht="22.5" customHeight="1">
      <c r="B2239" s="4" t="s">
        <v>8</v>
      </c>
      <c r="C2239" s="9">
        <v>46097.392905092594</v>
      </c>
      <c r="D2239" s="10"/>
      <c r="E2239" s="10">
        <f t="shared" si="2"/>
        <v>46097.39291</v>
      </c>
      <c r="F2239" s="10">
        <v>11.17</v>
      </c>
    </row>
    <row r="2240" ht="22.5" customHeight="1">
      <c r="B2240" s="4" t="s">
        <v>8</v>
      </c>
      <c r="C2240" s="9">
        <v>46097.394270833334</v>
      </c>
      <c r="D2240" s="10"/>
      <c r="E2240" s="10">
        <f t="shared" si="2"/>
        <v>46097.39427</v>
      </c>
      <c r="F2240" s="10">
        <v>11.11</v>
      </c>
    </row>
    <row r="2241" ht="22.5" customHeight="1">
      <c r="B2241" s="4" t="s">
        <v>8</v>
      </c>
      <c r="C2241" s="9">
        <v>46097.39633101852</v>
      </c>
      <c r="D2241" s="10"/>
      <c r="E2241" s="10">
        <f t="shared" si="2"/>
        <v>46097.39633</v>
      </c>
      <c r="F2241" s="10">
        <v>11.06</v>
      </c>
    </row>
    <row r="2242" ht="22.5" customHeight="1">
      <c r="B2242" s="4" t="s">
        <v>8</v>
      </c>
      <c r="C2242" s="9">
        <v>46097.40865740741</v>
      </c>
      <c r="D2242" s="10"/>
      <c r="E2242" s="10">
        <f t="shared" si="2"/>
        <v>46097.40866</v>
      </c>
      <c r="F2242" s="10">
        <v>10.86</v>
      </c>
    </row>
    <row r="2243" ht="22.5" customHeight="1">
      <c r="B2243" s="4" t="s">
        <v>8</v>
      </c>
      <c r="C2243" s="9">
        <v>46097.413449074076</v>
      </c>
      <c r="D2243" s="10"/>
      <c r="E2243" s="10">
        <f t="shared" si="2"/>
        <v>46097.41345</v>
      </c>
      <c r="F2243" s="10">
        <v>10.7</v>
      </c>
    </row>
    <row r="2244" ht="22.5" customHeight="1">
      <c r="B2244" s="4" t="s">
        <v>8</v>
      </c>
      <c r="C2244" s="9">
        <v>46097.43605324074</v>
      </c>
      <c r="D2244" s="10"/>
      <c r="E2244" s="10">
        <f t="shared" si="2"/>
        <v>46097.43605</v>
      </c>
      <c r="F2244" s="10">
        <v>10.54</v>
      </c>
    </row>
    <row r="2245" ht="22.5" customHeight="1">
      <c r="B2245" s="4" t="s">
        <v>8</v>
      </c>
      <c r="C2245" s="9">
        <v>46097.45180555555</v>
      </c>
      <c r="D2245" s="10"/>
      <c r="E2245" s="10">
        <f t="shared" si="2"/>
        <v>46097.45181</v>
      </c>
      <c r="F2245" s="10">
        <v>10.42</v>
      </c>
    </row>
    <row r="2246" ht="22.5" customHeight="1">
      <c r="B2246" s="4" t="s">
        <v>8</v>
      </c>
      <c r="C2246" s="9">
        <v>46097.4531712963</v>
      </c>
      <c r="D2246" s="10"/>
      <c r="E2246" s="10">
        <f t="shared" si="2"/>
        <v>46097.45317</v>
      </c>
      <c r="F2246" s="10">
        <v>10.37</v>
      </c>
    </row>
    <row r="2247" ht="22.5" customHeight="1">
      <c r="B2247" s="4" t="s">
        <v>8</v>
      </c>
      <c r="C2247" s="9">
        <v>46097.45453703704</v>
      </c>
      <c r="D2247" s="10"/>
      <c r="E2247" s="10">
        <f t="shared" si="2"/>
        <v>46097.45454</v>
      </c>
      <c r="F2247" s="10">
        <v>10.3</v>
      </c>
    </row>
    <row r="2248" ht="22.5" customHeight="1">
      <c r="B2248" s="4" t="s">
        <v>8</v>
      </c>
      <c r="C2248" s="9">
        <v>46097.46549768518</v>
      </c>
      <c r="D2248" s="10"/>
      <c r="E2248" s="10">
        <f t="shared" si="2"/>
        <v>46097.4655</v>
      </c>
      <c r="F2248" s="10">
        <v>10.46</v>
      </c>
    </row>
    <row r="2249" ht="22.5" customHeight="1">
      <c r="B2249" s="4" t="s">
        <v>8</v>
      </c>
      <c r="C2249" s="9">
        <v>46097.46686342593</v>
      </c>
      <c r="D2249" s="10"/>
      <c r="E2249" s="10">
        <f t="shared" si="2"/>
        <v>46097.46686</v>
      </c>
      <c r="F2249" s="10">
        <v>10.37</v>
      </c>
    </row>
    <row r="2250" ht="22.5" customHeight="1">
      <c r="B2250" s="4" t="s">
        <v>8</v>
      </c>
      <c r="C2250" s="9">
        <v>46097.46960648148</v>
      </c>
      <c r="D2250" s="10"/>
      <c r="E2250" s="10">
        <f t="shared" si="2"/>
        <v>46097.46961</v>
      </c>
      <c r="F2250" s="10">
        <v>10.3</v>
      </c>
    </row>
    <row r="2251" ht="22.5" customHeight="1">
      <c r="B2251" s="4" t="s">
        <v>8</v>
      </c>
      <c r="C2251" s="9">
        <v>46097.47920138889</v>
      </c>
      <c r="D2251" s="10"/>
      <c r="E2251" s="10">
        <f t="shared" si="2"/>
        <v>46097.4792</v>
      </c>
      <c r="F2251" s="10">
        <v>10.26</v>
      </c>
    </row>
    <row r="2252" ht="22.5" customHeight="1">
      <c r="B2252" s="4" t="s">
        <v>8</v>
      </c>
      <c r="C2252" s="9">
        <v>46097.48535879629</v>
      </c>
      <c r="D2252" s="10"/>
      <c r="E2252" s="10">
        <f t="shared" si="2"/>
        <v>46097.48536</v>
      </c>
      <c r="F2252" s="10">
        <v>10.21</v>
      </c>
    </row>
    <row r="2253" ht="22.5" customHeight="1">
      <c r="B2253" s="4" t="s">
        <v>8</v>
      </c>
      <c r="C2253" s="9">
        <v>46097.48673611111</v>
      </c>
      <c r="D2253" s="10"/>
      <c r="E2253" s="10">
        <f t="shared" si="2"/>
        <v>46097.48674</v>
      </c>
      <c r="F2253" s="10">
        <v>10.26</v>
      </c>
    </row>
    <row r="2254" ht="22.5" customHeight="1">
      <c r="B2254" s="4" t="s">
        <v>8</v>
      </c>
      <c r="C2254" s="9">
        <v>46097.48878472222</v>
      </c>
      <c r="D2254" s="10"/>
      <c r="E2254" s="10">
        <f t="shared" si="2"/>
        <v>46097.48878</v>
      </c>
      <c r="F2254" s="10">
        <v>10.21</v>
      </c>
    </row>
    <row r="2255" ht="22.5" customHeight="1">
      <c r="B2255" s="4" t="s">
        <v>8</v>
      </c>
      <c r="C2255" s="9">
        <v>46097.502488425926</v>
      </c>
      <c r="D2255" s="10"/>
      <c r="E2255" s="10">
        <f t="shared" si="2"/>
        <v>46097.50249</v>
      </c>
      <c r="F2255" s="10">
        <v>10.13</v>
      </c>
    </row>
    <row r="2256" ht="22.5" customHeight="1">
      <c r="B2256" s="4" t="s">
        <v>8</v>
      </c>
      <c r="C2256" s="9">
        <v>46097.516180555554</v>
      </c>
      <c r="D2256" s="10"/>
      <c r="E2256" s="10">
        <f t="shared" si="2"/>
        <v>46097.51618</v>
      </c>
      <c r="F2256" s="10">
        <v>10.26</v>
      </c>
    </row>
    <row r="2257" ht="22.5" customHeight="1">
      <c r="B2257" s="4" t="s">
        <v>8</v>
      </c>
      <c r="C2257" s="9">
        <v>46097.51892361111</v>
      </c>
      <c r="D2257" s="10"/>
      <c r="E2257" s="10">
        <f t="shared" si="2"/>
        <v>46097.51892</v>
      </c>
      <c r="F2257" s="10">
        <v>10.3</v>
      </c>
    </row>
    <row r="2258" ht="22.5" customHeight="1">
      <c r="B2258" s="4" t="s">
        <v>8</v>
      </c>
      <c r="C2258" s="9">
        <v>46097.52097222222</v>
      </c>
      <c r="D2258" s="10"/>
      <c r="E2258" s="10">
        <f t="shared" si="2"/>
        <v>46097.52097</v>
      </c>
      <c r="F2258" s="10">
        <v>10.13</v>
      </c>
    </row>
    <row r="2259" ht="22.5" customHeight="1">
      <c r="B2259" s="4" t="s">
        <v>8</v>
      </c>
      <c r="C2259" s="9">
        <v>46097.52782407407</v>
      </c>
      <c r="D2259" s="10"/>
      <c r="E2259" s="10">
        <f t="shared" si="2"/>
        <v>46097.52782</v>
      </c>
      <c r="F2259" s="10">
        <v>10.09</v>
      </c>
    </row>
    <row r="2260" ht="22.5" customHeight="1">
      <c r="B2260" s="4" t="s">
        <v>8</v>
      </c>
      <c r="C2260" s="9">
        <v>46097.53056712963</v>
      </c>
      <c r="D2260" s="10"/>
      <c r="E2260" s="10">
        <f t="shared" si="2"/>
        <v>46097.53057</v>
      </c>
      <c r="F2260" s="10">
        <v>10.13</v>
      </c>
    </row>
    <row r="2261" ht="22.5" customHeight="1">
      <c r="B2261" s="4" t="s">
        <v>8</v>
      </c>
      <c r="C2261" s="9">
        <v>46097.536041666666</v>
      </c>
      <c r="D2261" s="10"/>
      <c r="E2261" s="10">
        <f t="shared" si="2"/>
        <v>46097.53604</v>
      </c>
      <c r="F2261" s="10">
        <v>10.09</v>
      </c>
    </row>
    <row r="2262" ht="22.5" customHeight="1">
      <c r="B2262" s="4" t="s">
        <v>8</v>
      </c>
      <c r="C2262" s="9">
        <v>46097.53673611111</v>
      </c>
      <c r="D2262" s="10"/>
      <c r="E2262" s="10">
        <f t="shared" si="2"/>
        <v>46097.53674</v>
      </c>
      <c r="F2262" s="10">
        <v>10.13</v>
      </c>
    </row>
    <row r="2263" ht="22.5" customHeight="1">
      <c r="B2263" s="4" t="s">
        <v>8</v>
      </c>
      <c r="C2263" s="9">
        <v>46097.53878472222</v>
      </c>
      <c r="D2263" s="10"/>
      <c r="E2263" s="10">
        <f t="shared" si="2"/>
        <v>46097.53878</v>
      </c>
      <c r="F2263" s="10">
        <v>10.09</v>
      </c>
    </row>
    <row r="2264" ht="22.5" customHeight="1">
      <c r="B2264" s="4" t="s">
        <v>8</v>
      </c>
      <c r="C2264" s="9">
        <v>46097.54425925926</v>
      </c>
      <c r="D2264" s="10"/>
      <c r="E2264" s="10">
        <f t="shared" si="2"/>
        <v>46097.54426</v>
      </c>
      <c r="F2264" s="10">
        <v>10.13</v>
      </c>
    </row>
    <row r="2265" ht="22.5" customHeight="1">
      <c r="B2265" s="4" t="s">
        <v>8</v>
      </c>
      <c r="C2265" s="9">
        <v>46097.56138888889</v>
      </c>
      <c r="D2265" s="10"/>
      <c r="E2265" s="10">
        <f t="shared" si="2"/>
        <v>46097.56139</v>
      </c>
      <c r="F2265" s="10">
        <v>10.09</v>
      </c>
    </row>
    <row r="2266" ht="22.5" customHeight="1">
      <c r="B2266" s="4" t="s">
        <v>8</v>
      </c>
      <c r="C2266" s="9">
        <v>46097.56207175926</v>
      </c>
      <c r="D2266" s="10"/>
      <c r="E2266" s="10">
        <f t="shared" si="2"/>
        <v>46097.56207</v>
      </c>
      <c r="F2266" s="10">
        <v>10.13</v>
      </c>
    </row>
    <row r="2267" ht="22.5" customHeight="1">
      <c r="B2267" s="4" t="s">
        <v>8</v>
      </c>
      <c r="C2267" s="9">
        <v>46097.56549768519</v>
      </c>
      <c r="D2267" s="10"/>
      <c r="E2267" s="10">
        <f t="shared" si="2"/>
        <v>46097.5655</v>
      </c>
      <c r="F2267" s="10">
        <v>10.09</v>
      </c>
    </row>
    <row r="2268" ht="22.5" customHeight="1">
      <c r="B2268" s="4" t="s">
        <v>8</v>
      </c>
      <c r="C2268" s="9">
        <v>46097.570972222224</v>
      </c>
      <c r="D2268" s="10"/>
      <c r="E2268" s="10">
        <f t="shared" si="2"/>
        <v>46097.57097</v>
      </c>
      <c r="F2268" s="10">
        <v>9.97</v>
      </c>
    </row>
    <row r="2269" ht="22.5" customHeight="1">
      <c r="B2269" s="4" t="s">
        <v>8</v>
      </c>
      <c r="C2269" s="9">
        <v>46097.62988425926</v>
      </c>
      <c r="D2269" s="10"/>
      <c r="E2269" s="10">
        <f t="shared" si="2"/>
        <v>46097.62988</v>
      </c>
      <c r="F2269" s="10">
        <v>9.92</v>
      </c>
    </row>
    <row r="2270" ht="22.5" customHeight="1">
      <c r="B2270" s="4" t="s">
        <v>8</v>
      </c>
      <c r="C2270" s="9">
        <v>46097.63056712963</v>
      </c>
      <c r="D2270" s="10"/>
      <c r="E2270" s="10">
        <f t="shared" si="2"/>
        <v>46097.63057</v>
      </c>
      <c r="F2270" s="10">
        <v>9.97</v>
      </c>
    </row>
    <row r="2271" ht="22.5" customHeight="1">
      <c r="B2271" s="4" t="s">
        <v>8</v>
      </c>
      <c r="C2271" s="9">
        <v>46097.63878472222</v>
      </c>
      <c r="D2271" s="10"/>
      <c r="E2271" s="10">
        <f t="shared" si="2"/>
        <v>46097.63878</v>
      </c>
      <c r="F2271" s="10">
        <v>10.05</v>
      </c>
    </row>
    <row r="2272" ht="22.5" customHeight="1">
      <c r="B2272" s="4" t="s">
        <v>8</v>
      </c>
      <c r="C2272" s="9">
        <v>46097.64084490741</v>
      </c>
      <c r="D2272" s="10"/>
      <c r="E2272" s="10">
        <f t="shared" si="2"/>
        <v>46097.64084</v>
      </c>
      <c r="F2272" s="10">
        <v>9.97</v>
      </c>
    </row>
    <row r="2273" ht="22.5" customHeight="1">
      <c r="B2273" s="4" t="s">
        <v>8</v>
      </c>
      <c r="C2273" s="9">
        <v>46097.6490625</v>
      </c>
      <c r="D2273" s="10"/>
      <c r="E2273" s="10">
        <f t="shared" si="2"/>
        <v>46097.64906</v>
      </c>
      <c r="F2273" s="10">
        <v>10.7</v>
      </c>
    </row>
    <row r="2274" ht="22.5" customHeight="1">
      <c r="B2274" s="4" t="s">
        <v>8</v>
      </c>
      <c r="C2274" s="9">
        <v>46097.64974537037</v>
      </c>
      <c r="D2274" s="10"/>
      <c r="E2274" s="10">
        <f t="shared" si="2"/>
        <v>46097.64975</v>
      </c>
      <c r="F2274" s="10">
        <v>13.46</v>
      </c>
    </row>
    <row r="2275" ht="22.5" customHeight="1">
      <c r="B2275" s="4" t="s">
        <v>8</v>
      </c>
      <c r="C2275" s="9">
        <v>46097.65248842593</v>
      </c>
      <c r="D2275" s="10"/>
      <c r="E2275" s="10">
        <f t="shared" si="2"/>
        <v>46097.65249</v>
      </c>
      <c r="F2275" s="10">
        <v>13.5</v>
      </c>
    </row>
    <row r="2276" ht="22.5" customHeight="1">
      <c r="B2276" s="4" t="s">
        <v>8</v>
      </c>
      <c r="C2276" s="9">
        <v>46097.65728009259</v>
      </c>
      <c r="D2276" s="10"/>
      <c r="E2276" s="10">
        <f t="shared" si="2"/>
        <v>46097.65728</v>
      </c>
      <c r="F2276" s="10">
        <v>13.27</v>
      </c>
    </row>
    <row r="2277" ht="22.5" customHeight="1">
      <c r="B2277" s="4" t="s">
        <v>8</v>
      </c>
      <c r="C2277" s="9">
        <v>46097.65796296296</v>
      </c>
      <c r="D2277" s="10"/>
      <c r="E2277" s="10">
        <f t="shared" si="2"/>
        <v>46097.65796</v>
      </c>
      <c r="F2277" s="10">
        <v>13.16</v>
      </c>
    </row>
    <row r="2278" ht="22.5" customHeight="1">
      <c r="B2278" s="4" t="s">
        <v>8</v>
      </c>
      <c r="C2278" s="9">
        <v>46097.665497685186</v>
      </c>
      <c r="D2278" s="10"/>
      <c r="E2278" s="10">
        <f t="shared" si="2"/>
        <v>46097.6655</v>
      </c>
      <c r="F2278" s="10">
        <v>13.09</v>
      </c>
    </row>
    <row r="2279" ht="22.5" customHeight="1">
      <c r="B2279" s="4" t="s">
        <v>8</v>
      </c>
      <c r="C2279" s="9">
        <v>46097.66960648148</v>
      </c>
      <c r="D2279" s="10"/>
      <c r="E2279" s="10">
        <f t="shared" si="2"/>
        <v>46097.66961</v>
      </c>
      <c r="F2279" s="10">
        <v>13.0</v>
      </c>
    </row>
    <row r="2280" ht="22.5" customHeight="1">
      <c r="B2280" s="4" t="s">
        <v>8</v>
      </c>
      <c r="C2280" s="9">
        <v>46097.72715277778</v>
      </c>
      <c r="D2280" s="10"/>
      <c r="E2280" s="10">
        <f t="shared" si="2"/>
        <v>46097.72715</v>
      </c>
      <c r="F2280" s="10">
        <v>12.9</v>
      </c>
    </row>
    <row r="2281" ht="22.5" customHeight="1">
      <c r="B2281" s="4" t="s">
        <v>8</v>
      </c>
      <c r="C2281" s="9">
        <v>46097.727847222224</v>
      </c>
      <c r="D2281" s="10"/>
      <c r="E2281" s="10">
        <f t="shared" si="2"/>
        <v>46097.72785</v>
      </c>
      <c r="F2281" s="10">
        <v>12.94</v>
      </c>
    </row>
    <row r="2282" ht="22.5" customHeight="1">
      <c r="B2282" s="4" t="s">
        <v>8</v>
      </c>
      <c r="C2282" s="9">
        <v>46097.728530092594</v>
      </c>
      <c r="D2282" s="10"/>
      <c r="E2282" s="10">
        <f t="shared" si="2"/>
        <v>46097.72853</v>
      </c>
      <c r="F2282" s="10">
        <v>13.0</v>
      </c>
    </row>
    <row r="2283" ht="22.5" customHeight="1">
      <c r="B2283" s="4" t="s">
        <v>8</v>
      </c>
      <c r="C2283" s="9">
        <v>46097.73195601852</v>
      </c>
      <c r="D2283" s="10"/>
      <c r="E2283" s="10">
        <f t="shared" si="2"/>
        <v>46097.73196</v>
      </c>
      <c r="F2283" s="10">
        <v>12.94</v>
      </c>
    </row>
    <row r="2284" ht="22.5" customHeight="1">
      <c r="B2284" s="4" t="s">
        <v>8</v>
      </c>
      <c r="C2284" s="9">
        <v>46097.73332175926</v>
      </c>
      <c r="D2284" s="10"/>
      <c r="E2284" s="10">
        <f t="shared" si="2"/>
        <v>46097.73332</v>
      </c>
      <c r="F2284" s="10">
        <v>13.0</v>
      </c>
    </row>
    <row r="2285" ht="22.5" customHeight="1">
      <c r="B2285" s="4" t="s">
        <v>8</v>
      </c>
      <c r="C2285" s="9">
        <v>46097.73400462963</v>
      </c>
      <c r="D2285" s="10"/>
      <c r="E2285" s="10">
        <f t="shared" si="2"/>
        <v>46097.734</v>
      </c>
      <c r="F2285" s="10">
        <v>12.94</v>
      </c>
    </row>
    <row r="2286" ht="22.5" customHeight="1">
      <c r="B2286" s="4" t="s">
        <v>8</v>
      </c>
      <c r="C2286" s="9">
        <v>46097.73538194445</v>
      </c>
      <c r="D2286" s="10"/>
      <c r="E2286" s="10">
        <f t="shared" si="2"/>
        <v>46097.73538</v>
      </c>
      <c r="F2286" s="10">
        <v>13.0</v>
      </c>
    </row>
    <row r="2287" ht="22.5" customHeight="1">
      <c r="B2287" s="4" t="s">
        <v>8</v>
      </c>
      <c r="C2287" s="9">
        <v>46097.73743055556</v>
      </c>
      <c r="D2287" s="10"/>
      <c r="E2287" s="10">
        <f t="shared" si="2"/>
        <v>46097.73743</v>
      </c>
      <c r="F2287" s="10">
        <v>12.85</v>
      </c>
    </row>
    <row r="2288" ht="22.5" customHeight="1">
      <c r="B2288" s="4" t="s">
        <v>8</v>
      </c>
      <c r="C2288" s="9">
        <v>46097.74359953704</v>
      </c>
      <c r="D2288" s="10"/>
      <c r="E2288" s="10">
        <f t="shared" si="2"/>
        <v>46097.7436</v>
      </c>
      <c r="F2288" s="10">
        <v>12.9</v>
      </c>
    </row>
    <row r="2289" ht="22.5" customHeight="1">
      <c r="B2289" s="4" t="s">
        <v>8</v>
      </c>
      <c r="C2289" s="9">
        <v>46097.74496527778</v>
      </c>
      <c r="D2289" s="10"/>
      <c r="E2289" s="10">
        <f t="shared" si="2"/>
        <v>46097.74497</v>
      </c>
      <c r="F2289" s="10">
        <v>12.85</v>
      </c>
    </row>
    <row r="2290" ht="22.5" customHeight="1">
      <c r="B2290" s="4" t="s">
        <v>8</v>
      </c>
      <c r="C2290" s="9">
        <v>46097.747708333336</v>
      </c>
      <c r="D2290" s="10"/>
      <c r="E2290" s="10">
        <f t="shared" si="2"/>
        <v>46097.74771</v>
      </c>
      <c r="F2290" s="10">
        <v>12.79</v>
      </c>
    </row>
    <row r="2291" ht="22.5" customHeight="1">
      <c r="B2291" s="4" t="s">
        <v>8</v>
      </c>
      <c r="C2291" s="9">
        <v>46097.77373842592</v>
      </c>
      <c r="D2291" s="10"/>
      <c r="E2291" s="10">
        <f t="shared" si="2"/>
        <v>46097.77374</v>
      </c>
      <c r="F2291" s="10">
        <v>4.21</v>
      </c>
    </row>
    <row r="2292" ht="22.5" customHeight="1">
      <c r="B2292" s="4" t="s">
        <v>8</v>
      </c>
      <c r="C2292" s="9">
        <v>46097.77716435185</v>
      </c>
      <c r="D2292" s="10"/>
      <c r="E2292" s="10">
        <f t="shared" si="2"/>
        <v>46097.77716</v>
      </c>
      <c r="F2292" s="10">
        <v>0.0</v>
      </c>
    </row>
    <row r="2293" ht="22.5" customHeight="1">
      <c r="B2293" s="4" t="s">
        <v>8</v>
      </c>
      <c r="C2293" s="9">
        <v>46097.78606481481</v>
      </c>
      <c r="D2293" s="10"/>
      <c r="E2293" s="10">
        <f t="shared" si="2"/>
        <v>46097.78606</v>
      </c>
      <c r="F2293" s="10">
        <v>2.84</v>
      </c>
    </row>
    <row r="2294" ht="22.5" customHeight="1">
      <c r="B2294" s="4" t="s">
        <v>8</v>
      </c>
      <c r="C2294" s="9">
        <v>46097.78675925926</v>
      </c>
      <c r="D2294" s="10"/>
      <c r="E2294" s="10">
        <f t="shared" si="2"/>
        <v>46097.78676</v>
      </c>
      <c r="F2294" s="10">
        <v>6.39</v>
      </c>
    </row>
    <row r="2295" ht="22.5" customHeight="1">
      <c r="B2295" s="4" t="s">
        <v>8</v>
      </c>
      <c r="C2295" s="9">
        <v>46097.788125</v>
      </c>
      <c r="D2295" s="10"/>
      <c r="E2295" s="10">
        <f t="shared" si="2"/>
        <v>46097.78813</v>
      </c>
      <c r="F2295" s="10">
        <v>6.17</v>
      </c>
    </row>
    <row r="2296" ht="22.5" customHeight="1">
      <c r="B2296" s="4" t="s">
        <v>8</v>
      </c>
      <c r="C2296" s="9">
        <v>46097.800462962965</v>
      </c>
      <c r="D2296" s="10"/>
      <c r="E2296" s="10">
        <f t="shared" si="2"/>
        <v>46097.80046</v>
      </c>
      <c r="F2296" s="10">
        <v>6.39</v>
      </c>
    </row>
    <row r="2297" ht="22.5" customHeight="1">
      <c r="B2297" s="4" t="s">
        <v>8</v>
      </c>
      <c r="C2297" s="9">
        <v>46097.801145833335</v>
      </c>
      <c r="D2297" s="10"/>
      <c r="E2297" s="10">
        <f t="shared" si="2"/>
        <v>46097.80115</v>
      </c>
      <c r="F2297" s="10">
        <v>6.17</v>
      </c>
    </row>
    <row r="2298" ht="22.5" customHeight="1">
      <c r="B2298" s="4" t="s">
        <v>8</v>
      </c>
      <c r="C2298" s="9">
        <v>46097.82512731481</v>
      </c>
      <c r="D2298" s="10"/>
      <c r="E2298" s="10">
        <f t="shared" si="2"/>
        <v>46097.82513</v>
      </c>
      <c r="F2298" s="10">
        <v>6.22</v>
      </c>
    </row>
    <row r="2299" ht="22.5" customHeight="1">
      <c r="B2299" s="4" t="s">
        <v>8</v>
      </c>
      <c r="C2299" s="9">
        <v>46097.82581018518</v>
      </c>
      <c r="D2299" s="10"/>
      <c r="E2299" s="10">
        <f t="shared" si="2"/>
        <v>46097.82581</v>
      </c>
      <c r="F2299" s="10">
        <v>6.27</v>
      </c>
    </row>
    <row r="2300" ht="22.5" customHeight="1">
      <c r="B2300" s="4" t="s">
        <v>8</v>
      </c>
      <c r="C2300" s="9">
        <v>46097.83060185185</v>
      </c>
      <c r="D2300" s="10"/>
      <c r="E2300" s="10">
        <f t="shared" si="2"/>
        <v>46097.8306</v>
      </c>
      <c r="F2300" s="10">
        <v>6.33</v>
      </c>
    </row>
    <row r="2301" ht="22.5" customHeight="1">
      <c r="B2301" s="4" t="s">
        <v>8</v>
      </c>
      <c r="C2301" s="9">
        <v>46097.843622685185</v>
      </c>
      <c r="D2301" s="10"/>
      <c r="E2301" s="10">
        <f t="shared" si="2"/>
        <v>46097.84362</v>
      </c>
      <c r="F2301" s="10">
        <v>6.39</v>
      </c>
    </row>
    <row r="2302" ht="22.5" customHeight="1">
      <c r="B2302" s="4" t="s">
        <v>8</v>
      </c>
      <c r="C2302" s="9">
        <v>46097.844305555554</v>
      </c>
      <c r="D2302" s="10"/>
      <c r="E2302" s="10">
        <f t="shared" si="2"/>
        <v>46097.84431</v>
      </c>
      <c r="F2302" s="10">
        <v>6.33</v>
      </c>
    </row>
    <row r="2303" ht="22.5" customHeight="1">
      <c r="B2303" s="4" t="s">
        <v>8</v>
      </c>
      <c r="C2303" s="9">
        <v>46097.84568287037</v>
      </c>
      <c r="D2303" s="10"/>
      <c r="E2303" s="10">
        <f t="shared" si="2"/>
        <v>46097.84568</v>
      </c>
      <c r="F2303" s="10">
        <v>6.39</v>
      </c>
    </row>
    <row r="2304" ht="22.5" customHeight="1">
      <c r="B2304" s="4" t="s">
        <v>8</v>
      </c>
      <c r="C2304" s="9">
        <v>46097.84636574074</v>
      </c>
      <c r="D2304" s="10"/>
      <c r="E2304" s="10">
        <f t="shared" si="2"/>
        <v>46097.84637</v>
      </c>
      <c r="F2304" s="10">
        <v>6.33</v>
      </c>
    </row>
    <row r="2305" ht="22.5" customHeight="1">
      <c r="B2305" s="4" t="s">
        <v>8</v>
      </c>
      <c r="C2305" s="9">
        <v>46097.8491087963</v>
      </c>
      <c r="D2305" s="10"/>
      <c r="E2305" s="10">
        <f t="shared" si="2"/>
        <v>46097.84911</v>
      </c>
      <c r="F2305" s="10">
        <v>6.39</v>
      </c>
    </row>
    <row r="2306" ht="22.5" customHeight="1">
      <c r="B2306" s="4" t="s">
        <v>8</v>
      </c>
      <c r="C2306" s="9">
        <v>46097.95460648148</v>
      </c>
      <c r="D2306" s="10"/>
      <c r="E2306" s="10">
        <f t="shared" si="2"/>
        <v>46097.95461</v>
      </c>
      <c r="F2306" s="10">
        <v>6.47</v>
      </c>
    </row>
    <row r="2307" ht="22.5" customHeight="1">
      <c r="B2307" s="4" t="s">
        <v>8</v>
      </c>
      <c r="C2307" s="9">
        <v>46097.958032407405</v>
      </c>
      <c r="D2307" s="10"/>
      <c r="E2307" s="10">
        <f t="shared" si="2"/>
        <v>46097.95803</v>
      </c>
      <c r="F2307" s="10">
        <v>6.39</v>
      </c>
    </row>
    <row r="2308" ht="22.5" customHeight="1">
      <c r="B2308" s="4" t="s">
        <v>8</v>
      </c>
      <c r="C2308" s="9">
        <v>46097.958715277775</v>
      </c>
      <c r="D2308" s="10"/>
      <c r="E2308" s="10">
        <f t="shared" si="2"/>
        <v>46097.95872</v>
      </c>
      <c r="F2308" s="10">
        <v>6.47</v>
      </c>
    </row>
    <row r="2309" ht="22.5" customHeight="1">
      <c r="B2309" s="4" t="s">
        <v>8</v>
      </c>
      <c r="C2309" s="9">
        <v>46097.959398148145</v>
      </c>
      <c r="D2309" s="10"/>
      <c r="E2309" s="10">
        <f t="shared" si="2"/>
        <v>46097.9594</v>
      </c>
      <c r="F2309" s="10">
        <v>6.39</v>
      </c>
    </row>
    <row r="2310" ht="22.5" customHeight="1">
      <c r="B2310" s="4" t="s">
        <v>8</v>
      </c>
      <c r="C2310" s="9">
        <v>46097.96009259259</v>
      </c>
      <c r="D2310" s="10"/>
      <c r="E2310" s="10">
        <f t="shared" si="2"/>
        <v>46097.96009</v>
      </c>
      <c r="F2310" s="10">
        <v>6.47</v>
      </c>
    </row>
    <row r="2311" ht="22.5" customHeight="1">
      <c r="B2311" s="4" t="s">
        <v>8</v>
      </c>
      <c r="C2311" s="9">
        <v>46097.96556712963</v>
      </c>
      <c r="D2311" s="10"/>
      <c r="E2311" s="10">
        <f t="shared" si="2"/>
        <v>46097.96557</v>
      </c>
      <c r="F2311" s="10">
        <v>6.39</v>
      </c>
    </row>
    <row r="2312" ht="22.5" customHeight="1">
      <c r="B2312" s="4" t="s">
        <v>8</v>
      </c>
      <c r="C2312" s="9">
        <v>46097.967627314814</v>
      </c>
      <c r="D2312" s="10"/>
      <c r="E2312" s="10">
        <f t="shared" si="2"/>
        <v>46097.96763</v>
      </c>
      <c r="F2312" s="10">
        <v>6.47</v>
      </c>
    </row>
    <row r="2313" ht="22.5" customHeight="1">
      <c r="B2313" s="4" t="s">
        <v>8</v>
      </c>
      <c r="C2313" s="9">
        <v>46097.970358796294</v>
      </c>
      <c r="D2313" s="10"/>
      <c r="E2313" s="10">
        <f t="shared" si="2"/>
        <v>46097.97036</v>
      </c>
      <c r="F2313" s="10">
        <v>6.39</v>
      </c>
    </row>
    <row r="2314" ht="22.5" customHeight="1">
      <c r="B2314" s="4" t="s">
        <v>8</v>
      </c>
      <c r="C2314" s="9">
        <v>46097.97173611111</v>
      </c>
      <c r="D2314" s="10"/>
      <c r="E2314" s="10">
        <f t="shared" si="2"/>
        <v>46097.97174</v>
      </c>
      <c r="F2314" s="10">
        <v>6.47</v>
      </c>
    </row>
    <row r="2315" ht="22.5" customHeight="1">
      <c r="B2315" s="4" t="s">
        <v>8</v>
      </c>
      <c r="C2315" s="9">
        <v>46097.97447916667</v>
      </c>
      <c r="D2315" s="10"/>
      <c r="E2315" s="10">
        <f t="shared" si="2"/>
        <v>46097.97448</v>
      </c>
      <c r="F2315" s="10">
        <v>6.39</v>
      </c>
    </row>
    <row r="2316" ht="22.5" customHeight="1">
      <c r="B2316" s="4" t="s">
        <v>8</v>
      </c>
      <c r="C2316" s="9">
        <v>46097.97516203704</v>
      </c>
      <c r="D2316" s="10"/>
      <c r="E2316" s="10">
        <f t="shared" si="2"/>
        <v>46097.97516</v>
      </c>
      <c r="F2316" s="10">
        <v>6.47</v>
      </c>
    </row>
    <row r="2317" ht="22.5" customHeight="1">
      <c r="B2317" s="4" t="s">
        <v>8</v>
      </c>
      <c r="C2317" s="9">
        <v>46097.97652777778</v>
      </c>
      <c r="D2317" s="10"/>
      <c r="E2317" s="10">
        <f t="shared" si="2"/>
        <v>46097.97653</v>
      </c>
      <c r="F2317" s="10">
        <v>6.22</v>
      </c>
    </row>
    <row r="2318" ht="22.5" customHeight="1">
      <c r="B2318" s="4" t="s">
        <v>8</v>
      </c>
      <c r="C2318" s="9">
        <v>46097.97721064815</v>
      </c>
      <c r="D2318" s="10"/>
      <c r="E2318" s="10">
        <f t="shared" si="2"/>
        <v>46097.97721</v>
      </c>
      <c r="F2318" s="10">
        <v>6.17</v>
      </c>
    </row>
    <row r="2319" ht="22.5" customHeight="1">
      <c r="B2319" s="4" t="s">
        <v>8</v>
      </c>
      <c r="C2319" s="9">
        <v>46097.98063657407</v>
      </c>
      <c r="D2319" s="10"/>
      <c r="E2319" s="10">
        <f t="shared" si="2"/>
        <v>46097.98064</v>
      </c>
      <c r="F2319" s="10">
        <v>6.22</v>
      </c>
    </row>
    <row r="2320" ht="22.5" customHeight="1">
      <c r="B2320" s="4" t="s">
        <v>8</v>
      </c>
      <c r="C2320" s="9">
        <v>46097.99502314815</v>
      </c>
      <c r="D2320" s="10"/>
      <c r="E2320" s="10">
        <f t="shared" si="2"/>
        <v>46097.99502</v>
      </c>
      <c r="F2320" s="10">
        <v>6.17</v>
      </c>
    </row>
    <row r="2321" ht="22.5" customHeight="1">
      <c r="B2321" s="4" t="s">
        <v>8</v>
      </c>
      <c r="C2321" s="9">
        <v>46097.997766203705</v>
      </c>
      <c r="D2321" s="10"/>
      <c r="E2321" s="10">
        <f t="shared" si="2"/>
        <v>46097.99777</v>
      </c>
      <c r="F2321" s="10">
        <v>6.22</v>
      </c>
    </row>
    <row r="2322" ht="22.5" customHeight="1">
      <c r="B2322" s="4" t="s">
        <v>8</v>
      </c>
      <c r="C2322" s="9">
        <v>46097.998449074075</v>
      </c>
      <c r="D2322" s="10"/>
      <c r="E2322" s="10">
        <f t="shared" si="2"/>
        <v>46097.99845</v>
      </c>
      <c r="F2322" s="10">
        <v>6.17</v>
      </c>
    </row>
    <row r="2323" ht="22.5" customHeight="1">
      <c r="B2323" s="4" t="s">
        <v>8</v>
      </c>
      <c r="C2323" s="9">
        <v>46098.00393518519</v>
      </c>
      <c r="D2323" s="10"/>
      <c r="E2323" s="10">
        <f t="shared" si="2"/>
        <v>46098.00394</v>
      </c>
      <c r="F2323" s="10">
        <v>6.22</v>
      </c>
    </row>
    <row r="2324" ht="22.5" customHeight="1">
      <c r="B2324" s="4" t="s">
        <v>8</v>
      </c>
      <c r="C2324" s="9">
        <v>46098.02311342592</v>
      </c>
      <c r="D2324" s="10"/>
      <c r="E2324" s="10">
        <f t="shared" si="2"/>
        <v>46098.02311</v>
      </c>
      <c r="F2324" s="10">
        <v>6.17</v>
      </c>
    </row>
    <row r="2325" ht="22.5" customHeight="1">
      <c r="B2325" s="4" t="s">
        <v>8</v>
      </c>
      <c r="C2325" s="9">
        <v>46098.02790509259</v>
      </c>
      <c r="D2325" s="10"/>
      <c r="E2325" s="10">
        <f t="shared" si="2"/>
        <v>46098.02791</v>
      </c>
      <c r="F2325" s="10">
        <v>6.22</v>
      </c>
    </row>
    <row r="2326" ht="22.5" customHeight="1">
      <c r="B2326" s="4" t="s">
        <v>8</v>
      </c>
      <c r="C2326" s="9">
        <v>46098.03543981481</v>
      </c>
      <c r="D2326" s="10"/>
      <c r="E2326" s="10">
        <f t="shared" si="2"/>
        <v>46098.03544</v>
      </c>
      <c r="F2326" s="10">
        <v>6.17</v>
      </c>
    </row>
    <row r="2327" ht="22.5" customHeight="1">
      <c r="B2327" s="4" t="s">
        <v>8</v>
      </c>
      <c r="C2327" s="9">
        <v>46098.03681712963</v>
      </c>
      <c r="D2327" s="10"/>
      <c r="E2327" s="10">
        <f t="shared" si="2"/>
        <v>46098.03682</v>
      </c>
      <c r="F2327" s="10">
        <v>6.22</v>
      </c>
    </row>
    <row r="2328" ht="22.5" customHeight="1">
      <c r="B2328" s="4" t="s">
        <v>8</v>
      </c>
      <c r="C2328" s="9">
        <v>46098.03954861111</v>
      </c>
      <c r="D2328" s="10"/>
      <c r="E2328" s="10">
        <f t="shared" si="2"/>
        <v>46098.03955</v>
      </c>
      <c r="F2328" s="10">
        <v>6.17</v>
      </c>
    </row>
    <row r="2329" ht="22.5" customHeight="1">
      <c r="B2329" s="4" t="s">
        <v>8</v>
      </c>
      <c r="C2329" s="9">
        <v>46098.05119212963</v>
      </c>
      <c r="D2329" s="10"/>
      <c r="E2329" s="10">
        <f t="shared" si="2"/>
        <v>46098.05119</v>
      </c>
      <c r="F2329" s="10">
        <v>6.22</v>
      </c>
    </row>
    <row r="2330" ht="22.5" customHeight="1">
      <c r="B2330" s="4" t="s">
        <v>8</v>
      </c>
      <c r="C2330" s="9">
        <v>46098.052569444444</v>
      </c>
      <c r="D2330" s="10"/>
      <c r="E2330" s="10">
        <f t="shared" si="2"/>
        <v>46098.05257</v>
      </c>
      <c r="F2330" s="10">
        <v>6.17</v>
      </c>
    </row>
    <row r="2331" ht="22.5" customHeight="1">
      <c r="B2331" s="4" t="s">
        <v>8</v>
      </c>
      <c r="C2331" s="9">
        <v>46098.053935185184</v>
      </c>
      <c r="D2331" s="10"/>
      <c r="E2331" s="10">
        <f t="shared" si="2"/>
        <v>46098.05394</v>
      </c>
      <c r="F2331" s="10">
        <v>6.22</v>
      </c>
    </row>
    <row r="2332" ht="22.5" customHeight="1">
      <c r="B2332" s="4" t="s">
        <v>8</v>
      </c>
      <c r="C2332" s="9">
        <v>46098.054618055554</v>
      </c>
      <c r="D2332" s="10"/>
      <c r="E2332" s="10">
        <f t="shared" si="2"/>
        <v>46098.05462</v>
      </c>
      <c r="F2332" s="10">
        <v>6.17</v>
      </c>
    </row>
    <row r="2333" ht="22.5" customHeight="1">
      <c r="B2333" s="4" t="s">
        <v>8</v>
      </c>
      <c r="C2333" s="9">
        <v>46098.06215277778</v>
      </c>
      <c r="D2333" s="10"/>
      <c r="E2333" s="10">
        <f t="shared" si="2"/>
        <v>46098.06215</v>
      </c>
      <c r="F2333" s="10">
        <v>6.22</v>
      </c>
    </row>
    <row r="2334" ht="22.5" customHeight="1">
      <c r="B2334" s="4" t="s">
        <v>8</v>
      </c>
      <c r="C2334" s="9">
        <v>46098.06353009259</v>
      </c>
      <c r="D2334" s="10"/>
      <c r="E2334" s="10">
        <f t="shared" si="2"/>
        <v>46098.06353</v>
      </c>
      <c r="F2334" s="10">
        <v>6.17</v>
      </c>
    </row>
    <row r="2335" ht="22.5" customHeight="1">
      <c r="B2335" s="4" t="s">
        <v>8</v>
      </c>
      <c r="C2335" s="9">
        <v>46098.06421296296</v>
      </c>
      <c r="D2335" s="10"/>
      <c r="E2335" s="10">
        <f t="shared" si="2"/>
        <v>46098.06421</v>
      </c>
      <c r="F2335" s="10">
        <v>6.22</v>
      </c>
    </row>
    <row r="2336" ht="22.5" customHeight="1">
      <c r="B2336" s="4" t="s">
        <v>8</v>
      </c>
      <c r="C2336" s="9">
        <v>46098.06763888889</v>
      </c>
      <c r="D2336" s="10"/>
      <c r="E2336" s="10">
        <f t="shared" si="2"/>
        <v>46098.06764</v>
      </c>
      <c r="F2336" s="10">
        <v>6.17</v>
      </c>
    </row>
    <row r="2337" ht="22.5" customHeight="1">
      <c r="B2337" s="4" t="s">
        <v>8</v>
      </c>
      <c r="C2337" s="9">
        <v>46098.06832175926</v>
      </c>
      <c r="D2337" s="10"/>
      <c r="E2337" s="10">
        <f t="shared" si="2"/>
        <v>46098.06832</v>
      </c>
      <c r="F2337" s="10">
        <v>6.22</v>
      </c>
    </row>
    <row r="2338" ht="22.5" customHeight="1">
      <c r="B2338" s="4" t="s">
        <v>8</v>
      </c>
      <c r="C2338" s="9">
        <v>46098.07653935185</v>
      </c>
      <c r="D2338" s="10"/>
      <c r="E2338" s="10">
        <f t="shared" si="2"/>
        <v>46098.07654</v>
      </c>
      <c r="F2338" s="10">
        <v>6.17</v>
      </c>
    </row>
    <row r="2339" ht="22.5" customHeight="1">
      <c r="B2339" s="4" t="s">
        <v>8</v>
      </c>
      <c r="C2339" s="9">
        <v>46098.07722222222</v>
      </c>
      <c r="D2339" s="10"/>
      <c r="E2339" s="10">
        <f t="shared" si="2"/>
        <v>46098.07722</v>
      </c>
      <c r="F2339" s="10">
        <v>6.22</v>
      </c>
    </row>
    <row r="2340" ht="22.5" customHeight="1">
      <c r="B2340" s="4" t="s">
        <v>8</v>
      </c>
      <c r="C2340" s="9">
        <v>46098.08064814815</v>
      </c>
      <c r="D2340" s="10"/>
      <c r="E2340" s="10">
        <f t="shared" si="2"/>
        <v>46098.08065</v>
      </c>
      <c r="F2340" s="10">
        <v>6.17</v>
      </c>
    </row>
    <row r="2341" ht="22.5" customHeight="1">
      <c r="B2341" s="4" t="s">
        <v>8</v>
      </c>
      <c r="C2341" s="9">
        <v>46098.084074074075</v>
      </c>
      <c r="D2341" s="10"/>
      <c r="E2341" s="10">
        <f t="shared" si="2"/>
        <v>46098.08407</v>
      </c>
      <c r="F2341" s="10">
        <v>6.22</v>
      </c>
    </row>
    <row r="2342" ht="22.5" customHeight="1">
      <c r="B2342" s="4" t="s">
        <v>8</v>
      </c>
      <c r="C2342" s="9">
        <v>46098.086122685185</v>
      </c>
      <c r="D2342" s="10"/>
      <c r="E2342" s="10">
        <f t="shared" si="2"/>
        <v>46098.08612</v>
      </c>
      <c r="F2342" s="10">
        <v>6.27</v>
      </c>
    </row>
    <row r="2343" ht="22.5" customHeight="1">
      <c r="B2343" s="4" t="s">
        <v>8</v>
      </c>
      <c r="C2343" s="9">
        <v>46098.086805555555</v>
      </c>
      <c r="D2343" s="10"/>
      <c r="E2343" s="10">
        <f t="shared" si="2"/>
        <v>46098.08681</v>
      </c>
      <c r="F2343" s="10">
        <v>6.22</v>
      </c>
    </row>
    <row r="2344" ht="22.5" customHeight="1">
      <c r="B2344" s="4" t="s">
        <v>8</v>
      </c>
      <c r="C2344" s="9">
        <v>46098.09365740741</v>
      </c>
      <c r="D2344" s="10"/>
      <c r="E2344" s="10">
        <f t="shared" si="2"/>
        <v>46098.09366</v>
      </c>
      <c r="F2344" s="10">
        <v>6.17</v>
      </c>
    </row>
    <row r="2345" ht="22.5" customHeight="1">
      <c r="B2345" s="4" t="s">
        <v>8</v>
      </c>
      <c r="C2345" s="9">
        <v>46098.09434027778</v>
      </c>
      <c r="D2345" s="10"/>
      <c r="E2345" s="10">
        <f t="shared" si="2"/>
        <v>46098.09434</v>
      </c>
      <c r="F2345" s="10">
        <v>6.22</v>
      </c>
    </row>
    <row r="2346" ht="22.5" customHeight="1">
      <c r="B2346" s="4" t="s">
        <v>8</v>
      </c>
      <c r="C2346" s="9">
        <v>46098.095717592594</v>
      </c>
      <c r="D2346" s="10"/>
      <c r="E2346" s="10">
        <f t="shared" si="2"/>
        <v>46098.09572</v>
      </c>
      <c r="F2346" s="10">
        <v>6.17</v>
      </c>
    </row>
    <row r="2347" ht="22.5" customHeight="1">
      <c r="B2347" s="4" t="s">
        <v>8</v>
      </c>
      <c r="C2347" s="9">
        <v>46098.10872685185</v>
      </c>
      <c r="D2347" s="10"/>
      <c r="E2347" s="10">
        <f t="shared" si="2"/>
        <v>46098.10873</v>
      </c>
      <c r="F2347" s="10">
        <v>6.22</v>
      </c>
    </row>
    <row r="2348" ht="22.5" customHeight="1">
      <c r="B2348" s="4" t="s">
        <v>8</v>
      </c>
      <c r="C2348" s="9">
        <v>46098.117627314816</v>
      </c>
      <c r="D2348" s="10"/>
      <c r="E2348" s="10">
        <f t="shared" si="2"/>
        <v>46098.11763</v>
      </c>
      <c r="F2348" s="10">
        <v>6.17</v>
      </c>
    </row>
    <row r="2349" ht="22.5" customHeight="1">
      <c r="B2349" s="4" t="s">
        <v>8</v>
      </c>
      <c r="C2349" s="9">
        <v>46098.118310185186</v>
      </c>
      <c r="D2349" s="10"/>
      <c r="E2349" s="10">
        <f t="shared" si="2"/>
        <v>46098.11831</v>
      </c>
      <c r="F2349" s="10">
        <v>6.22</v>
      </c>
    </row>
    <row r="2350" ht="22.5" customHeight="1">
      <c r="B2350" s="4" t="s">
        <v>8</v>
      </c>
      <c r="C2350" s="9">
        <v>46098.12310185185</v>
      </c>
      <c r="D2350" s="10"/>
      <c r="E2350" s="10">
        <f t="shared" si="2"/>
        <v>46098.1231</v>
      </c>
      <c r="F2350" s="10">
        <v>6.17</v>
      </c>
    </row>
    <row r="2351" ht="22.5" customHeight="1">
      <c r="B2351" s="4" t="s">
        <v>8</v>
      </c>
      <c r="C2351" s="9">
        <v>46098.1237962963</v>
      </c>
      <c r="D2351" s="10"/>
      <c r="E2351" s="10">
        <f t="shared" si="2"/>
        <v>46098.1238</v>
      </c>
      <c r="F2351" s="10">
        <v>6.22</v>
      </c>
    </row>
    <row r="2352" ht="22.5" customHeight="1">
      <c r="B2352" s="4" t="s">
        <v>8</v>
      </c>
      <c r="C2352" s="9">
        <v>46098.13680555556</v>
      </c>
      <c r="D2352" s="10"/>
      <c r="E2352" s="10">
        <f t="shared" si="2"/>
        <v>46098.13681</v>
      </c>
      <c r="F2352" s="10">
        <v>6.17</v>
      </c>
    </row>
    <row r="2353" ht="22.5" customHeight="1">
      <c r="B2353" s="4" t="s">
        <v>8</v>
      </c>
      <c r="C2353" s="9">
        <v>46098.13748842593</v>
      </c>
      <c r="D2353" s="10"/>
      <c r="E2353" s="10">
        <f t="shared" si="2"/>
        <v>46098.13749</v>
      </c>
      <c r="F2353" s="10">
        <v>6.22</v>
      </c>
    </row>
    <row r="2354" ht="22.5" customHeight="1">
      <c r="B2354" s="4" t="s">
        <v>8</v>
      </c>
      <c r="C2354" s="9">
        <v>46098.15460648148</v>
      </c>
      <c r="D2354" s="10"/>
      <c r="E2354" s="10">
        <f t="shared" si="2"/>
        <v>46098.15461</v>
      </c>
      <c r="F2354" s="10">
        <v>6.17</v>
      </c>
    </row>
    <row r="2355" ht="22.5" customHeight="1">
      <c r="B2355" s="4" t="s">
        <v>8</v>
      </c>
      <c r="C2355" s="9">
        <v>46098.15528935185</v>
      </c>
      <c r="D2355" s="10"/>
      <c r="E2355" s="10">
        <f t="shared" si="2"/>
        <v>46098.15529</v>
      </c>
      <c r="F2355" s="10">
        <v>6.22</v>
      </c>
    </row>
    <row r="2356" ht="22.5" customHeight="1">
      <c r="B2356" s="4" t="s">
        <v>8</v>
      </c>
      <c r="C2356" s="9">
        <v>46098.15871527778</v>
      </c>
      <c r="D2356" s="10"/>
      <c r="E2356" s="10">
        <f t="shared" si="2"/>
        <v>46098.15872</v>
      </c>
      <c r="F2356" s="10">
        <v>6.17</v>
      </c>
    </row>
    <row r="2357" ht="22.5" customHeight="1">
      <c r="B2357" s="4" t="s">
        <v>8</v>
      </c>
      <c r="C2357" s="9">
        <v>46098.16898148148</v>
      </c>
      <c r="D2357" s="10"/>
      <c r="E2357" s="10">
        <f t="shared" si="2"/>
        <v>46098.16898</v>
      </c>
      <c r="F2357" s="10">
        <v>6.22</v>
      </c>
    </row>
    <row r="2358" ht="22.5" customHeight="1">
      <c r="B2358" s="4" t="s">
        <v>8</v>
      </c>
      <c r="C2358" s="9">
        <v>46098.16966435185</v>
      </c>
      <c r="D2358" s="10"/>
      <c r="E2358" s="10">
        <f t="shared" si="2"/>
        <v>46098.16966</v>
      </c>
      <c r="F2358" s="10">
        <v>6.17</v>
      </c>
    </row>
    <row r="2359" ht="22.5" customHeight="1">
      <c r="B2359" s="4" t="s">
        <v>8</v>
      </c>
      <c r="C2359" s="9">
        <v>46098.179247685184</v>
      </c>
      <c r="D2359" s="10"/>
      <c r="E2359" s="10">
        <f t="shared" si="2"/>
        <v>46098.17925</v>
      </c>
      <c r="F2359" s="10">
        <v>6.22</v>
      </c>
    </row>
    <row r="2360" ht="22.5" customHeight="1">
      <c r="B2360" s="4" t="s">
        <v>8</v>
      </c>
      <c r="C2360" s="9">
        <v>46098.18199074074</v>
      </c>
      <c r="D2360" s="10"/>
      <c r="E2360" s="10">
        <f t="shared" si="2"/>
        <v>46098.18199</v>
      </c>
      <c r="F2360" s="10">
        <v>6.17</v>
      </c>
    </row>
    <row r="2361" ht="22.5" customHeight="1">
      <c r="B2361" s="4" t="s">
        <v>8</v>
      </c>
      <c r="C2361" s="9">
        <v>46098.18814814815</v>
      </c>
      <c r="D2361" s="10"/>
      <c r="E2361" s="10">
        <f t="shared" si="2"/>
        <v>46098.18815</v>
      </c>
      <c r="F2361" s="10">
        <v>6.22</v>
      </c>
    </row>
    <row r="2362" ht="22.5" customHeight="1">
      <c r="B2362" s="4" t="s">
        <v>8</v>
      </c>
      <c r="C2362" s="9">
        <v>46098.18884259259</v>
      </c>
      <c r="D2362" s="10"/>
      <c r="E2362" s="10">
        <f t="shared" si="2"/>
        <v>46098.18884</v>
      </c>
      <c r="F2362" s="10">
        <v>6.17</v>
      </c>
    </row>
    <row r="2363" ht="22.5" customHeight="1">
      <c r="B2363" s="4" t="s">
        <v>8</v>
      </c>
      <c r="C2363" s="9">
        <v>46098.18952546296</v>
      </c>
      <c r="D2363" s="10"/>
      <c r="E2363" s="10">
        <f t="shared" si="2"/>
        <v>46098.18953</v>
      </c>
      <c r="F2363" s="10">
        <v>6.22</v>
      </c>
    </row>
    <row r="2364" ht="22.5" customHeight="1">
      <c r="B2364" s="4" t="s">
        <v>8</v>
      </c>
      <c r="C2364" s="9">
        <v>46098.19020833333</v>
      </c>
      <c r="D2364" s="10"/>
      <c r="E2364" s="10">
        <f t="shared" si="2"/>
        <v>46098.19021</v>
      </c>
      <c r="F2364" s="10">
        <v>6.17</v>
      </c>
    </row>
    <row r="2365" ht="22.5" customHeight="1">
      <c r="B2365" s="4" t="s">
        <v>8</v>
      </c>
      <c r="C2365" s="9">
        <v>46098.19225694444</v>
      </c>
      <c r="D2365" s="10"/>
      <c r="E2365" s="10">
        <f t="shared" si="2"/>
        <v>46098.19226</v>
      </c>
      <c r="F2365" s="10">
        <v>6.22</v>
      </c>
    </row>
    <row r="2366" ht="22.5" customHeight="1">
      <c r="B2366" s="4" t="s">
        <v>8</v>
      </c>
      <c r="C2366" s="9">
        <v>46098.19363425926</v>
      </c>
      <c r="D2366" s="10"/>
      <c r="E2366" s="10">
        <f t="shared" si="2"/>
        <v>46098.19363</v>
      </c>
      <c r="F2366" s="10">
        <v>6.17</v>
      </c>
    </row>
    <row r="2367" ht="22.5" customHeight="1">
      <c r="B2367" s="4" t="s">
        <v>8</v>
      </c>
      <c r="C2367" s="9">
        <v>46098.195</v>
      </c>
      <c r="D2367" s="10"/>
      <c r="E2367" s="10">
        <f t="shared" si="2"/>
        <v>46098.195</v>
      </c>
      <c r="F2367" s="10">
        <v>6.22</v>
      </c>
    </row>
    <row r="2368" ht="22.5" customHeight="1">
      <c r="B2368" s="4" t="s">
        <v>8</v>
      </c>
      <c r="C2368" s="9">
        <v>46098.19568287037</v>
      </c>
      <c r="D2368" s="10"/>
      <c r="E2368" s="10">
        <f t="shared" si="2"/>
        <v>46098.19568</v>
      </c>
      <c r="F2368" s="10">
        <v>6.17</v>
      </c>
    </row>
    <row r="2369" ht="22.5" customHeight="1">
      <c r="B2369" s="4" t="s">
        <v>8</v>
      </c>
      <c r="C2369" s="9">
        <v>46098.19636574074</v>
      </c>
      <c r="D2369" s="10"/>
      <c r="E2369" s="10">
        <f t="shared" si="2"/>
        <v>46098.19637</v>
      </c>
      <c r="F2369" s="10">
        <v>6.22</v>
      </c>
    </row>
    <row r="2370" ht="22.5" customHeight="1">
      <c r="B2370" s="4" t="s">
        <v>8</v>
      </c>
      <c r="C2370" s="9">
        <v>46098.20458333333</v>
      </c>
      <c r="D2370" s="10"/>
      <c r="E2370" s="10">
        <f t="shared" si="2"/>
        <v>46098.20458</v>
      </c>
      <c r="F2370" s="10">
        <v>6.17</v>
      </c>
    </row>
    <row r="2371" ht="22.5" customHeight="1">
      <c r="B2371" s="4" t="s">
        <v>8</v>
      </c>
      <c r="C2371" s="9">
        <v>46098.209375</v>
      </c>
      <c r="D2371" s="10"/>
      <c r="E2371" s="10">
        <f t="shared" si="2"/>
        <v>46098.20938</v>
      </c>
      <c r="F2371" s="10">
        <v>6.22</v>
      </c>
    </row>
    <row r="2372" ht="22.5" customHeight="1">
      <c r="B2372" s="4" t="s">
        <v>8</v>
      </c>
      <c r="C2372" s="9">
        <v>46098.212118055555</v>
      </c>
      <c r="D2372" s="10"/>
      <c r="E2372" s="10">
        <f t="shared" si="2"/>
        <v>46098.21212</v>
      </c>
      <c r="F2372" s="10">
        <v>6.17</v>
      </c>
    </row>
    <row r="2373" ht="22.5" customHeight="1">
      <c r="B2373" s="4" t="s">
        <v>8</v>
      </c>
      <c r="C2373" s="9">
        <v>46098.226493055554</v>
      </c>
      <c r="D2373" s="10"/>
      <c r="E2373" s="10">
        <f t="shared" si="2"/>
        <v>46098.22649</v>
      </c>
      <c r="F2373" s="10">
        <v>6.22</v>
      </c>
    </row>
    <row r="2374" ht="22.5" customHeight="1">
      <c r="B2374" s="4" t="s">
        <v>8</v>
      </c>
      <c r="C2374" s="9">
        <v>46098.227175925924</v>
      </c>
      <c r="D2374" s="10"/>
      <c r="E2374" s="10">
        <f t="shared" si="2"/>
        <v>46098.22718</v>
      </c>
      <c r="F2374" s="10">
        <v>6.17</v>
      </c>
    </row>
    <row r="2375" ht="22.5" customHeight="1">
      <c r="B2375" s="4" t="s">
        <v>8</v>
      </c>
      <c r="C2375" s="9">
        <v>46098.25525462963</v>
      </c>
      <c r="D2375" s="10"/>
      <c r="E2375" s="10">
        <f t="shared" si="2"/>
        <v>46098.25525</v>
      </c>
      <c r="F2375" s="10">
        <v>6.22</v>
      </c>
    </row>
    <row r="2376" ht="22.5" customHeight="1">
      <c r="B2376" s="4" t="s">
        <v>8</v>
      </c>
      <c r="C2376" s="9">
        <v>46098.26414351852</v>
      </c>
      <c r="D2376" s="10"/>
      <c r="E2376" s="10">
        <f t="shared" si="2"/>
        <v>46098.26414</v>
      </c>
      <c r="F2376" s="10">
        <v>6.17</v>
      </c>
    </row>
    <row r="2377" ht="22.5" customHeight="1">
      <c r="B2377" s="4" t="s">
        <v>8</v>
      </c>
      <c r="C2377" s="9">
        <v>46098.26482638889</v>
      </c>
      <c r="D2377" s="10"/>
      <c r="E2377" s="10">
        <f t="shared" si="2"/>
        <v>46098.26483</v>
      </c>
      <c r="F2377" s="10">
        <v>6.22</v>
      </c>
    </row>
    <row r="2378" ht="22.5" customHeight="1">
      <c r="B2378" s="4" t="s">
        <v>8</v>
      </c>
      <c r="C2378" s="9">
        <v>46098.26550925926</v>
      </c>
      <c r="D2378" s="10"/>
      <c r="E2378" s="10">
        <f t="shared" si="2"/>
        <v>46098.26551</v>
      </c>
      <c r="F2378" s="10">
        <v>6.17</v>
      </c>
    </row>
    <row r="2379" ht="22.5" customHeight="1">
      <c r="B2379" s="4" t="s">
        <v>8</v>
      </c>
      <c r="C2379" s="9">
        <v>46098.26756944445</v>
      </c>
      <c r="D2379" s="10"/>
      <c r="E2379" s="10">
        <f t="shared" si="2"/>
        <v>46098.26757</v>
      </c>
      <c r="F2379" s="10">
        <v>6.22</v>
      </c>
    </row>
    <row r="2380" ht="22.5" customHeight="1">
      <c r="B2380" s="4" t="s">
        <v>8</v>
      </c>
      <c r="C2380" s="9">
        <v>46098.273726851854</v>
      </c>
      <c r="D2380" s="10"/>
      <c r="E2380" s="10">
        <f t="shared" si="2"/>
        <v>46098.27373</v>
      </c>
      <c r="F2380" s="10">
        <v>6.17</v>
      </c>
    </row>
    <row r="2381" ht="22.5" customHeight="1">
      <c r="B2381" s="4" t="s">
        <v>8</v>
      </c>
      <c r="C2381" s="9">
        <v>46098.27578703704</v>
      </c>
      <c r="D2381" s="10"/>
      <c r="E2381" s="10">
        <f t="shared" si="2"/>
        <v>46098.27579</v>
      </c>
      <c r="F2381" s="10">
        <v>6.22</v>
      </c>
    </row>
    <row r="2382" ht="22.5" customHeight="1">
      <c r="B2382" s="4" t="s">
        <v>8</v>
      </c>
      <c r="C2382" s="9">
        <v>46098.28741898148</v>
      </c>
      <c r="D2382" s="10"/>
      <c r="E2382" s="10">
        <f t="shared" si="2"/>
        <v>46098.28742</v>
      </c>
      <c r="F2382" s="10">
        <v>6.17</v>
      </c>
    </row>
    <row r="2383" ht="22.5" customHeight="1">
      <c r="B2383" s="4" t="s">
        <v>8</v>
      </c>
      <c r="C2383" s="9">
        <v>46098.310011574074</v>
      </c>
      <c r="D2383" s="10"/>
      <c r="E2383" s="10">
        <f t="shared" si="2"/>
        <v>46098.31001</v>
      </c>
      <c r="F2383" s="10">
        <v>6.22</v>
      </c>
    </row>
    <row r="2384" ht="22.5" customHeight="1">
      <c r="B2384" s="4" t="s">
        <v>8</v>
      </c>
      <c r="C2384" s="9">
        <v>46098.32917824074</v>
      </c>
      <c r="D2384" s="10"/>
      <c r="E2384" s="10">
        <f t="shared" si="2"/>
        <v>46098.32918</v>
      </c>
      <c r="F2384" s="10">
        <v>6.33</v>
      </c>
    </row>
    <row r="2385" ht="22.5" customHeight="1">
      <c r="B2385" s="4" t="s">
        <v>8</v>
      </c>
      <c r="C2385" s="9">
        <v>46098.33534722222</v>
      </c>
      <c r="D2385" s="10"/>
      <c r="E2385" s="10">
        <f t="shared" si="2"/>
        <v>46098.33535</v>
      </c>
      <c r="F2385" s="10">
        <v>6.39</v>
      </c>
    </row>
    <row r="2386" ht="22.5" customHeight="1">
      <c r="B2386" s="4" t="s">
        <v>8</v>
      </c>
      <c r="C2386" s="9">
        <v>46098.348344907405</v>
      </c>
      <c r="D2386" s="10"/>
      <c r="E2386" s="10">
        <f t="shared" si="2"/>
        <v>46098.34834</v>
      </c>
      <c r="F2386" s="10">
        <v>6.33</v>
      </c>
    </row>
    <row r="2387" ht="22.5" customHeight="1">
      <c r="B2387" s="4" t="s">
        <v>8</v>
      </c>
      <c r="C2387" s="9">
        <v>46098.35724537037</v>
      </c>
      <c r="D2387" s="10"/>
      <c r="E2387" s="10">
        <f t="shared" si="2"/>
        <v>46098.35725</v>
      </c>
      <c r="F2387" s="10">
        <v>6.39</v>
      </c>
    </row>
    <row r="2388" ht="22.5" customHeight="1">
      <c r="B2388" s="4" t="s">
        <v>8</v>
      </c>
      <c r="C2388" s="9">
        <v>46098.36271990741</v>
      </c>
      <c r="D2388" s="10"/>
      <c r="E2388" s="10">
        <f t="shared" si="2"/>
        <v>46098.36272</v>
      </c>
      <c r="F2388" s="10">
        <v>6.33</v>
      </c>
    </row>
    <row r="2389" ht="22.5" customHeight="1">
      <c r="B2389" s="4" t="s">
        <v>8</v>
      </c>
      <c r="C2389" s="9">
        <v>46098.36752314815</v>
      </c>
      <c r="D2389" s="10"/>
      <c r="E2389" s="10">
        <f t="shared" si="2"/>
        <v>46098.36752</v>
      </c>
      <c r="F2389" s="10">
        <v>6.39</v>
      </c>
    </row>
    <row r="2390" ht="22.5" customHeight="1">
      <c r="B2390" s="4" t="s">
        <v>8</v>
      </c>
      <c r="C2390" s="9">
        <v>46098.3709375</v>
      </c>
      <c r="D2390" s="10"/>
      <c r="E2390" s="10">
        <f t="shared" si="2"/>
        <v>46098.37094</v>
      </c>
      <c r="F2390" s="10">
        <v>6.33</v>
      </c>
    </row>
    <row r="2391" ht="22.5" customHeight="1">
      <c r="B2391" s="4" t="s">
        <v>8</v>
      </c>
      <c r="C2391" s="9">
        <v>46098.37299768518</v>
      </c>
      <c r="D2391" s="10"/>
      <c r="E2391" s="10">
        <f t="shared" si="2"/>
        <v>46098.373</v>
      </c>
      <c r="F2391" s="10">
        <v>6.39</v>
      </c>
    </row>
    <row r="2392" ht="22.5" customHeight="1">
      <c r="B2392" s="4" t="s">
        <v>8</v>
      </c>
      <c r="C2392" s="9">
        <v>46098.37572916667</v>
      </c>
      <c r="D2392" s="10"/>
      <c r="E2392" s="10">
        <f t="shared" si="2"/>
        <v>46098.37573</v>
      </c>
      <c r="F2392" s="10">
        <v>6.33</v>
      </c>
    </row>
    <row r="2393" ht="22.5" customHeight="1">
      <c r="B2393" s="4" t="s">
        <v>8</v>
      </c>
      <c r="C2393" s="9">
        <v>46098.37642361111</v>
      </c>
      <c r="D2393" s="10"/>
      <c r="E2393" s="10">
        <f t="shared" si="2"/>
        <v>46098.37642</v>
      </c>
      <c r="F2393" s="10">
        <v>6.39</v>
      </c>
    </row>
    <row r="2394" ht="22.5" customHeight="1">
      <c r="B2394" s="4" t="s">
        <v>8</v>
      </c>
      <c r="C2394" s="9">
        <v>46098.379849537036</v>
      </c>
      <c r="D2394" s="10"/>
      <c r="E2394" s="10">
        <f t="shared" si="2"/>
        <v>46098.37985</v>
      </c>
      <c r="F2394" s="10">
        <v>6.33</v>
      </c>
    </row>
    <row r="2395" ht="22.5" customHeight="1">
      <c r="B2395" s="4" t="s">
        <v>8</v>
      </c>
      <c r="C2395" s="9">
        <v>46098.382581018515</v>
      </c>
      <c r="D2395" s="10"/>
      <c r="E2395" s="10">
        <f t="shared" si="2"/>
        <v>46098.38258</v>
      </c>
      <c r="F2395" s="10">
        <v>6.39</v>
      </c>
    </row>
    <row r="2396" ht="22.5" customHeight="1">
      <c r="B2396" s="4" t="s">
        <v>8</v>
      </c>
      <c r="C2396" s="9">
        <v>46098.38737268518</v>
      </c>
      <c r="D2396" s="10"/>
      <c r="E2396" s="10">
        <f t="shared" si="2"/>
        <v>46098.38737</v>
      </c>
      <c r="F2396" s="10">
        <v>6.33</v>
      </c>
    </row>
    <row r="2397" ht="22.5" customHeight="1">
      <c r="B2397" s="4" t="s">
        <v>8</v>
      </c>
      <c r="C2397" s="9">
        <v>46098.38805555556</v>
      </c>
      <c r="D2397" s="10"/>
      <c r="E2397" s="10">
        <f t="shared" si="2"/>
        <v>46098.38806</v>
      </c>
      <c r="F2397" s="10">
        <v>6.39</v>
      </c>
    </row>
    <row r="2398" ht="22.5" customHeight="1">
      <c r="B2398" s="4" t="s">
        <v>8</v>
      </c>
      <c r="C2398" s="9">
        <v>46098.39148148148</v>
      </c>
      <c r="D2398" s="10"/>
      <c r="E2398" s="10">
        <f t="shared" si="2"/>
        <v>46098.39148</v>
      </c>
      <c r="F2398" s="10">
        <v>6.33</v>
      </c>
    </row>
    <row r="2399" ht="22.5" customHeight="1">
      <c r="B2399" s="4" t="s">
        <v>8</v>
      </c>
      <c r="C2399" s="9">
        <v>46098.41202546296</v>
      </c>
      <c r="D2399" s="10"/>
      <c r="E2399" s="10">
        <f t="shared" si="2"/>
        <v>46098.41203</v>
      </c>
      <c r="F2399" s="10">
        <v>6.39</v>
      </c>
    </row>
    <row r="2400" ht="22.5" customHeight="1">
      <c r="B2400" s="4" t="s">
        <v>8</v>
      </c>
      <c r="C2400" s="9">
        <v>46098.429143518515</v>
      </c>
      <c r="D2400" s="10"/>
      <c r="E2400" s="10">
        <f t="shared" si="2"/>
        <v>46098.42914</v>
      </c>
      <c r="F2400" s="10">
        <v>6.33</v>
      </c>
    </row>
    <row r="2401" ht="22.5" customHeight="1">
      <c r="B2401" s="4" t="s">
        <v>8</v>
      </c>
      <c r="C2401" s="9">
        <v>46098.42982638889</v>
      </c>
      <c r="D2401" s="10"/>
      <c r="E2401" s="10">
        <f t="shared" si="2"/>
        <v>46098.42983</v>
      </c>
      <c r="F2401" s="10">
        <v>6.39</v>
      </c>
    </row>
    <row r="2402" ht="22.5" customHeight="1">
      <c r="B2402" s="4" t="s">
        <v>8</v>
      </c>
      <c r="C2402" s="9">
        <v>46098.43736111111</v>
      </c>
      <c r="D2402" s="10"/>
      <c r="E2402" s="10">
        <f t="shared" si="2"/>
        <v>46098.43736</v>
      </c>
      <c r="F2402" s="10">
        <v>6.33</v>
      </c>
    </row>
    <row r="2403" ht="22.5" customHeight="1">
      <c r="B2403" s="4" t="s">
        <v>8</v>
      </c>
      <c r="C2403" s="9">
        <v>46098.438043981485</v>
      </c>
      <c r="D2403" s="10"/>
      <c r="E2403" s="10">
        <f t="shared" si="2"/>
        <v>46098.43804</v>
      </c>
      <c r="F2403" s="10">
        <v>6.39</v>
      </c>
    </row>
    <row r="2404" ht="22.5" customHeight="1">
      <c r="B2404" s="4" t="s">
        <v>8</v>
      </c>
      <c r="C2404" s="9">
        <v>46098.51474537037</v>
      </c>
      <c r="D2404" s="10"/>
      <c r="E2404" s="10">
        <f t="shared" si="2"/>
        <v>46098.51475</v>
      </c>
      <c r="F2404" s="10">
        <v>5.32</v>
      </c>
    </row>
    <row r="2405" ht="22.5" customHeight="1">
      <c r="B2405" s="4" t="s">
        <v>8</v>
      </c>
      <c r="C2405" s="9">
        <v>46098.52228009259</v>
      </c>
      <c r="D2405" s="10"/>
      <c r="E2405" s="10">
        <f t="shared" si="2"/>
        <v>46098.52228</v>
      </c>
      <c r="F2405" s="10">
        <v>5.4</v>
      </c>
    </row>
    <row r="2406" ht="22.5" customHeight="1">
      <c r="B2406" s="4" t="s">
        <v>8</v>
      </c>
      <c r="C2406" s="9">
        <v>46098.52434027778</v>
      </c>
      <c r="D2406" s="10"/>
      <c r="E2406" s="10">
        <f t="shared" si="2"/>
        <v>46098.52434</v>
      </c>
      <c r="F2406" s="10">
        <v>5.32</v>
      </c>
    </row>
    <row r="2407" ht="22.5" customHeight="1">
      <c r="B2407" s="4" t="s">
        <v>8</v>
      </c>
      <c r="C2407" s="9">
        <v>46098.52502314815</v>
      </c>
      <c r="D2407" s="10"/>
      <c r="E2407" s="10">
        <f t="shared" si="2"/>
        <v>46098.52502</v>
      </c>
      <c r="F2407" s="10">
        <v>5.4</v>
      </c>
    </row>
    <row r="2408" ht="22.5" customHeight="1">
      <c r="B2408" s="4" t="s">
        <v>8</v>
      </c>
      <c r="C2408" s="9">
        <v>46098.58461805555</v>
      </c>
      <c r="D2408" s="10"/>
      <c r="E2408" s="10">
        <f t="shared" si="2"/>
        <v>46098.58462</v>
      </c>
      <c r="F2408" s="10">
        <v>5.45</v>
      </c>
    </row>
    <row r="2409" ht="22.5" customHeight="1">
      <c r="B2409" s="4" t="s">
        <v>8</v>
      </c>
      <c r="C2409" s="9">
        <v>46098.58736111111</v>
      </c>
      <c r="D2409" s="10"/>
      <c r="E2409" s="10">
        <f t="shared" si="2"/>
        <v>46098.58736</v>
      </c>
      <c r="F2409" s="10">
        <v>5.5</v>
      </c>
    </row>
    <row r="2410" ht="22.5" customHeight="1">
      <c r="B2410" s="4" t="s">
        <v>8</v>
      </c>
      <c r="C2410" s="9">
        <v>46098.590104166666</v>
      </c>
      <c r="D2410" s="10"/>
      <c r="E2410" s="10">
        <f t="shared" si="2"/>
        <v>46098.5901</v>
      </c>
      <c r="F2410" s="10">
        <v>5.45</v>
      </c>
    </row>
    <row r="2411" ht="22.5" customHeight="1">
      <c r="B2411" s="4" t="s">
        <v>8</v>
      </c>
      <c r="C2411" s="9">
        <v>46098.59421296296</v>
      </c>
      <c r="D2411" s="10"/>
      <c r="E2411" s="10">
        <f t="shared" si="2"/>
        <v>46098.59421</v>
      </c>
      <c r="F2411" s="10">
        <v>5.5</v>
      </c>
    </row>
    <row r="2412" ht="22.5" customHeight="1">
      <c r="B2412" s="4" t="s">
        <v>8</v>
      </c>
      <c r="C2412" s="9">
        <v>46098.60928240741</v>
      </c>
      <c r="D2412" s="10"/>
      <c r="E2412" s="10">
        <f t="shared" si="2"/>
        <v>46098.60928</v>
      </c>
      <c r="F2412" s="10">
        <v>5.57</v>
      </c>
    </row>
    <row r="2413" ht="22.5" customHeight="1">
      <c r="B2413" s="4" t="s">
        <v>8</v>
      </c>
      <c r="C2413" s="9">
        <v>46098.62778935185</v>
      </c>
      <c r="D2413" s="10"/>
      <c r="E2413" s="10">
        <f t="shared" si="2"/>
        <v>46098.62779</v>
      </c>
      <c r="F2413" s="10">
        <v>5.5</v>
      </c>
    </row>
    <row r="2414" ht="22.5" customHeight="1">
      <c r="B2414" s="4" t="s">
        <v>8</v>
      </c>
      <c r="C2414" s="9">
        <v>46098.631203703706</v>
      </c>
      <c r="D2414" s="10"/>
      <c r="E2414" s="10">
        <f t="shared" si="2"/>
        <v>46098.6312</v>
      </c>
      <c r="F2414" s="10">
        <v>5.57</v>
      </c>
    </row>
    <row r="2415" ht="22.5" customHeight="1">
      <c r="B2415" s="4" t="s">
        <v>8</v>
      </c>
      <c r="C2415" s="9">
        <v>46098.632581018515</v>
      </c>
      <c r="D2415" s="10"/>
      <c r="E2415" s="10">
        <f t="shared" si="2"/>
        <v>46098.63258</v>
      </c>
      <c r="F2415" s="10">
        <v>5.5</v>
      </c>
    </row>
    <row r="2416" ht="22.5" customHeight="1">
      <c r="B2416" s="4" t="s">
        <v>8</v>
      </c>
      <c r="C2416" s="9">
        <v>46098.63532407407</v>
      </c>
      <c r="D2416" s="10"/>
      <c r="E2416" s="10">
        <f t="shared" si="2"/>
        <v>46098.63532</v>
      </c>
      <c r="F2416" s="10">
        <v>5.57</v>
      </c>
    </row>
    <row r="2417" ht="22.5" customHeight="1">
      <c r="B2417" s="4" t="s">
        <v>8</v>
      </c>
      <c r="C2417" s="9">
        <v>46098.67710648148</v>
      </c>
      <c r="D2417" s="10"/>
      <c r="E2417" s="10">
        <f t="shared" si="2"/>
        <v>46098.67711</v>
      </c>
      <c r="F2417" s="10">
        <v>5.8</v>
      </c>
    </row>
    <row r="2418" ht="22.5" customHeight="1">
      <c r="B2418" s="4" t="s">
        <v>8</v>
      </c>
      <c r="C2418" s="9">
        <v>46098.68944444445</v>
      </c>
      <c r="D2418" s="10"/>
      <c r="E2418" s="10">
        <f t="shared" si="2"/>
        <v>46098.68944</v>
      </c>
      <c r="F2418" s="10">
        <v>5.92</v>
      </c>
    </row>
    <row r="2419" ht="22.5" customHeight="1">
      <c r="B2419" s="4" t="s">
        <v>8</v>
      </c>
      <c r="C2419" s="9">
        <v>46098.69972222222</v>
      </c>
      <c r="D2419" s="10"/>
      <c r="E2419" s="10">
        <f t="shared" si="2"/>
        <v>46098.69972</v>
      </c>
      <c r="F2419" s="10">
        <v>6.0</v>
      </c>
    </row>
    <row r="2420" ht="22.5" customHeight="1">
      <c r="B2420" s="4" t="s">
        <v>8</v>
      </c>
      <c r="C2420" s="9">
        <v>46098.726435185185</v>
      </c>
      <c r="D2420" s="10"/>
      <c r="E2420" s="10">
        <f t="shared" si="2"/>
        <v>46098.72644</v>
      </c>
      <c r="F2420" s="10">
        <v>6.1</v>
      </c>
    </row>
    <row r="2421" ht="22.5" customHeight="1">
      <c r="B2421" s="4" t="s">
        <v>8</v>
      </c>
      <c r="C2421" s="9">
        <v>46098.74015046296</v>
      </c>
      <c r="D2421" s="10"/>
      <c r="E2421" s="10">
        <f t="shared" si="2"/>
        <v>46098.74015</v>
      </c>
      <c r="F2421" s="10">
        <v>6.17</v>
      </c>
    </row>
    <row r="2422" ht="22.5" customHeight="1">
      <c r="B2422" s="4" t="s">
        <v>8</v>
      </c>
      <c r="C2422" s="9">
        <v>46098.78193287037</v>
      </c>
      <c r="D2422" s="10"/>
      <c r="E2422" s="10">
        <f t="shared" si="2"/>
        <v>46098.78193</v>
      </c>
      <c r="F2422" s="10">
        <v>6.27</v>
      </c>
    </row>
    <row r="2423" ht="22.5" customHeight="1">
      <c r="B2423" s="4" t="s">
        <v>8</v>
      </c>
      <c r="C2423" s="9">
        <v>46098.78261574074</v>
      </c>
      <c r="D2423" s="10"/>
      <c r="E2423" s="10">
        <f t="shared" si="2"/>
        <v>46098.78262</v>
      </c>
      <c r="F2423" s="10">
        <v>6.22</v>
      </c>
    </row>
    <row r="2424" ht="22.5" customHeight="1">
      <c r="B2424" s="4" t="s">
        <v>8</v>
      </c>
      <c r="C2424" s="9">
        <v>46098.78466435185</v>
      </c>
      <c r="D2424" s="10"/>
      <c r="E2424" s="10">
        <f t="shared" si="2"/>
        <v>46098.78466</v>
      </c>
      <c r="F2424" s="10">
        <v>6.39</v>
      </c>
    </row>
    <row r="2425" ht="22.5" customHeight="1">
      <c r="B2425" s="4" t="s">
        <v>8</v>
      </c>
      <c r="C2425" s="9">
        <v>46098.79173611111</v>
      </c>
      <c r="D2425" s="10"/>
      <c r="E2425" s="10">
        <f t="shared" si="2"/>
        <v>46098.79174</v>
      </c>
      <c r="F2425" s="10">
        <v>6.56</v>
      </c>
    </row>
    <row r="2426" ht="22.5" customHeight="1">
      <c r="B2426" s="4" t="s">
        <v>8</v>
      </c>
      <c r="C2426" s="9">
        <v>46098.82258101852</v>
      </c>
      <c r="D2426" s="10"/>
      <c r="E2426" s="10">
        <f t="shared" si="2"/>
        <v>46098.82258</v>
      </c>
      <c r="F2426" s="10">
        <v>7.56</v>
      </c>
    </row>
    <row r="2427" ht="22.5" customHeight="1">
      <c r="B2427" s="4" t="s">
        <v>8</v>
      </c>
      <c r="C2427" s="9">
        <v>46098.82393518519</v>
      </c>
      <c r="D2427" s="10"/>
      <c r="E2427" s="10">
        <f t="shared" si="2"/>
        <v>46098.82394</v>
      </c>
      <c r="F2427" s="10">
        <v>7.89</v>
      </c>
    </row>
    <row r="2428" ht="22.5" customHeight="1">
      <c r="B2428" s="4" t="s">
        <v>8</v>
      </c>
      <c r="C2428" s="9">
        <v>46098.82461805556</v>
      </c>
      <c r="D2428" s="10"/>
      <c r="E2428" s="10">
        <f t="shared" si="2"/>
        <v>46098.82462</v>
      </c>
      <c r="F2428" s="10">
        <v>7.73</v>
      </c>
    </row>
    <row r="2429" ht="22.5" customHeight="1">
      <c r="B2429" s="4" t="s">
        <v>8</v>
      </c>
      <c r="C2429" s="9">
        <v>46098.82599537037</v>
      </c>
      <c r="D2429" s="10"/>
      <c r="E2429" s="10">
        <f t="shared" si="2"/>
        <v>46098.826</v>
      </c>
      <c r="F2429" s="10">
        <v>7.95</v>
      </c>
    </row>
    <row r="2430" ht="22.5" customHeight="1">
      <c r="B2430" s="4" t="s">
        <v>8</v>
      </c>
      <c r="C2430" s="9">
        <v>46098.83489583333</v>
      </c>
      <c r="D2430" s="10"/>
      <c r="E2430" s="10">
        <f t="shared" si="2"/>
        <v>46098.8349</v>
      </c>
      <c r="F2430" s="10">
        <v>7.89</v>
      </c>
    </row>
    <row r="2431" ht="22.5" customHeight="1">
      <c r="B2431" s="4" t="s">
        <v>8</v>
      </c>
      <c r="C2431" s="9">
        <v>46098.84106481481</v>
      </c>
      <c r="D2431" s="10"/>
      <c r="E2431" s="10">
        <f t="shared" si="2"/>
        <v>46098.84106</v>
      </c>
      <c r="F2431" s="10">
        <v>7.95</v>
      </c>
    </row>
    <row r="2432" ht="22.5" customHeight="1">
      <c r="B2432" s="4" t="s">
        <v>8</v>
      </c>
      <c r="C2432" s="9">
        <v>46098.84174768518</v>
      </c>
      <c r="D2432" s="10"/>
      <c r="E2432" s="10">
        <f t="shared" si="2"/>
        <v>46098.84175</v>
      </c>
      <c r="F2432" s="10">
        <v>7.89</v>
      </c>
    </row>
    <row r="2433" ht="22.5" customHeight="1">
      <c r="B2433" s="4" t="s">
        <v>8</v>
      </c>
      <c r="C2433" s="9">
        <v>46098.84311342592</v>
      </c>
      <c r="D2433" s="10"/>
      <c r="E2433" s="10">
        <f t="shared" si="2"/>
        <v>46098.84311</v>
      </c>
      <c r="F2433" s="10">
        <v>7.14</v>
      </c>
    </row>
    <row r="2434" ht="22.5" customHeight="1">
      <c r="B2434" s="4" t="s">
        <v>8</v>
      </c>
      <c r="C2434" s="9">
        <v>46098.84722222222</v>
      </c>
      <c r="D2434" s="10"/>
      <c r="E2434" s="10">
        <f t="shared" si="2"/>
        <v>46098.84722</v>
      </c>
      <c r="F2434" s="10">
        <v>7.1</v>
      </c>
    </row>
    <row r="2435" ht="22.5" customHeight="1">
      <c r="B2435" s="4" t="s">
        <v>8</v>
      </c>
      <c r="C2435" s="9">
        <v>46098.85475694444</v>
      </c>
      <c r="D2435" s="10"/>
      <c r="E2435" s="10">
        <f t="shared" si="2"/>
        <v>46098.85476</v>
      </c>
      <c r="F2435" s="10">
        <v>7.03</v>
      </c>
    </row>
    <row r="2436" ht="22.5" customHeight="1">
      <c r="B2436" s="4" t="s">
        <v>8</v>
      </c>
      <c r="C2436" s="9">
        <v>46098.85681712963</v>
      </c>
      <c r="D2436" s="10"/>
      <c r="E2436" s="10">
        <f t="shared" si="2"/>
        <v>46098.85682</v>
      </c>
      <c r="F2436" s="10">
        <v>7.1</v>
      </c>
    </row>
    <row r="2437" ht="22.5" customHeight="1">
      <c r="B2437" s="4" t="s">
        <v>8</v>
      </c>
      <c r="C2437" s="9">
        <v>46098.8575</v>
      </c>
      <c r="D2437" s="10"/>
      <c r="E2437" s="10">
        <f t="shared" si="2"/>
        <v>46098.8575</v>
      </c>
      <c r="F2437" s="10">
        <v>7.03</v>
      </c>
    </row>
    <row r="2438" ht="22.5" customHeight="1">
      <c r="B2438" s="4" t="s">
        <v>8</v>
      </c>
      <c r="C2438" s="9">
        <v>46098.85818287037</v>
      </c>
      <c r="D2438" s="10"/>
      <c r="E2438" s="10">
        <f t="shared" si="2"/>
        <v>46098.85818</v>
      </c>
      <c r="F2438" s="10">
        <v>7.1</v>
      </c>
    </row>
    <row r="2439" ht="22.5" customHeight="1">
      <c r="B2439" s="4" t="s">
        <v>8</v>
      </c>
      <c r="C2439" s="9">
        <v>46098.85886574074</v>
      </c>
      <c r="D2439" s="10"/>
      <c r="E2439" s="10">
        <f t="shared" si="2"/>
        <v>46098.85887</v>
      </c>
      <c r="F2439" s="10">
        <v>7.03</v>
      </c>
    </row>
    <row r="2440" ht="22.5" customHeight="1">
      <c r="B2440" s="4" t="s">
        <v>8</v>
      </c>
      <c r="C2440" s="9">
        <v>46098.86708333333</v>
      </c>
      <c r="D2440" s="10"/>
      <c r="E2440" s="10">
        <f t="shared" si="2"/>
        <v>46098.86708</v>
      </c>
      <c r="F2440" s="10">
        <v>7.14</v>
      </c>
    </row>
    <row r="2441" ht="22.5" customHeight="1">
      <c r="B2441" s="4" t="s">
        <v>8</v>
      </c>
      <c r="C2441" s="9">
        <v>46098.86982638889</v>
      </c>
      <c r="D2441" s="10"/>
      <c r="E2441" s="10">
        <f t="shared" si="2"/>
        <v>46098.86983</v>
      </c>
      <c r="F2441" s="10">
        <v>7.1</v>
      </c>
    </row>
    <row r="2442" ht="22.5" customHeight="1">
      <c r="B2442" s="4" t="s">
        <v>8</v>
      </c>
      <c r="C2442" s="9">
        <v>46098.87461805555</v>
      </c>
      <c r="D2442" s="10"/>
      <c r="E2442" s="10">
        <f t="shared" si="2"/>
        <v>46098.87462</v>
      </c>
      <c r="F2442" s="10">
        <v>7.14</v>
      </c>
    </row>
    <row r="2443" ht="22.5" customHeight="1">
      <c r="B2443" s="4" t="s">
        <v>8</v>
      </c>
      <c r="C2443" s="9">
        <v>46098.87736111111</v>
      </c>
      <c r="D2443" s="10"/>
      <c r="E2443" s="10">
        <f t="shared" si="2"/>
        <v>46098.87736</v>
      </c>
      <c r="F2443" s="10">
        <v>7.1</v>
      </c>
    </row>
    <row r="2444" ht="22.5" customHeight="1">
      <c r="B2444" s="4" t="s">
        <v>8</v>
      </c>
      <c r="C2444" s="9">
        <v>46098.88146990741</v>
      </c>
      <c r="D2444" s="10"/>
      <c r="E2444" s="10">
        <f t="shared" si="2"/>
        <v>46098.88147</v>
      </c>
      <c r="F2444" s="10">
        <v>7.14</v>
      </c>
    </row>
    <row r="2445" ht="22.5" customHeight="1">
      <c r="B2445" s="4" t="s">
        <v>8</v>
      </c>
      <c r="C2445" s="9">
        <v>46098.93556712963</v>
      </c>
      <c r="D2445" s="10"/>
      <c r="E2445" s="10">
        <f t="shared" si="2"/>
        <v>46098.93557</v>
      </c>
      <c r="F2445" s="10">
        <v>7.2</v>
      </c>
    </row>
    <row r="2446" ht="22.5" customHeight="1">
      <c r="B2446" s="4" t="s">
        <v>8</v>
      </c>
      <c r="C2446" s="9">
        <v>46098.93625</v>
      </c>
      <c r="D2446" s="10"/>
      <c r="E2446" s="10">
        <f t="shared" si="2"/>
        <v>46098.93625</v>
      </c>
      <c r="F2446" s="10">
        <v>7.14</v>
      </c>
    </row>
    <row r="2447" ht="22.5" customHeight="1">
      <c r="B2447" s="4" t="s">
        <v>8</v>
      </c>
      <c r="C2447" s="9">
        <v>46098.94836805556</v>
      </c>
      <c r="D2447" s="10"/>
      <c r="E2447" s="10">
        <f t="shared" si="2"/>
        <v>46098.94837</v>
      </c>
      <c r="F2447" s="10">
        <v>6.98</v>
      </c>
    </row>
    <row r="2448" ht="22.5" customHeight="1">
      <c r="B2448" s="4" t="s">
        <v>8</v>
      </c>
      <c r="C2448" s="9">
        <v>46099.02773148148</v>
      </c>
      <c r="D2448" s="10"/>
      <c r="E2448" s="10">
        <f t="shared" si="2"/>
        <v>46099.02773</v>
      </c>
      <c r="F2448" s="10">
        <v>7.03</v>
      </c>
    </row>
    <row r="2449" ht="22.5" customHeight="1">
      <c r="B2449" s="4" t="s">
        <v>8</v>
      </c>
      <c r="C2449" s="9">
        <v>46099.02841435185</v>
      </c>
      <c r="D2449" s="10"/>
      <c r="E2449" s="10">
        <f t="shared" si="2"/>
        <v>46099.02841</v>
      </c>
      <c r="F2449" s="10">
        <v>6.98</v>
      </c>
    </row>
    <row r="2450" ht="22.5" customHeight="1">
      <c r="B2450" s="4" t="s">
        <v>8</v>
      </c>
      <c r="C2450" s="9">
        <v>46099.034583333334</v>
      </c>
      <c r="D2450" s="10"/>
      <c r="E2450" s="10">
        <f t="shared" si="2"/>
        <v>46099.03458</v>
      </c>
      <c r="F2450" s="10">
        <v>7.03</v>
      </c>
    </row>
    <row r="2451" ht="22.5" customHeight="1">
      <c r="B2451" s="4" t="s">
        <v>8</v>
      </c>
      <c r="C2451" s="9">
        <v>46099.035266203704</v>
      </c>
      <c r="D2451" s="10"/>
      <c r="E2451" s="10">
        <f t="shared" si="2"/>
        <v>46099.03527</v>
      </c>
      <c r="F2451" s="10">
        <v>6.98</v>
      </c>
    </row>
    <row r="2452" ht="22.5" customHeight="1">
      <c r="B2452" s="4" t="s">
        <v>8</v>
      </c>
      <c r="C2452" s="9">
        <v>46099.036631944444</v>
      </c>
      <c r="D2452" s="10"/>
      <c r="E2452" s="10">
        <f t="shared" si="2"/>
        <v>46099.03663</v>
      </c>
      <c r="F2452" s="10">
        <v>7.03</v>
      </c>
    </row>
    <row r="2453" ht="22.5" customHeight="1">
      <c r="B2453" s="4" t="s">
        <v>8</v>
      </c>
      <c r="C2453" s="9">
        <v>46099.03732638889</v>
      </c>
      <c r="D2453" s="10"/>
      <c r="E2453" s="10">
        <f t="shared" si="2"/>
        <v>46099.03733</v>
      </c>
      <c r="F2453" s="10">
        <v>6.98</v>
      </c>
    </row>
    <row r="2454" ht="22.5" customHeight="1">
      <c r="B2454" s="4" t="s">
        <v>8</v>
      </c>
      <c r="C2454" s="9">
        <v>46099.04280092593</v>
      </c>
      <c r="D2454" s="10"/>
      <c r="E2454" s="10">
        <f t="shared" si="2"/>
        <v>46099.0428</v>
      </c>
      <c r="F2454" s="10">
        <v>7.03</v>
      </c>
    </row>
    <row r="2455" ht="22.5" customHeight="1">
      <c r="B2455" s="4" t="s">
        <v>8</v>
      </c>
      <c r="C2455" s="9">
        <v>46099.0434837963</v>
      </c>
      <c r="D2455" s="10"/>
      <c r="E2455" s="10">
        <f t="shared" si="2"/>
        <v>46099.04348</v>
      </c>
      <c r="F2455" s="10">
        <v>6.98</v>
      </c>
    </row>
    <row r="2456" ht="22.5" customHeight="1">
      <c r="B2456" s="4" t="s">
        <v>8</v>
      </c>
      <c r="C2456" s="9">
        <v>46099.04416666667</v>
      </c>
      <c r="D2456" s="10"/>
      <c r="E2456" s="10">
        <f t="shared" si="2"/>
        <v>46099.04417</v>
      </c>
      <c r="F2456" s="10">
        <v>7.03</v>
      </c>
    </row>
    <row r="2457" ht="22.5" customHeight="1">
      <c r="B2457" s="4" t="s">
        <v>8</v>
      </c>
      <c r="C2457" s="9">
        <v>46099.04486111111</v>
      </c>
      <c r="D2457" s="10"/>
      <c r="E2457" s="10">
        <f t="shared" si="2"/>
        <v>46099.04486</v>
      </c>
      <c r="F2457" s="10">
        <v>6.98</v>
      </c>
    </row>
    <row r="2458" ht="22.5" customHeight="1">
      <c r="B2458" s="4" t="s">
        <v>8</v>
      </c>
      <c r="C2458" s="9">
        <v>46099.04895833333</v>
      </c>
      <c r="D2458" s="10"/>
      <c r="E2458" s="10">
        <f t="shared" si="2"/>
        <v>46099.04896</v>
      </c>
      <c r="F2458" s="10">
        <v>7.03</v>
      </c>
    </row>
    <row r="2459" ht="22.5" customHeight="1">
      <c r="B2459" s="4" t="s">
        <v>8</v>
      </c>
      <c r="C2459" s="9">
        <v>46099.0496412037</v>
      </c>
      <c r="D2459" s="10"/>
      <c r="E2459" s="10">
        <f t="shared" si="2"/>
        <v>46099.04964</v>
      </c>
      <c r="F2459" s="10">
        <v>6.98</v>
      </c>
    </row>
    <row r="2460" ht="22.5" customHeight="1">
      <c r="B2460" s="4" t="s">
        <v>8</v>
      </c>
      <c r="C2460" s="9">
        <v>46099.05033564815</v>
      </c>
      <c r="D2460" s="10"/>
      <c r="E2460" s="10">
        <f t="shared" si="2"/>
        <v>46099.05034</v>
      </c>
      <c r="F2460" s="10">
        <v>7.03</v>
      </c>
    </row>
    <row r="2461" ht="22.5" customHeight="1">
      <c r="B2461" s="4" t="s">
        <v>8</v>
      </c>
      <c r="C2461" s="9">
        <v>46099.05170138889</v>
      </c>
      <c r="D2461" s="10"/>
      <c r="E2461" s="10">
        <f t="shared" si="2"/>
        <v>46099.0517</v>
      </c>
      <c r="F2461" s="10">
        <v>6.98</v>
      </c>
    </row>
    <row r="2462" ht="22.5" customHeight="1">
      <c r="B2462" s="4" t="s">
        <v>8</v>
      </c>
      <c r="C2462" s="9">
        <v>46099.05306712963</v>
      </c>
      <c r="D2462" s="10"/>
      <c r="E2462" s="10">
        <f t="shared" si="2"/>
        <v>46099.05307</v>
      </c>
      <c r="F2462" s="10">
        <v>7.03</v>
      </c>
    </row>
    <row r="2463" ht="22.5" customHeight="1">
      <c r="B2463" s="4" t="s">
        <v>8</v>
      </c>
      <c r="C2463" s="9">
        <v>46099.054444444446</v>
      </c>
      <c r="D2463" s="10"/>
      <c r="E2463" s="10">
        <f t="shared" si="2"/>
        <v>46099.05444</v>
      </c>
      <c r="F2463" s="10">
        <v>6.98</v>
      </c>
    </row>
    <row r="2464" ht="22.5" customHeight="1">
      <c r="B2464" s="4" t="s">
        <v>8</v>
      </c>
      <c r="C2464" s="9">
        <v>46099.05582175926</v>
      </c>
      <c r="D2464" s="10"/>
      <c r="E2464" s="10">
        <f t="shared" si="2"/>
        <v>46099.05582</v>
      </c>
      <c r="F2464" s="10">
        <v>7.03</v>
      </c>
    </row>
    <row r="2465" ht="22.5" customHeight="1">
      <c r="B2465" s="4" t="s">
        <v>8</v>
      </c>
      <c r="C2465" s="9">
        <v>46099.056493055556</v>
      </c>
      <c r="D2465" s="10"/>
      <c r="E2465" s="10">
        <f t="shared" si="2"/>
        <v>46099.05649</v>
      </c>
      <c r="F2465" s="10">
        <v>6.98</v>
      </c>
    </row>
    <row r="2466" ht="22.5" customHeight="1">
      <c r="B2466" s="4" t="s">
        <v>8</v>
      </c>
      <c r="C2466" s="9">
        <v>46099.06060185185</v>
      </c>
      <c r="D2466" s="10"/>
      <c r="E2466" s="10">
        <f t="shared" si="2"/>
        <v>46099.0606</v>
      </c>
      <c r="F2466" s="10">
        <v>7.03</v>
      </c>
    </row>
    <row r="2467" ht="22.5" customHeight="1">
      <c r="B2467" s="4" t="s">
        <v>8</v>
      </c>
      <c r="C2467" s="9">
        <v>46099.066087962965</v>
      </c>
      <c r="D2467" s="10"/>
      <c r="E2467" s="10">
        <f t="shared" si="2"/>
        <v>46099.06609</v>
      </c>
      <c r="F2467" s="10">
        <v>6.98</v>
      </c>
    </row>
    <row r="2468" ht="22.5" customHeight="1">
      <c r="B2468" s="4" t="s">
        <v>8</v>
      </c>
      <c r="C2468" s="9">
        <v>46099.067453703705</v>
      </c>
      <c r="D2468" s="10"/>
      <c r="E2468" s="10">
        <f t="shared" si="2"/>
        <v>46099.06745</v>
      </c>
      <c r="F2468" s="10">
        <v>7.03</v>
      </c>
    </row>
    <row r="2469" ht="22.5" customHeight="1">
      <c r="B2469" s="4" t="s">
        <v>8</v>
      </c>
      <c r="C2469" s="9">
        <v>46099.08047453704</v>
      </c>
      <c r="D2469" s="10"/>
      <c r="E2469" s="10">
        <f t="shared" si="2"/>
        <v>46099.08047</v>
      </c>
      <c r="F2469" s="10">
        <v>7.1</v>
      </c>
    </row>
    <row r="2470" ht="22.5" customHeight="1">
      <c r="B2470" s="4" t="s">
        <v>8</v>
      </c>
      <c r="C2470" s="9">
        <v>46099.081145833334</v>
      </c>
      <c r="D2470" s="10"/>
      <c r="E2470" s="10">
        <f t="shared" si="2"/>
        <v>46099.08115</v>
      </c>
      <c r="F2470" s="10">
        <v>7.03</v>
      </c>
    </row>
    <row r="2471" ht="22.5" customHeight="1">
      <c r="B2471" s="4" t="s">
        <v>8</v>
      </c>
      <c r="C2471" s="9">
        <v>46099.08184027778</v>
      </c>
      <c r="D2471" s="10"/>
      <c r="E2471" s="10">
        <f t="shared" si="2"/>
        <v>46099.08184</v>
      </c>
      <c r="F2471" s="10">
        <v>7.1</v>
      </c>
    </row>
    <row r="2472" ht="22.5" customHeight="1">
      <c r="B2472" s="4" t="s">
        <v>8</v>
      </c>
      <c r="C2472" s="9">
        <v>46099.08251157407</v>
      </c>
      <c r="D2472" s="10"/>
      <c r="E2472" s="10">
        <f t="shared" si="2"/>
        <v>46099.08251</v>
      </c>
      <c r="F2472" s="10">
        <v>7.03</v>
      </c>
    </row>
    <row r="2473" ht="22.5" customHeight="1">
      <c r="B2473" s="4" t="s">
        <v>8</v>
      </c>
      <c r="C2473" s="9">
        <v>46099.08457175926</v>
      </c>
      <c r="D2473" s="10"/>
      <c r="E2473" s="10">
        <f t="shared" si="2"/>
        <v>46099.08457</v>
      </c>
      <c r="F2473" s="10">
        <v>7.1</v>
      </c>
    </row>
    <row r="2474" ht="22.5" customHeight="1">
      <c r="B2474" s="4" t="s">
        <v>8</v>
      </c>
      <c r="C2474" s="9">
        <v>46099.08525462963</v>
      </c>
      <c r="D2474" s="10"/>
      <c r="E2474" s="10">
        <f t="shared" si="2"/>
        <v>46099.08525</v>
      </c>
      <c r="F2474" s="10">
        <v>7.03</v>
      </c>
    </row>
    <row r="2475" ht="22.5" customHeight="1">
      <c r="B2475" s="4" t="s">
        <v>8</v>
      </c>
      <c r="C2475" s="9">
        <v>46099.08731481482</v>
      </c>
      <c r="D2475" s="10"/>
      <c r="E2475" s="10">
        <f t="shared" si="2"/>
        <v>46099.08731</v>
      </c>
      <c r="F2475" s="10">
        <v>7.1</v>
      </c>
    </row>
    <row r="2476" ht="22.5" customHeight="1">
      <c r="B2476" s="4" t="s">
        <v>8</v>
      </c>
      <c r="C2476" s="9">
        <v>46099.08799768519</v>
      </c>
      <c r="D2476" s="10"/>
      <c r="E2476" s="10">
        <f t="shared" si="2"/>
        <v>46099.088</v>
      </c>
      <c r="F2476" s="10">
        <v>7.03</v>
      </c>
    </row>
    <row r="2477" ht="22.5" customHeight="1">
      <c r="B2477" s="4" t="s">
        <v>8</v>
      </c>
      <c r="C2477" s="9">
        <v>46099.09142361111</v>
      </c>
      <c r="D2477" s="10"/>
      <c r="E2477" s="10">
        <f t="shared" si="2"/>
        <v>46099.09142</v>
      </c>
      <c r="F2477" s="10">
        <v>7.1</v>
      </c>
    </row>
    <row r="2478" ht="22.5" customHeight="1">
      <c r="B2478" s="4" t="s">
        <v>8</v>
      </c>
      <c r="C2478" s="9">
        <v>46099.09210648148</v>
      </c>
      <c r="D2478" s="10"/>
      <c r="E2478" s="10">
        <f t="shared" si="2"/>
        <v>46099.09211</v>
      </c>
      <c r="F2478" s="10">
        <v>7.03</v>
      </c>
    </row>
    <row r="2479" ht="22.5" customHeight="1">
      <c r="B2479" s="4" t="s">
        <v>8</v>
      </c>
      <c r="C2479" s="9">
        <v>46099.09415509259</v>
      </c>
      <c r="D2479" s="10"/>
      <c r="E2479" s="10">
        <f t="shared" si="2"/>
        <v>46099.09416</v>
      </c>
      <c r="F2479" s="10">
        <v>7.1</v>
      </c>
    </row>
    <row r="2480" ht="22.5" customHeight="1">
      <c r="B2480" s="4" t="s">
        <v>8</v>
      </c>
      <c r="C2480" s="9">
        <v>46099.09483796296</v>
      </c>
      <c r="D2480" s="10"/>
      <c r="E2480" s="10">
        <f t="shared" si="2"/>
        <v>46099.09484</v>
      </c>
      <c r="F2480" s="10">
        <v>7.03</v>
      </c>
    </row>
    <row r="2481" ht="22.5" customHeight="1">
      <c r="B2481" s="4" t="s">
        <v>8</v>
      </c>
      <c r="C2481" s="9">
        <v>46099.099641203706</v>
      </c>
      <c r="D2481" s="10"/>
      <c r="E2481" s="10">
        <f t="shared" si="2"/>
        <v>46099.09964</v>
      </c>
      <c r="F2481" s="10">
        <v>7.1</v>
      </c>
    </row>
    <row r="2482" ht="22.5" customHeight="1">
      <c r="B2482" s="4" t="s">
        <v>8</v>
      </c>
      <c r="C2482" s="9">
        <v>46099.100324074076</v>
      </c>
      <c r="D2482" s="10"/>
      <c r="E2482" s="10">
        <f t="shared" si="2"/>
        <v>46099.10032</v>
      </c>
      <c r="F2482" s="10">
        <v>7.03</v>
      </c>
    </row>
    <row r="2483" ht="22.5" customHeight="1">
      <c r="B2483" s="4" t="s">
        <v>8</v>
      </c>
      <c r="C2483" s="9">
        <v>46099.101006944446</v>
      </c>
      <c r="D2483" s="10"/>
      <c r="E2483" s="10">
        <f t="shared" si="2"/>
        <v>46099.10101</v>
      </c>
      <c r="F2483" s="10">
        <v>7.1</v>
      </c>
    </row>
    <row r="2484" ht="22.5" customHeight="1">
      <c r="B2484" s="4" t="s">
        <v>8</v>
      </c>
      <c r="C2484" s="9">
        <v>46099.101689814815</v>
      </c>
      <c r="D2484" s="10"/>
      <c r="E2484" s="10">
        <f t="shared" si="2"/>
        <v>46099.10169</v>
      </c>
      <c r="F2484" s="10">
        <v>7.03</v>
      </c>
    </row>
    <row r="2485" ht="22.5" customHeight="1">
      <c r="B2485" s="4" t="s">
        <v>8</v>
      </c>
      <c r="C2485" s="9">
        <v>46099.102372685185</v>
      </c>
      <c r="D2485" s="10"/>
      <c r="E2485" s="10">
        <f t="shared" si="2"/>
        <v>46099.10237</v>
      </c>
      <c r="F2485" s="10">
        <v>7.1</v>
      </c>
    </row>
    <row r="2486" ht="22.5" customHeight="1">
      <c r="B2486" s="4" t="s">
        <v>8</v>
      </c>
      <c r="C2486" s="9">
        <v>46099.103055555555</v>
      </c>
      <c r="D2486" s="10"/>
      <c r="E2486" s="10">
        <f t="shared" si="2"/>
        <v>46099.10306</v>
      </c>
      <c r="F2486" s="10">
        <v>7.03</v>
      </c>
    </row>
    <row r="2487" ht="22.5" customHeight="1">
      <c r="B2487" s="4" t="s">
        <v>8</v>
      </c>
      <c r="C2487" s="9">
        <v>46099.10511574074</v>
      </c>
      <c r="D2487" s="10"/>
      <c r="E2487" s="10">
        <f t="shared" si="2"/>
        <v>46099.10512</v>
      </c>
      <c r="F2487" s="10">
        <v>7.1</v>
      </c>
    </row>
    <row r="2488" ht="22.5" customHeight="1">
      <c r="B2488" s="4" t="s">
        <v>8</v>
      </c>
      <c r="C2488" s="9">
        <v>46099.11195601852</v>
      </c>
      <c r="D2488" s="10"/>
      <c r="E2488" s="10">
        <f t="shared" si="2"/>
        <v>46099.11196</v>
      </c>
      <c r="F2488" s="10">
        <v>7.03</v>
      </c>
    </row>
    <row r="2489" ht="22.5" customHeight="1">
      <c r="B2489" s="4" t="s">
        <v>8</v>
      </c>
      <c r="C2489" s="9">
        <v>46099.112650462965</v>
      </c>
      <c r="D2489" s="10"/>
      <c r="E2489" s="10">
        <f t="shared" si="2"/>
        <v>46099.11265</v>
      </c>
      <c r="F2489" s="10">
        <v>7.1</v>
      </c>
    </row>
    <row r="2490" ht="22.5" customHeight="1">
      <c r="B2490" s="4" t="s">
        <v>8</v>
      </c>
      <c r="C2490" s="9">
        <v>46099.11332175926</v>
      </c>
      <c r="D2490" s="10"/>
      <c r="E2490" s="10">
        <f t="shared" si="2"/>
        <v>46099.11332</v>
      </c>
      <c r="F2490" s="10">
        <v>7.03</v>
      </c>
    </row>
    <row r="2491" ht="22.5" customHeight="1">
      <c r="B2491" s="4" t="s">
        <v>8</v>
      </c>
      <c r="C2491" s="9">
        <v>46099.11402777778</v>
      </c>
      <c r="D2491" s="10"/>
      <c r="E2491" s="10">
        <f t="shared" si="2"/>
        <v>46099.11403</v>
      </c>
      <c r="F2491" s="10">
        <v>7.14</v>
      </c>
    </row>
    <row r="2492" ht="22.5" customHeight="1">
      <c r="B2492" s="4" t="s">
        <v>8</v>
      </c>
      <c r="C2492" s="9">
        <v>46099.114699074074</v>
      </c>
      <c r="D2492" s="10"/>
      <c r="E2492" s="10">
        <f t="shared" si="2"/>
        <v>46099.1147</v>
      </c>
      <c r="F2492" s="10">
        <v>7.03</v>
      </c>
    </row>
    <row r="2493" ht="22.5" customHeight="1">
      <c r="B2493" s="4" t="s">
        <v>8</v>
      </c>
      <c r="C2493" s="9">
        <v>46099.11607638889</v>
      </c>
      <c r="D2493" s="10"/>
      <c r="E2493" s="10">
        <f t="shared" si="2"/>
        <v>46099.11608</v>
      </c>
      <c r="F2493" s="10">
        <v>7.1</v>
      </c>
    </row>
    <row r="2494" ht="22.5" customHeight="1">
      <c r="B2494" s="4" t="s">
        <v>8</v>
      </c>
      <c r="C2494" s="9">
        <v>46099.118125</v>
      </c>
      <c r="D2494" s="10"/>
      <c r="E2494" s="10">
        <f t="shared" si="2"/>
        <v>46099.11813</v>
      </c>
      <c r="F2494" s="10">
        <v>7.03</v>
      </c>
    </row>
    <row r="2495" ht="22.5" customHeight="1">
      <c r="B2495" s="4" t="s">
        <v>8</v>
      </c>
      <c r="C2495" s="9">
        <v>46099.11880787037</v>
      </c>
      <c r="D2495" s="10"/>
      <c r="E2495" s="10">
        <f t="shared" si="2"/>
        <v>46099.11881</v>
      </c>
      <c r="F2495" s="10">
        <v>7.14</v>
      </c>
    </row>
    <row r="2496" ht="22.5" customHeight="1">
      <c r="B2496" s="4" t="s">
        <v>8</v>
      </c>
      <c r="C2496" s="9">
        <v>46099.11949074074</v>
      </c>
      <c r="D2496" s="10"/>
      <c r="E2496" s="10">
        <f t="shared" si="2"/>
        <v>46099.11949</v>
      </c>
      <c r="F2496" s="10">
        <v>7.1</v>
      </c>
    </row>
    <row r="2497" ht="22.5" customHeight="1">
      <c r="B2497" s="4" t="s">
        <v>8</v>
      </c>
      <c r="C2497" s="9">
        <v>46099.1283912037</v>
      </c>
      <c r="D2497" s="10"/>
      <c r="E2497" s="10">
        <f t="shared" si="2"/>
        <v>46099.12839</v>
      </c>
      <c r="F2497" s="10">
        <v>7.03</v>
      </c>
    </row>
    <row r="2498" ht="22.5" customHeight="1">
      <c r="B2498" s="4" t="s">
        <v>8</v>
      </c>
      <c r="C2498" s="9">
        <v>46099.12907407407</v>
      </c>
      <c r="D2498" s="10"/>
      <c r="E2498" s="10">
        <f t="shared" si="2"/>
        <v>46099.12907</v>
      </c>
      <c r="F2498" s="10">
        <v>7.1</v>
      </c>
    </row>
    <row r="2499" ht="22.5" customHeight="1">
      <c r="B2499" s="4" t="s">
        <v>8</v>
      </c>
      <c r="C2499" s="9">
        <v>46099.12975694444</v>
      </c>
      <c r="D2499" s="10"/>
      <c r="E2499" s="10">
        <f t="shared" si="2"/>
        <v>46099.12976</v>
      </c>
      <c r="F2499" s="10">
        <v>7.14</v>
      </c>
    </row>
    <row r="2500" ht="22.5" customHeight="1">
      <c r="B2500" s="4" t="s">
        <v>8</v>
      </c>
      <c r="C2500" s="9">
        <v>46099.13045138889</v>
      </c>
      <c r="D2500" s="10"/>
      <c r="E2500" s="10">
        <f t="shared" si="2"/>
        <v>46099.13045</v>
      </c>
      <c r="F2500" s="10">
        <v>7.1</v>
      </c>
    </row>
    <row r="2501" ht="22.5" customHeight="1">
      <c r="B2501" s="4" t="s">
        <v>8</v>
      </c>
      <c r="C2501" s="9">
        <v>46099.13318287037</v>
      </c>
      <c r="D2501" s="10"/>
      <c r="E2501" s="10">
        <f t="shared" si="2"/>
        <v>46099.13318</v>
      </c>
      <c r="F2501" s="10">
        <v>7.14</v>
      </c>
    </row>
    <row r="2502" ht="22.5" customHeight="1">
      <c r="B2502" s="4" t="s">
        <v>8</v>
      </c>
      <c r="C2502" s="9">
        <v>46099.133877314816</v>
      </c>
      <c r="D2502" s="10"/>
      <c r="E2502" s="10">
        <f t="shared" si="2"/>
        <v>46099.13388</v>
      </c>
      <c r="F2502" s="10">
        <v>7.1</v>
      </c>
    </row>
    <row r="2503" ht="22.5" customHeight="1">
      <c r="B2503" s="4" t="s">
        <v>8</v>
      </c>
      <c r="C2503" s="9">
        <v>46099.135243055556</v>
      </c>
      <c r="D2503" s="10"/>
      <c r="E2503" s="10">
        <f t="shared" si="2"/>
        <v>46099.13524</v>
      </c>
      <c r="F2503" s="10">
        <v>7.14</v>
      </c>
    </row>
    <row r="2504" ht="22.5" customHeight="1">
      <c r="B2504" s="4" t="s">
        <v>8</v>
      </c>
      <c r="C2504" s="9">
        <v>46099.135925925926</v>
      </c>
      <c r="D2504" s="10"/>
      <c r="E2504" s="10">
        <f t="shared" si="2"/>
        <v>46099.13593</v>
      </c>
      <c r="F2504" s="10">
        <v>7.1</v>
      </c>
    </row>
    <row r="2505" ht="22.5" customHeight="1">
      <c r="B2505" s="4" t="s">
        <v>8</v>
      </c>
      <c r="C2505" s="9">
        <v>46099.148935185185</v>
      </c>
      <c r="D2505" s="10"/>
      <c r="E2505" s="10">
        <f t="shared" si="2"/>
        <v>46099.14894</v>
      </c>
      <c r="F2505" s="10">
        <v>7.14</v>
      </c>
    </row>
    <row r="2506" ht="22.5" customHeight="1">
      <c r="B2506" s="4" t="s">
        <v>8</v>
      </c>
      <c r="C2506" s="9">
        <v>46099.149618055555</v>
      </c>
      <c r="D2506" s="10"/>
      <c r="E2506" s="10">
        <f t="shared" si="2"/>
        <v>46099.14962</v>
      </c>
      <c r="F2506" s="10">
        <v>7.1</v>
      </c>
    </row>
    <row r="2507" ht="22.5" customHeight="1">
      <c r="B2507" s="4" t="s">
        <v>8</v>
      </c>
      <c r="C2507" s="9">
        <v>46099.15645833333</v>
      </c>
      <c r="D2507" s="10"/>
      <c r="E2507" s="10">
        <f t="shared" si="2"/>
        <v>46099.15646</v>
      </c>
      <c r="F2507" s="10">
        <v>7.14</v>
      </c>
    </row>
    <row r="2508" ht="22.5" customHeight="1">
      <c r="B2508" s="4" t="s">
        <v>8</v>
      </c>
      <c r="C2508" s="9">
        <v>46099.1571412037</v>
      </c>
      <c r="D2508" s="10"/>
      <c r="E2508" s="10">
        <f t="shared" si="2"/>
        <v>46099.15714</v>
      </c>
      <c r="F2508" s="10">
        <v>7.1</v>
      </c>
    </row>
    <row r="2509" ht="22.5" customHeight="1">
      <c r="B2509" s="4" t="s">
        <v>8</v>
      </c>
      <c r="C2509" s="9">
        <v>46099.15782407407</v>
      </c>
      <c r="D2509" s="10"/>
      <c r="E2509" s="10">
        <f t="shared" si="2"/>
        <v>46099.15782</v>
      </c>
      <c r="F2509" s="10">
        <v>7.14</v>
      </c>
    </row>
    <row r="2510" ht="22.5" customHeight="1">
      <c r="B2510" s="4" t="s">
        <v>8</v>
      </c>
      <c r="C2510" s="9">
        <v>46099.15851851852</v>
      </c>
      <c r="D2510" s="10"/>
      <c r="E2510" s="10">
        <f t="shared" si="2"/>
        <v>46099.15852</v>
      </c>
      <c r="F2510" s="10">
        <v>7.1</v>
      </c>
    </row>
    <row r="2511" ht="22.5" customHeight="1">
      <c r="B2511" s="4" t="s">
        <v>8</v>
      </c>
      <c r="C2511" s="9">
        <v>46099.16056712963</v>
      </c>
      <c r="D2511" s="10"/>
      <c r="E2511" s="10">
        <f t="shared" si="2"/>
        <v>46099.16057</v>
      </c>
      <c r="F2511" s="10">
        <v>7.14</v>
      </c>
    </row>
    <row r="2512" ht="22.5" customHeight="1">
      <c r="B2512" s="4" t="s">
        <v>8</v>
      </c>
      <c r="C2512" s="9">
        <v>46099.16193287037</v>
      </c>
      <c r="D2512" s="10"/>
      <c r="E2512" s="10">
        <f t="shared" si="2"/>
        <v>46099.16193</v>
      </c>
      <c r="F2512" s="10">
        <v>7.1</v>
      </c>
    </row>
    <row r="2513" ht="22.5" customHeight="1">
      <c r="B2513" s="4" t="s">
        <v>8</v>
      </c>
      <c r="C2513" s="9">
        <v>46099.16810185185</v>
      </c>
      <c r="D2513" s="10"/>
      <c r="E2513" s="10">
        <f t="shared" si="2"/>
        <v>46099.1681</v>
      </c>
      <c r="F2513" s="10">
        <v>7.14</v>
      </c>
    </row>
    <row r="2514" ht="22.5" customHeight="1">
      <c r="B2514" s="4" t="s">
        <v>8</v>
      </c>
      <c r="C2514" s="9">
        <v>46099.17015046296</v>
      </c>
      <c r="D2514" s="10"/>
      <c r="E2514" s="10">
        <f t="shared" si="2"/>
        <v>46099.17015</v>
      </c>
      <c r="F2514" s="10">
        <v>7.1</v>
      </c>
    </row>
    <row r="2515" ht="22.5" customHeight="1">
      <c r="B2515" s="4" t="s">
        <v>8</v>
      </c>
      <c r="C2515" s="9">
        <v>46099.17357638889</v>
      </c>
      <c r="D2515" s="10"/>
      <c r="E2515" s="10">
        <f t="shared" si="2"/>
        <v>46099.17358</v>
      </c>
      <c r="F2515" s="10">
        <v>7.14</v>
      </c>
    </row>
    <row r="2516" ht="22.5" customHeight="1">
      <c r="B2516" s="4" t="s">
        <v>8</v>
      </c>
      <c r="C2516" s="9">
        <v>46099.174259259256</v>
      </c>
      <c r="D2516" s="10"/>
      <c r="E2516" s="10">
        <f t="shared" si="2"/>
        <v>46099.17426</v>
      </c>
      <c r="F2516" s="10">
        <v>7.1</v>
      </c>
    </row>
    <row r="2517" ht="22.5" customHeight="1">
      <c r="B2517" s="4" t="s">
        <v>8</v>
      </c>
      <c r="C2517" s="9">
        <v>46099.175625</v>
      </c>
      <c r="D2517" s="10"/>
      <c r="E2517" s="10">
        <f t="shared" si="2"/>
        <v>46099.17563</v>
      </c>
      <c r="F2517" s="10">
        <v>7.14</v>
      </c>
    </row>
    <row r="2518" ht="22.5" customHeight="1">
      <c r="B2518" s="4" t="s">
        <v>8</v>
      </c>
      <c r="C2518" s="9">
        <v>46099.17700231481</v>
      </c>
      <c r="D2518" s="10"/>
      <c r="E2518" s="10">
        <f t="shared" si="2"/>
        <v>46099.177</v>
      </c>
      <c r="F2518" s="10">
        <v>7.1</v>
      </c>
    </row>
    <row r="2519" ht="22.5" customHeight="1">
      <c r="B2519" s="4" t="s">
        <v>8</v>
      </c>
      <c r="C2519" s="9">
        <v>46099.17905092592</v>
      </c>
      <c r="D2519" s="10"/>
      <c r="E2519" s="10">
        <f t="shared" si="2"/>
        <v>46099.17905</v>
      </c>
      <c r="F2519" s="10">
        <v>7.14</v>
      </c>
    </row>
    <row r="2520" ht="22.5" customHeight="1">
      <c r="B2520" s="4" t="s">
        <v>8</v>
      </c>
      <c r="C2520" s="9">
        <v>46099.18315972222</v>
      </c>
      <c r="D2520" s="10"/>
      <c r="E2520" s="10">
        <f t="shared" si="2"/>
        <v>46099.18316</v>
      </c>
      <c r="F2520" s="10">
        <v>7.1</v>
      </c>
    </row>
    <row r="2521" ht="22.5" customHeight="1">
      <c r="B2521" s="4" t="s">
        <v>8</v>
      </c>
      <c r="C2521" s="9">
        <v>46099.183842592596</v>
      </c>
      <c r="D2521" s="10"/>
      <c r="E2521" s="10">
        <f t="shared" si="2"/>
        <v>46099.18384</v>
      </c>
      <c r="F2521" s="10">
        <v>7.14</v>
      </c>
    </row>
    <row r="2522" ht="22.5" customHeight="1">
      <c r="B2522" s="4" t="s">
        <v>8</v>
      </c>
      <c r="C2522" s="9">
        <v>46099.185891203706</v>
      </c>
      <c r="D2522" s="10"/>
      <c r="E2522" s="10">
        <f t="shared" si="2"/>
        <v>46099.18589</v>
      </c>
      <c r="F2522" s="10">
        <v>7.1</v>
      </c>
    </row>
    <row r="2523" ht="22.5" customHeight="1">
      <c r="B2523" s="4" t="s">
        <v>8</v>
      </c>
      <c r="C2523" s="9">
        <v>46099.187268518515</v>
      </c>
      <c r="D2523" s="10"/>
      <c r="E2523" s="10">
        <f t="shared" si="2"/>
        <v>46099.18727</v>
      </c>
      <c r="F2523" s="10">
        <v>7.14</v>
      </c>
    </row>
    <row r="2524" ht="22.5" customHeight="1">
      <c r="B2524" s="4" t="s">
        <v>8</v>
      </c>
      <c r="C2524" s="9">
        <v>46099.18864583333</v>
      </c>
      <c r="D2524" s="10"/>
      <c r="E2524" s="10">
        <f t="shared" si="2"/>
        <v>46099.18865</v>
      </c>
      <c r="F2524" s="10">
        <v>7.1</v>
      </c>
    </row>
    <row r="2525" ht="22.5" customHeight="1">
      <c r="B2525" s="4" t="s">
        <v>8</v>
      </c>
      <c r="C2525" s="9">
        <v>46099.1893287037</v>
      </c>
      <c r="D2525" s="10"/>
      <c r="E2525" s="10">
        <f t="shared" si="2"/>
        <v>46099.18933</v>
      </c>
      <c r="F2525" s="10">
        <v>7.14</v>
      </c>
    </row>
    <row r="2526" ht="22.5" customHeight="1">
      <c r="B2526" s="4" t="s">
        <v>8</v>
      </c>
      <c r="C2526" s="9">
        <v>46099.19</v>
      </c>
      <c r="D2526" s="10"/>
      <c r="E2526" s="10">
        <f t="shared" si="2"/>
        <v>46099.19</v>
      </c>
      <c r="F2526" s="10">
        <v>7.1</v>
      </c>
    </row>
    <row r="2527" ht="22.5" customHeight="1">
      <c r="B2527" s="4" t="s">
        <v>8</v>
      </c>
      <c r="C2527" s="9">
        <v>46099.19274305556</v>
      </c>
      <c r="D2527" s="10"/>
      <c r="E2527" s="10">
        <f t="shared" si="2"/>
        <v>46099.19274</v>
      </c>
      <c r="F2527" s="10">
        <v>7.14</v>
      </c>
    </row>
    <row r="2528" ht="22.5" customHeight="1">
      <c r="B2528" s="4" t="s">
        <v>8</v>
      </c>
      <c r="C2528" s="9">
        <v>46099.19547453704</v>
      </c>
      <c r="D2528" s="10"/>
      <c r="E2528" s="10">
        <f t="shared" si="2"/>
        <v>46099.19547</v>
      </c>
      <c r="F2528" s="10">
        <v>7.1</v>
      </c>
    </row>
    <row r="2529" ht="22.5" customHeight="1">
      <c r="B2529" s="4" t="s">
        <v>8</v>
      </c>
      <c r="C2529" s="9">
        <v>46099.197534722225</v>
      </c>
      <c r="D2529" s="10"/>
      <c r="E2529" s="10">
        <f t="shared" si="2"/>
        <v>46099.19753</v>
      </c>
      <c r="F2529" s="10">
        <v>7.14</v>
      </c>
    </row>
    <row r="2530" ht="22.5" customHeight="1">
      <c r="B2530" s="4" t="s">
        <v>8</v>
      </c>
      <c r="C2530" s="9">
        <v>46099.198217592595</v>
      </c>
      <c r="D2530" s="10"/>
      <c r="E2530" s="10">
        <f t="shared" si="2"/>
        <v>46099.19822</v>
      </c>
      <c r="F2530" s="10">
        <v>7.1</v>
      </c>
    </row>
    <row r="2531" ht="22.5" customHeight="1">
      <c r="B2531" s="4" t="s">
        <v>8</v>
      </c>
      <c r="C2531" s="9">
        <v>46099.200266203705</v>
      </c>
      <c r="D2531" s="10"/>
      <c r="E2531" s="10">
        <f t="shared" si="2"/>
        <v>46099.20027</v>
      </c>
      <c r="F2531" s="10">
        <v>7.14</v>
      </c>
    </row>
    <row r="2532" ht="22.5" customHeight="1">
      <c r="B2532" s="4" t="s">
        <v>8</v>
      </c>
      <c r="C2532" s="9">
        <v>46099.20096064815</v>
      </c>
      <c r="D2532" s="10"/>
      <c r="E2532" s="10">
        <f t="shared" si="2"/>
        <v>46099.20096</v>
      </c>
      <c r="F2532" s="10">
        <v>7.1</v>
      </c>
    </row>
    <row r="2533" ht="22.5" customHeight="1">
      <c r="B2533" s="4" t="s">
        <v>8</v>
      </c>
      <c r="C2533" s="9">
        <v>46099.20164351852</v>
      </c>
      <c r="D2533" s="10"/>
      <c r="E2533" s="10">
        <f t="shared" si="2"/>
        <v>46099.20164</v>
      </c>
      <c r="F2533" s="10">
        <v>7.14</v>
      </c>
    </row>
    <row r="2534" ht="22.5" customHeight="1">
      <c r="B2534" s="4" t="s">
        <v>8</v>
      </c>
      <c r="C2534" s="9">
        <v>46099.2037037037</v>
      </c>
      <c r="D2534" s="10"/>
      <c r="E2534" s="10">
        <f t="shared" si="2"/>
        <v>46099.2037</v>
      </c>
      <c r="F2534" s="10">
        <v>7.1</v>
      </c>
    </row>
    <row r="2535" ht="22.5" customHeight="1">
      <c r="B2535" s="4" t="s">
        <v>8</v>
      </c>
      <c r="C2535" s="9">
        <v>46099.204375</v>
      </c>
      <c r="D2535" s="10"/>
      <c r="E2535" s="10">
        <f t="shared" si="2"/>
        <v>46099.20438</v>
      </c>
      <c r="F2535" s="10">
        <v>7.14</v>
      </c>
    </row>
    <row r="2536" ht="22.5" customHeight="1">
      <c r="B2536" s="4" t="s">
        <v>8</v>
      </c>
      <c r="C2536" s="9">
        <v>46099.20711805556</v>
      </c>
      <c r="D2536" s="10"/>
      <c r="E2536" s="10">
        <f t="shared" si="2"/>
        <v>46099.20712</v>
      </c>
      <c r="F2536" s="10">
        <v>7.1</v>
      </c>
    </row>
    <row r="2537" ht="22.5" customHeight="1">
      <c r="B2537" s="4" t="s">
        <v>8</v>
      </c>
      <c r="C2537" s="9">
        <v>46099.20780092593</v>
      </c>
      <c r="D2537" s="10"/>
      <c r="E2537" s="10">
        <f t="shared" si="2"/>
        <v>46099.2078</v>
      </c>
      <c r="F2537" s="10">
        <v>7.14</v>
      </c>
    </row>
    <row r="2538" ht="22.5" customHeight="1">
      <c r="B2538" s="4" t="s">
        <v>8</v>
      </c>
      <c r="C2538" s="9">
        <v>46099.20916666667</v>
      </c>
      <c r="D2538" s="10"/>
      <c r="E2538" s="10">
        <f t="shared" si="2"/>
        <v>46099.20917</v>
      </c>
      <c r="F2538" s="10">
        <v>7.1</v>
      </c>
    </row>
    <row r="2539" ht="22.5" customHeight="1">
      <c r="B2539" s="4" t="s">
        <v>8</v>
      </c>
      <c r="C2539" s="9">
        <v>46099.209872685184</v>
      </c>
      <c r="D2539" s="10"/>
      <c r="E2539" s="10">
        <f t="shared" si="2"/>
        <v>46099.20987</v>
      </c>
      <c r="F2539" s="10">
        <v>7.14</v>
      </c>
    </row>
    <row r="2540" ht="22.5" customHeight="1">
      <c r="B2540" s="4" t="s">
        <v>8</v>
      </c>
      <c r="C2540" s="9">
        <v>46099.21875</v>
      </c>
      <c r="D2540" s="10"/>
      <c r="E2540" s="10">
        <f t="shared" si="2"/>
        <v>46099.21875</v>
      </c>
      <c r="F2540" s="10">
        <v>7.1</v>
      </c>
    </row>
    <row r="2541" ht="22.5" customHeight="1">
      <c r="B2541" s="4" t="s">
        <v>8</v>
      </c>
      <c r="C2541" s="9">
        <v>46099.21943287037</v>
      </c>
      <c r="D2541" s="10"/>
      <c r="E2541" s="10">
        <f t="shared" si="2"/>
        <v>46099.21943</v>
      </c>
      <c r="F2541" s="10">
        <v>7.14</v>
      </c>
    </row>
    <row r="2542" ht="22.5" customHeight="1">
      <c r="B2542" s="4" t="s">
        <v>8</v>
      </c>
      <c r="C2542" s="9">
        <v>46099.22012731482</v>
      </c>
      <c r="D2542" s="10"/>
      <c r="E2542" s="10">
        <f t="shared" si="2"/>
        <v>46099.22013</v>
      </c>
      <c r="F2542" s="10">
        <v>7.1</v>
      </c>
    </row>
    <row r="2543" ht="22.5" customHeight="1">
      <c r="B2543" s="4" t="s">
        <v>8</v>
      </c>
      <c r="C2543" s="9">
        <v>46099.22081018519</v>
      </c>
      <c r="D2543" s="10"/>
      <c r="E2543" s="10">
        <f t="shared" si="2"/>
        <v>46099.22081</v>
      </c>
      <c r="F2543" s="10">
        <v>7.14</v>
      </c>
    </row>
    <row r="2544" ht="22.5" customHeight="1">
      <c r="B2544" s="4" t="s">
        <v>8</v>
      </c>
      <c r="C2544" s="9">
        <v>46099.22833333333</v>
      </c>
      <c r="D2544" s="10"/>
      <c r="E2544" s="10">
        <f t="shared" si="2"/>
        <v>46099.22833</v>
      </c>
      <c r="F2544" s="10">
        <v>7.1</v>
      </c>
    </row>
    <row r="2545" ht="22.5" customHeight="1">
      <c r="B2545" s="4" t="s">
        <v>8</v>
      </c>
      <c r="C2545" s="9">
        <v>46099.22902777778</v>
      </c>
      <c r="D2545" s="10"/>
      <c r="E2545" s="10">
        <f t="shared" si="2"/>
        <v>46099.22903</v>
      </c>
      <c r="F2545" s="10">
        <v>7.14</v>
      </c>
    </row>
    <row r="2546" ht="22.5" customHeight="1">
      <c r="B2546" s="4" t="s">
        <v>8</v>
      </c>
      <c r="C2546" s="9">
        <v>46099.252291666664</v>
      </c>
      <c r="D2546" s="10"/>
      <c r="E2546" s="10">
        <f t="shared" si="2"/>
        <v>46099.25229</v>
      </c>
      <c r="F2546" s="10">
        <v>7.1</v>
      </c>
    </row>
    <row r="2547" ht="22.5" customHeight="1">
      <c r="B2547" s="4" t="s">
        <v>8</v>
      </c>
      <c r="C2547" s="9">
        <v>46099.252974537034</v>
      </c>
      <c r="D2547" s="10"/>
      <c r="E2547" s="10">
        <f t="shared" si="2"/>
        <v>46099.25297</v>
      </c>
      <c r="F2547" s="10">
        <v>7.14</v>
      </c>
    </row>
    <row r="2548" ht="22.5" customHeight="1">
      <c r="B2548" s="4" t="s">
        <v>8</v>
      </c>
      <c r="C2548" s="9">
        <v>46099.2803587963</v>
      </c>
      <c r="D2548" s="10"/>
      <c r="E2548" s="10">
        <f t="shared" si="2"/>
        <v>46099.28036</v>
      </c>
      <c r="F2548" s="10">
        <v>7.2</v>
      </c>
    </row>
    <row r="2549" ht="22.5" customHeight="1">
      <c r="B2549" s="4" t="s">
        <v>8</v>
      </c>
      <c r="C2549" s="9">
        <v>46099.28104166667</v>
      </c>
      <c r="D2549" s="10"/>
      <c r="E2549" s="10">
        <f t="shared" si="2"/>
        <v>46099.28104</v>
      </c>
      <c r="F2549" s="10">
        <v>7.27</v>
      </c>
    </row>
    <row r="2550" ht="22.5" customHeight="1">
      <c r="B2550" s="4" t="s">
        <v>8</v>
      </c>
      <c r="C2550" s="9">
        <v>46099.28172453704</v>
      </c>
      <c r="D2550" s="10"/>
      <c r="E2550" s="10">
        <f t="shared" si="2"/>
        <v>46099.28172</v>
      </c>
      <c r="F2550" s="10">
        <v>7.32</v>
      </c>
    </row>
    <row r="2551" ht="22.5" customHeight="1">
      <c r="B2551" s="4" t="s">
        <v>8</v>
      </c>
      <c r="C2551" s="9">
        <v>46099.28309027778</v>
      </c>
      <c r="D2551" s="10"/>
      <c r="E2551" s="10">
        <f t="shared" si="2"/>
        <v>46099.28309</v>
      </c>
      <c r="F2551" s="10">
        <v>7.39</v>
      </c>
    </row>
    <row r="2552" ht="22.5" customHeight="1">
      <c r="B2552" s="4" t="s">
        <v>8</v>
      </c>
      <c r="C2552" s="9">
        <v>46099.29678240741</v>
      </c>
      <c r="D2552" s="10"/>
      <c r="E2552" s="10">
        <f t="shared" si="2"/>
        <v>46099.29678</v>
      </c>
      <c r="F2552" s="10">
        <v>7.44</v>
      </c>
    </row>
    <row r="2553" ht="22.5" customHeight="1">
      <c r="B2553" s="4" t="s">
        <v>8</v>
      </c>
      <c r="C2553" s="9">
        <v>46099.29814814815</v>
      </c>
      <c r="D2553" s="10"/>
      <c r="E2553" s="10">
        <f t="shared" si="2"/>
        <v>46099.29815</v>
      </c>
      <c r="F2553" s="10">
        <v>7.49</v>
      </c>
    </row>
    <row r="2554" ht="22.5" customHeight="1">
      <c r="B2554" s="4" t="s">
        <v>8</v>
      </c>
      <c r="C2554" s="9">
        <v>46099.300208333334</v>
      </c>
      <c r="D2554" s="10"/>
      <c r="E2554" s="10">
        <f t="shared" si="2"/>
        <v>46099.30021</v>
      </c>
      <c r="F2554" s="10">
        <v>7.56</v>
      </c>
    </row>
    <row r="2555" ht="22.5" customHeight="1">
      <c r="B2555" s="4" t="s">
        <v>8</v>
      </c>
      <c r="C2555" s="9">
        <v>46099.300891203704</v>
      </c>
      <c r="D2555" s="10"/>
      <c r="E2555" s="10">
        <f t="shared" si="2"/>
        <v>46099.30089</v>
      </c>
      <c r="F2555" s="10">
        <v>7.49</v>
      </c>
    </row>
    <row r="2556" ht="22.5" customHeight="1">
      <c r="B2556" s="4" t="s">
        <v>8</v>
      </c>
      <c r="C2556" s="9">
        <v>46099.301574074074</v>
      </c>
      <c r="D2556" s="10"/>
      <c r="E2556" s="10">
        <f t="shared" si="2"/>
        <v>46099.30157</v>
      </c>
      <c r="F2556" s="10">
        <v>7.56</v>
      </c>
    </row>
    <row r="2557" ht="22.5" customHeight="1">
      <c r="B2557" s="4" t="s">
        <v>8</v>
      </c>
      <c r="C2557" s="9">
        <v>46099.3152662037</v>
      </c>
      <c r="D2557" s="10"/>
      <c r="E2557" s="10">
        <f t="shared" si="2"/>
        <v>46099.31527</v>
      </c>
      <c r="F2557" s="10">
        <v>7.6</v>
      </c>
    </row>
    <row r="2558" ht="22.5" customHeight="1">
      <c r="B2558" s="4" t="s">
        <v>8</v>
      </c>
      <c r="C2558" s="9">
        <v>46099.31594907407</v>
      </c>
      <c r="D2558" s="10"/>
      <c r="E2558" s="10">
        <f t="shared" si="2"/>
        <v>46099.31595</v>
      </c>
      <c r="F2558" s="10">
        <v>7.66</v>
      </c>
    </row>
    <row r="2559" ht="22.5" customHeight="1">
      <c r="B2559" s="4" t="s">
        <v>8</v>
      </c>
      <c r="C2559" s="9">
        <v>46099.31663194444</v>
      </c>
      <c r="D2559" s="10"/>
      <c r="E2559" s="10">
        <f t="shared" si="2"/>
        <v>46099.31663</v>
      </c>
      <c r="F2559" s="10">
        <v>7.6</v>
      </c>
    </row>
    <row r="2560" ht="22.5" customHeight="1">
      <c r="B2560" s="4" t="s">
        <v>8</v>
      </c>
      <c r="C2560" s="9">
        <v>46099.31731481481</v>
      </c>
      <c r="D2560" s="10"/>
      <c r="E2560" s="10">
        <f t="shared" si="2"/>
        <v>46099.31731</v>
      </c>
      <c r="F2560" s="10">
        <v>7.66</v>
      </c>
    </row>
    <row r="2561" ht="22.5" customHeight="1">
      <c r="B2561" s="4" t="s">
        <v>8</v>
      </c>
      <c r="C2561" s="9">
        <v>46099.32278935185</v>
      </c>
      <c r="D2561" s="10"/>
      <c r="E2561" s="10">
        <f t="shared" si="2"/>
        <v>46099.32279</v>
      </c>
      <c r="F2561" s="10">
        <v>7.73</v>
      </c>
    </row>
    <row r="2562" ht="22.5" customHeight="1">
      <c r="B2562" s="4" t="s">
        <v>8</v>
      </c>
      <c r="C2562" s="9">
        <v>46099.338541666664</v>
      </c>
      <c r="D2562" s="10"/>
      <c r="E2562" s="10">
        <f t="shared" si="2"/>
        <v>46099.33854</v>
      </c>
      <c r="F2562" s="10">
        <v>7.78</v>
      </c>
    </row>
    <row r="2563" ht="22.5" customHeight="1">
      <c r="B2563" s="4" t="s">
        <v>8</v>
      </c>
      <c r="C2563" s="9">
        <v>46099.339907407404</v>
      </c>
      <c r="D2563" s="10"/>
      <c r="E2563" s="10">
        <f t="shared" si="2"/>
        <v>46099.33991</v>
      </c>
      <c r="F2563" s="10">
        <v>7.73</v>
      </c>
    </row>
    <row r="2564" ht="22.5" customHeight="1">
      <c r="B2564" s="4" t="s">
        <v>8</v>
      </c>
      <c r="C2564" s="9">
        <v>46099.34059027778</v>
      </c>
      <c r="D2564" s="10"/>
      <c r="E2564" s="10">
        <f t="shared" si="2"/>
        <v>46099.34059</v>
      </c>
      <c r="F2564" s="10">
        <v>7.78</v>
      </c>
    </row>
    <row r="2565" ht="22.5" customHeight="1">
      <c r="B2565" s="4" t="s">
        <v>8</v>
      </c>
      <c r="C2565" s="9">
        <v>46099.34469907408</v>
      </c>
      <c r="D2565" s="10"/>
      <c r="E2565" s="10">
        <f t="shared" si="2"/>
        <v>46099.3447</v>
      </c>
      <c r="F2565" s="10">
        <v>7.83</v>
      </c>
    </row>
    <row r="2566" ht="22.5" customHeight="1">
      <c r="B2566" s="4" t="s">
        <v>8</v>
      </c>
      <c r="C2566" s="9">
        <v>46099.34538194445</v>
      </c>
      <c r="D2566" s="10"/>
      <c r="E2566" s="10">
        <f t="shared" si="2"/>
        <v>46099.34538</v>
      </c>
      <c r="F2566" s="10">
        <v>7.78</v>
      </c>
    </row>
    <row r="2567" ht="22.5" customHeight="1">
      <c r="B2567" s="4" t="s">
        <v>8</v>
      </c>
      <c r="C2567" s="9">
        <v>46099.34606481482</v>
      </c>
      <c r="D2567" s="10"/>
      <c r="E2567" s="10">
        <f t="shared" si="2"/>
        <v>46099.34606</v>
      </c>
      <c r="F2567" s="10">
        <v>7.83</v>
      </c>
    </row>
    <row r="2568" ht="22.5" customHeight="1">
      <c r="B2568" s="4" t="s">
        <v>8</v>
      </c>
      <c r="C2568" s="9">
        <v>46099.348807870374</v>
      </c>
      <c r="D2568" s="10"/>
      <c r="E2568" s="10">
        <f t="shared" si="2"/>
        <v>46099.34881</v>
      </c>
      <c r="F2568" s="10">
        <v>7.89</v>
      </c>
    </row>
    <row r="2569" ht="22.5" customHeight="1">
      <c r="B2569" s="4" t="s">
        <v>8</v>
      </c>
      <c r="C2569" s="9">
        <v>46099.35155092592</v>
      </c>
      <c r="D2569" s="10"/>
      <c r="E2569" s="10">
        <f t="shared" si="2"/>
        <v>46099.35155</v>
      </c>
      <c r="F2569" s="10">
        <v>7.95</v>
      </c>
    </row>
    <row r="2570" ht="22.5" customHeight="1">
      <c r="B2570" s="4" t="s">
        <v>8</v>
      </c>
      <c r="C2570" s="9">
        <v>46099.35178240741</v>
      </c>
      <c r="D2570" s="10"/>
      <c r="E2570" s="10">
        <f t="shared" si="2"/>
        <v>46099.35178</v>
      </c>
      <c r="F2570" s="10">
        <v>7.95</v>
      </c>
    </row>
    <row r="2571" ht="22.5" customHeight="1">
      <c r="B2571" s="4" t="s">
        <v>8</v>
      </c>
      <c r="C2571" s="9">
        <v>46099.35324074074</v>
      </c>
      <c r="D2571" s="10"/>
      <c r="E2571" s="10">
        <f t="shared" si="2"/>
        <v>46099.35324</v>
      </c>
      <c r="F2571" s="10">
        <v>7.95</v>
      </c>
    </row>
    <row r="2572" ht="22.5" customHeight="1">
      <c r="B2572" s="4" t="s">
        <v>8</v>
      </c>
      <c r="C2572" s="9">
        <v>46099.35428240741</v>
      </c>
      <c r="D2572" s="10"/>
      <c r="E2572" s="10">
        <f t="shared" si="2"/>
        <v>46099.35428</v>
      </c>
      <c r="F2572" s="10">
        <v>7.89</v>
      </c>
    </row>
    <row r="2573" ht="22.5" customHeight="1">
      <c r="B2573" s="4" t="s">
        <v>8</v>
      </c>
      <c r="C2573" s="9">
        <v>46099.35496527778</v>
      </c>
      <c r="D2573" s="10"/>
      <c r="E2573" s="10">
        <f t="shared" si="2"/>
        <v>46099.35497</v>
      </c>
      <c r="F2573" s="10">
        <v>7.95</v>
      </c>
    </row>
    <row r="2574" ht="22.5" customHeight="1">
      <c r="B2574" s="4" t="s">
        <v>8</v>
      </c>
      <c r="C2574" s="9">
        <v>46099.385787037034</v>
      </c>
      <c r="D2574" s="10"/>
      <c r="E2574" s="10">
        <f t="shared" si="2"/>
        <v>46099.38579</v>
      </c>
      <c r="F2574" s="10">
        <v>8.0</v>
      </c>
    </row>
    <row r="2575" ht="22.5" customHeight="1">
      <c r="B2575" s="4" t="s">
        <v>8</v>
      </c>
      <c r="C2575" s="9">
        <v>46099.394108796296</v>
      </c>
      <c r="D2575" s="10"/>
      <c r="E2575" s="10">
        <f t="shared" si="2"/>
        <v>46099.39411</v>
      </c>
      <c r="F2575" s="10">
        <v>8.24</v>
      </c>
    </row>
    <row r="2576" ht="22.5" customHeight="1">
      <c r="B2576" s="4" t="s">
        <v>8</v>
      </c>
      <c r="C2576" s="9">
        <v>46099.39549768518</v>
      </c>
      <c r="D2576" s="10"/>
      <c r="E2576" s="10">
        <f t="shared" si="2"/>
        <v>46099.3955</v>
      </c>
      <c r="F2576" s="10">
        <v>8.29</v>
      </c>
    </row>
    <row r="2577" ht="22.5" customHeight="1">
      <c r="B2577" s="4" t="s">
        <v>8</v>
      </c>
      <c r="C2577" s="9">
        <v>46099.39753472222</v>
      </c>
      <c r="D2577" s="10"/>
      <c r="E2577" s="10">
        <f t="shared" si="2"/>
        <v>46099.39753</v>
      </c>
      <c r="F2577" s="10">
        <v>8.24</v>
      </c>
    </row>
    <row r="2578" ht="22.5" customHeight="1">
      <c r="B2578" s="4" t="s">
        <v>8</v>
      </c>
      <c r="C2578" s="9">
        <v>46099.39822916667</v>
      </c>
      <c r="D2578" s="10"/>
      <c r="E2578" s="10">
        <f t="shared" si="2"/>
        <v>46099.39823</v>
      </c>
      <c r="F2578" s="10">
        <v>8.29</v>
      </c>
    </row>
    <row r="2579" ht="22.5" customHeight="1">
      <c r="B2579" s="4" t="s">
        <v>8</v>
      </c>
      <c r="C2579" s="9">
        <v>46099.404386574075</v>
      </c>
      <c r="D2579" s="10"/>
      <c r="E2579" s="10">
        <f t="shared" si="2"/>
        <v>46099.40439</v>
      </c>
      <c r="F2579" s="10">
        <v>8.33</v>
      </c>
    </row>
    <row r="2580" ht="22.5" customHeight="1">
      <c r="B2580" s="4" t="s">
        <v>8</v>
      </c>
      <c r="C2580" s="9">
        <v>46099.405069444445</v>
      </c>
      <c r="D2580" s="10"/>
      <c r="E2580" s="10">
        <f t="shared" si="2"/>
        <v>46099.40507</v>
      </c>
      <c r="F2580" s="10">
        <v>8.29</v>
      </c>
    </row>
    <row r="2581" ht="22.5" customHeight="1">
      <c r="B2581" s="4" t="s">
        <v>8</v>
      </c>
      <c r="C2581" s="9">
        <v>46099.40883101852</v>
      </c>
      <c r="D2581" s="10"/>
      <c r="E2581" s="10">
        <f t="shared" si="2"/>
        <v>46099.40883</v>
      </c>
      <c r="F2581" s="10">
        <v>8.5</v>
      </c>
    </row>
    <row r="2582" ht="22.5" customHeight="1">
      <c r="B2582" s="4" t="s">
        <v>8</v>
      </c>
      <c r="C2582" s="9">
        <v>46099.410891203705</v>
      </c>
      <c r="D2582" s="10"/>
      <c r="E2582" s="10">
        <f t="shared" si="2"/>
        <v>46099.41089</v>
      </c>
      <c r="F2582" s="10">
        <v>8.57</v>
      </c>
    </row>
    <row r="2583" ht="22.5" customHeight="1">
      <c r="B2583" s="4" t="s">
        <v>8</v>
      </c>
      <c r="C2583" s="9">
        <v>46099.412939814814</v>
      </c>
      <c r="D2583" s="10"/>
      <c r="E2583" s="10">
        <f t="shared" si="2"/>
        <v>46099.41294</v>
      </c>
      <c r="F2583" s="10">
        <v>8.5</v>
      </c>
    </row>
    <row r="2584" ht="22.5" customHeight="1">
      <c r="B2584" s="4" t="s">
        <v>8</v>
      </c>
      <c r="C2584" s="9">
        <v>46099.4137962963</v>
      </c>
      <c r="D2584" s="10"/>
      <c r="E2584" s="10">
        <f t="shared" si="2"/>
        <v>46099.4138</v>
      </c>
      <c r="F2584" s="10">
        <v>8.57</v>
      </c>
    </row>
    <row r="2585" ht="22.5" customHeight="1">
      <c r="B2585" s="4" t="s">
        <v>8</v>
      </c>
      <c r="C2585" s="9">
        <v>46099.41774305556</v>
      </c>
      <c r="D2585" s="10"/>
      <c r="E2585" s="10">
        <f t="shared" si="2"/>
        <v>46099.41774</v>
      </c>
      <c r="F2585" s="10">
        <v>8.62</v>
      </c>
    </row>
    <row r="2586" ht="22.5" customHeight="1">
      <c r="B2586" s="4" t="s">
        <v>8</v>
      </c>
      <c r="C2586" s="9">
        <v>46099.421168981484</v>
      </c>
      <c r="D2586" s="10"/>
      <c r="E2586" s="10">
        <f t="shared" si="2"/>
        <v>46099.42117</v>
      </c>
      <c r="F2586" s="10">
        <v>8.57</v>
      </c>
    </row>
    <row r="2587" ht="22.5" customHeight="1">
      <c r="B2587" s="4" t="s">
        <v>8</v>
      </c>
      <c r="C2587" s="9">
        <v>46099.42364583333</v>
      </c>
      <c r="D2587" s="10"/>
      <c r="E2587" s="10">
        <f t="shared" si="2"/>
        <v>46099.42365</v>
      </c>
      <c r="F2587" s="10">
        <v>8.67</v>
      </c>
    </row>
    <row r="2588" ht="22.5" customHeight="1">
      <c r="B2588" s="4" t="s">
        <v>8</v>
      </c>
      <c r="C2588" s="9">
        <v>46099.42429398148</v>
      </c>
      <c r="D2588" s="10"/>
      <c r="E2588" s="10">
        <f t="shared" si="2"/>
        <v>46099.42429</v>
      </c>
      <c r="F2588" s="10">
        <v>8.67</v>
      </c>
    </row>
    <row r="2589" ht="22.5" customHeight="1">
      <c r="B2589" s="4" t="s">
        <v>8</v>
      </c>
      <c r="C2589" s="9">
        <v>46099.42502314815</v>
      </c>
      <c r="D2589" s="10"/>
      <c r="E2589" s="10">
        <f t="shared" si="2"/>
        <v>46099.42502</v>
      </c>
      <c r="F2589" s="10">
        <v>8.74</v>
      </c>
    </row>
    <row r="2590" ht="22.5" customHeight="1">
      <c r="B2590" s="4" t="s">
        <v>8</v>
      </c>
      <c r="C2590" s="9">
        <v>46099.428449074076</v>
      </c>
      <c r="D2590" s="10"/>
      <c r="E2590" s="10">
        <f t="shared" si="2"/>
        <v>46099.42845</v>
      </c>
      <c r="F2590" s="10">
        <v>8.78</v>
      </c>
    </row>
    <row r="2591" ht="22.5" customHeight="1">
      <c r="B2591" s="4" t="s">
        <v>8</v>
      </c>
      <c r="C2591" s="9">
        <v>46099.429131944446</v>
      </c>
      <c r="D2591" s="10"/>
      <c r="E2591" s="10">
        <f t="shared" si="2"/>
        <v>46099.42913</v>
      </c>
      <c r="F2591" s="10">
        <v>8.74</v>
      </c>
    </row>
    <row r="2592" ht="22.5" customHeight="1">
      <c r="B2592" s="4" t="s">
        <v>8</v>
      </c>
      <c r="C2592" s="9">
        <v>46099.430497685185</v>
      </c>
      <c r="D2592" s="10"/>
      <c r="E2592" s="10">
        <f t="shared" si="2"/>
        <v>46099.4305</v>
      </c>
      <c r="F2592" s="10">
        <v>8.78</v>
      </c>
    </row>
    <row r="2593" ht="22.5" customHeight="1">
      <c r="B2593" s="4" t="s">
        <v>8</v>
      </c>
      <c r="C2593" s="9">
        <v>46099.43305555556</v>
      </c>
      <c r="D2593" s="10"/>
      <c r="E2593" s="10">
        <f t="shared" si="2"/>
        <v>46099.43306</v>
      </c>
      <c r="F2593" s="10">
        <v>8.74</v>
      </c>
    </row>
    <row r="2594" ht="22.5" customHeight="1">
      <c r="B2594" s="4" t="s">
        <v>8</v>
      </c>
      <c r="C2594" s="9">
        <v>46099.43633101852</v>
      </c>
      <c r="D2594" s="10"/>
      <c r="E2594" s="10">
        <f t="shared" si="2"/>
        <v>46099.43633</v>
      </c>
      <c r="F2594" s="10">
        <v>8.74</v>
      </c>
    </row>
    <row r="2595" ht="22.5" customHeight="1">
      <c r="B2595" s="4" t="s">
        <v>8</v>
      </c>
      <c r="C2595" s="9">
        <v>46099.43784722222</v>
      </c>
      <c r="D2595" s="10"/>
      <c r="E2595" s="10">
        <f t="shared" si="2"/>
        <v>46099.43785</v>
      </c>
      <c r="F2595" s="10">
        <v>8.78</v>
      </c>
    </row>
    <row r="2596" ht="22.5" customHeight="1">
      <c r="B2596" s="4" t="s">
        <v>8</v>
      </c>
      <c r="C2596" s="9">
        <v>46099.43922453704</v>
      </c>
      <c r="D2596" s="10"/>
      <c r="E2596" s="10">
        <f t="shared" si="2"/>
        <v>46099.43922</v>
      </c>
      <c r="F2596" s="10">
        <v>8.85</v>
      </c>
    </row>
    <row r="2597" ht="22.5" customHeight="1">
      <c r="B2597" s="4" t="s">
        <v>8</v>
      </c>
      <c r="C2597" s="9">
        <v>46099.43990740741</v>
      </c>
      <c r="D2597" s="10"/>
      <c r="E2597" s="10">
        <f t="shared" si="2"/>
        <v>46099.43991</v>
      </c>
      <c r="F2597" s="10">
        <v>8.78</v>
      </c>
    </row>
    <row r="2598" ht="22.5" customHeight="1">
      <c r="B2598" s="4" t="s">
        <v>8</v>
      </c>
      <c r="C2598" s="9">
        <v>46099.44059027778</v>
      </c>
      <c r="D2598" s="10"/>
      <c r="E2598" s="10">
        <f t="shared" si="2"/>
        <v>46099.44059</v>
      </c>
      <c r="F2598" s="10">
        <v>8.74</v>
      </c>
    </row>
    <row r="2599" ht="22.5" customHeight="1">
      <c r="B2599" s="4" t="s">
        <v>8</v>
      </c>
      <c r="C2599" s="9">
        <v>46099.44128472222</v>
      </c>
      <c r="D2599" s="10"/>
      <c r="E2599" s="10">
        <f t="shared" si="2"/>
        <v>46099.44128</v>
      </c>
      <c r="F2599" s="10">
        <v>8.78</v>
      </c>
    </row>
    <row r="2600" ht="22.5" customHeight="1">
      <c r="B2600" s="4" t="s">
        <v>8</v>
      </c>
      <c r="C2600" s="9">
        <v>46099.44196759259</v>
      </c>
      <c r="D2600" s="10"/>
      <c r="E2600" s="10">
        <f t="shared" si="2"/>
        <v>46099.44197</v>
      </c>
      <c r="F2600" s="10">
        <v>8.67</v>
      </c>
    </row>
    <row r="2601" ht="22.5" customHeight="1">
      <c r="B2601" s="4" t="s">
        <v>8</v>
      </c>
      <c r="C2601" s="9">
        <v>46099.44265046297</v>
      </c>
      <c r="D2601" s="10"/>
      <c r="E2601" s="10">
        <f t="shared" si="2"/>
        <v>46099.44265</v>
      </c>
      <c r="F2601" s="10">
        <v>8.62</v>
      </c>
    </row>
    <row r="2602" ht="22.5" customHeight="1">
      <c r="B2602" s="4" t="s">
        <v>8</v>
      </c>
      <c r="C2602" s="9">
        <v>46099.443333333336</v>
      </c>
      <c r="D2602" s="10"/>
      <c r="E2602" s="10">
        <f t="shared" si="2"/>
        <v>46099.44333</v>
      </c>
      <c r="F2602" s="10">
        <v>8.67</v>
      </c>
    </row>
    <row r="2603" ht="22.5" customHeight="1">
      <c r="B2603" s="4" t="s">
        <v>8</v>
      </c>
      <c r="C2603" s="9">
        <v>46099.458402777775</v>
      </c>
      <c r="D2603" s="10"/>
      <c r="E2603" s="10">
        <f t="shared" si="2"/>
        <v>46099.4584</v>
      </c>
      <c r="F2603" s="10">
        <v>8.74</v>
      </c>
    </row>
    <row r="2604" ht="22.5" customHeight="1">
      <c r="B2604" s="4" t="s">
        <v>8</v>
      </c>
      <c r="C2604" s="9">
        <v>46099.45909722222</v>
      </c>
      <c r="D2604" s="10"/>
      <c r="E2604" s="10">
        <f t="shared" si="2"/>
        <v>46099.4591</v>
      </c>
      <c r="F2604" s="10">
        <v>8.67</v>
      </c>
    </row>
    <row r="2605" ht="22.5" customHeight="1">
      <c r="B2605" s="4" t="s">
        <v>8</v>
      </c>
      <c r="C2605" s="9">
        <v>46099.46114583333</v>
      </c>
      <c r="D2605" s="10"/>
      <c r="E2605" s="10">
        <f t="shared" si="2"/>
        <v>46099.46115</v>
      </c>
      <c r="F2605" s="10">
        <v>8.74</v>
      </c>
    </row>
    <row r="2606" ht="22.5" customHeight="1">
      <c r="B2606" s="4" t="s">
        <v>8</v>
      </c>
      <c r="C2606" s="9">
        <v>46099.46252314815</v>
      </c>
      <c r="D2606" s="10"/>
      <c r="E2606" s="10">
        <f t="shared" si="2"/>
        <v>46099.46252</v>
      </c>
      <c r="F2606" s="10">
        <v>8.67</v>
      </c>
    </row>
    <row r="2607" ht="22.5" customHeight="1">
      <c r="B2607" s="4" t="s">
        <v>8</v>
      </c>
      <c r="C2607" s="9">
        <v>46099.46525462963</v>
      </c>
      <c r="D2607" s="10"/>
      <c r="E2607" s="10">
        <f t="shared" si="2"/>
        <v>46099.46525</v>
      </c>
      <c r="F2607" s="10">
        <v>8.74</v>
      </c>
    </row>
    <row r="2608" ht="22.5" customHeight="1">
      <c r="B2608" s="4" t="s">
        <v>8</v>
      </c>
      <c r="C2608" s="9">
        <v>46099.46732638889</v>
      </c>
      <c r="D2608" s="10"/>
      <c r="E2608" s="10">
        <f t="shared" si="2"/>
        <v>46099.46733</v>
      </c>
      <c r="F2608" s="10">
        <v>8.78</v>
      </c>
    </row>
    <row r="2609" ht="22.5" customHeight="1">
      <c r="B2609" s="4" t="s">
        <v>8</v>
      </c>
      <c r="C2609" s="9">
        <v>46099.46800925926</v>
      </c>
      <c r="D2609" s="10"/>
      <c r="E2609" s="10">
        <f t="shared" si="2"/>
        <v>46099.46801</v>
      </c>
      <c r="F2609" s="10">
        <v>8.74</v>
      </c>
    </row>
    <row r="2610" ht="22.5" customHeight="1">
      <c r="B2610" s="4" t="s">
        <v>8</v>
      </c>
      <c r="C2610" s="9">
        <v>46099.469375</v>
      </c>
      <c r="D2610" s="10"/>
      <c r="E2610" s="10">
        <f t="shared" si="2"/>
        <v>46099.46938</v>
      </c>
      <c r="F2610" s="10">
        <v>8.78</v>
      </c>
    </row>
    <row r="2611" ht="22.5" customHeight="1">
      <c r="B2611" s="4" t="s">
        <v>8</v>
      </c>
      <c r="C2611" s="9">
        <v>46099.47005787037</v>
      </c>
      <c r="D2611" s="10"/>
      <c r="E2611" s="10">
        <f t="shared" si="2"/>
        <v>46099.47006</v>
      </c>
      <c r="F2611" s="10">
        <v>8.74</v>
      </c>
    </row>
    <row r="2612" ht="22.5" customHeight="1">
      <c r="B2612" s="4" t="s">
        <v>8</v>
      </c>
      <c r="C2612" s="9">
        <v>46099.4734837963</v>
      </c>
      <c r="D2612" s="10"/>
      <c r="E2612" s="10">
        <f t="shared" si="2"/>
        <v>46099.47348</v>
      </c>
      <c r="F2612" s="10">
        <v>8.78</v>
      </c>
    </row>
    <row r="2613" ht="22.5" customHeight="1">
      <c r="B2613" s="4" t="s">
        <v>8</v>
      </c>
      <c r="C2613" s="9">
        <v>46099.47416666667</v>
      </c>
      <c r="D2613" s="10"/>
      <c r="E2613" s="10">
        <f t="shared" si="2"/>
        <v>46099.47417</v>
      </c>
      <c r="F2613" s="10">
        <v>8.67</v>
      </c>
    </row>
    <row r="2614" ht="22.5" customHeight="1">
      <c r="B2614" s="4" t="s">
        <v>8</v>
      </c>
      <c r="C2614" s="9">
        <v>46099.47486111111</v>
      </c>
      <c r="D2614" s="10"/>
      <c r="E2614" s="10">
        <f t="shared" si="2"/>
        <v>46099.47486</v>
      </c>
      <c r="F2614" s="10">
        <v>8.74</v>
      </c>
    </row>
    <row r="2615" ht="22.5" customHeight="1">
      <c r="B2615" s="4" t="s">
        <v>8</v>
      </c>
      <c r="C2615" s="9">
        <v>46099.47759259259</v>
      </c>
      <c r="D2615" s="10"/>
      <c r="E2615" s="10">
        <f t="shared" si="2"/>
        <v>46099.47759</v>
      </c>
      <c r="F2615" s="10">
        <v>8.78</v>
      </c>
    </row>
    <row r="2616" ht="22.5" customHeight="1">
      <c r="B2616" s="4" t="s">
        <v>8</v>
      </c>
      <c r="C2616" s="9">
        <v>46099.47895833333</v>
      </c>
      <c r="D2616" s="10"/>
      <c r="E2616" s="10">
        <f t="shared" si="2"/>
        <v>46099.47896</v>
      </c>
      <c r="F2616" s="10">
        <v>8.85</v>
      </c>
    </row>
    <row r="2617" ht="22.5" customHeight="1">
      <c r="B2617" s="4" t="s">
        <v>8</v>
      </c>
      <c r="C2617" s="9">
        <v>46099.48101851852</v>
      </c>
      <c r="D2617" s="10"/>
      <c r="E2617" s="10">
        <f t="shared" si="2"/>
        <v>46099.48102</v>
      </c>
      <c r="F2617" s="10">
        <v>8.78</v>
      </c>
    </row>
    <row r="2618" ht="22.5" customHeight="1">
      <c r="B2618" s="4" t="s">
        <v>8</v>
      </c>
      <c r="C2618" s="9">
        <v>46099.48170138889</v>
      </c>
      <c r="D2618" s="10"/>
      <c r="E2618" s="10">
        <f t="shared" si="2"/>
        <v>46099.4817</v>
      </c>
      <c r="F2618" s="10">
        <v>8.85</v>
      </c>
    </row>
    <row r="2619" ht="22.5" customHeight="1">
      <c r="B2619" s="4" t="s">
        <v>8</v>
      </c>
      <c r="C2619" s="9">
        <v>46099.51664351852</v>
      </c>
      <c r="D2619" s="10"/>
      <c r="E2619" s="10">
        <f t="shared" si="2"/>
        <v>46099.51664</v>
      </c>
      <c r="F2619" s="10">
        <v>8.89</v>
      </c>
    </row>
    <row r="2620" ht="22.5" customHeight="1">
      <c r="B2620" s="4" t="s">
        <v>8</v>
      </c>
      <c r="C2620" s="9">
        <v>46099.51732638889</v>
      </c>
      <c r="D2620" s="10"/>
      <c r="E2620" s="10">
        <f t="shared" si="2"/>
        <v>46099.51733</v>
      </c>
      <c r="F2620" s="10">
        <v>8.95</v>
      </c>
    </row>
    <row r="2621" ht="22.5" customHeight="1">
      <c r="B2621" s="4" t="s">
        <v>8</v>
      </c>
      <c r="C2621" s="9">
        <v>46099.518692129626</v>
      </c>
      <c r="D2621" s="10"/>
      <c r="E2621" s="10">
        <f t="shared" si="2"/>
        <v>46099.51869</v>
      </c>
      <c r="F2621" s="10">
        <v>8.89</v>
      </c>
    </row>
    <row r="2622" ht="22.5" customHeight="1">
      <c r="B2622" s="4" t="s">
        <v>8</v>
      </c>
      <c r="C2622" s="9">
        <v>46099.519375</v>
      </c>
      <c r="D2622" s="10"/>
      <c r="E2622" s="10">
        <f t="shared" si="2"/>
        <v>46099.51938</v>
      </c>
      <c r="F2622" s="10">
        <v>8.95</v>
      </c>
    </row>
    <row r="2623" ht="22.5" customHeight="1">
      <c r="B2623" s="4" t="s">
        <v>8</v>
      </c>
      <c r="C2623" s="9">
        <v>46099.52075231481</v>
      </c>
      <c r="D2623" s="10"/>
      <c r="E2623" s="10">
        <f t="shared" si="2"/>
        <v>46099.52075</v>
      </c>
      <c r="F2623" s="10">
        <v>8.85</v>
      </c>
    </row>
    <row r="2624" ht="22.5" customHeight="1">
      <c r="B2624" s="4" t="s">
        <v>8</v>
      </c>
      <c r="C2624" s="9">
        <v>46099.52554398148</v>
      </c>
      <c r="D2624" s="10"/>
      <c r="E2624" s="10">
        <f t="shared" si="2"/>
        <v>46099.52554</v>
      </c>
      <c r="F2624" s="10">
        <v>8.89</v>
      </c>
    </row>
    <row r="2625" ht="22.5" customHeight="1">
      <c r="B2625" s="4" t="s">
        <v>8</v>
      </c>
      <c r="C2625" s="9">
        <v>46099.526238425926</v>
      </c>
      <c r="D2625" s="10"/>
      <c r="E2625" s="10">
        <f t="shared" si="2"/>
        <v>46099.52624</v>
      </c>
      <c r="F2625" s="10">
        <v>8.85</v>
      </c>
    </row>
    <row r="2626" ht="22.5" customHeight="1">
      <c r="B2626" s="4" t="s">
        <v>8</v>
      </c>
      <c r="C2626" s="9">
        <v>46099.528287037036</v>
      </c>
      <c r="D2626" s="10"/>
      <c r="E2626" s="10">
        <f t="shared" si="2"/>
        <v>46099.52829</v>
      </c>
      <c r="F2626" s="10">
        <v>8.89</v>
      </c>
    </row>
    <row r="2627" ht="22.5" customHeight="1">
      <c r="B2627" s="4" t="s">
        <v>8</v>
      </c>
      <c r="C2627" s="9">
        <v>46099.53034722222</v>
      </c>
      <c r="D2627" s="10"/>
      <c r="E2627" s="10">
        <f t="shared" si="2"/>
        <v>46099.53035</v>
      </c>
      <c r="F2627" s="10">
        <v>8.85</v>
      </c>
    </row>
    <row r="2628" ht="22.5" customHeight="1">
      <c r="B2628" s="4" t="s">
        <v>8</v>
      </c>
      <c r="C2628" s="9">
        <v>46099.53171296296</v>
      </c>
      <c r="D2628" s="10"/>
      <c r="E2628" s="10">
        <f t="shared" si="2"/>
        <v>46099.53171</v>
      </c>
      <c r="F2628" s="10">
        <v>8.89</v>
      </c>
    </row>
    <row r="2629" ht="22.5" customHeight="1">
      <c r="B2629" s="4" t="s">
        <v>8</v>
      </c>
      <c r="C2629" s="9">
        <v>46099.53239583333</v>
      </c>
      <c r="D2629" s="10"/>
      <c r="E2629" s="10">
        <f t="shared" si="2"/>
        <v>46099.5324</v>
      </c>
      <c r="F2629" s="10">
        <v>8.85</v>
      </c>
    </row>
    <row r="2630" ht="22.5" customHeight="1">
      <c r="B2630" s="4" t="s">
        <v>8</v>
      </c>
      <c r="C2630" s="9">
        <v>46099.54267361111</v>
      </c>
      <c r="D2630" s="10"/>
      <c r="E2630" s="10">
        <f t="shared" si="2"/>
        <v>46099.54267</v>
      </c>
      <c r="F2630" s="10">
        <v>8.89</v>
      </c>
    </row>
    <row r="2631" ht="22.5" customHeight="1">
      <c r="B2631" s="4" t="s">
        <v>8</v>
      </c>
      <c r="C2631" s="9">
        <v>46099.54335648148</v>
      </c>
      <c r="D2631" s="10"/>
      <c r="E2631" s="10">
        <f t="shared" si="2"/>
        <v>46099.54336</v>
      </c>
      <c r="F2631" s="10">
        <v>8.85</v>
      </c>
    </row>
    <row r="2632" ht="22.5" customHeight="1">
      <c r="B2632" s="4" t="s">
        <v>8</v>
      </c>
      <c r="C2632" s="9">
        <v>46099.54609953704</v>
      </c>
      <c r="D2632" s="10"/>
      <c r="E2632" s="10">
        <f t="shared" si="2"/>
        <v>46099.5461</v>
      </c>
      <c r="F2632" s="10">
        <v>8.89</v>
      </c>
    </row>
    <row r="2633" ht="22.5" customHeight="1">
      <c r="B2633" s="4" t="s">
        <v>8</v>
      </c>
      <c r="C2633" s="9">
        <v>46099.54678240741</v>
      </c>
      <c r="D2633" s="10"/>
      <c r="E2633" s="10">
        <f t="shared" si="2"/>
        <v>46099.54678</v>
      </c>
      <c r="F2633" s="10">
        <v>8.85</v>
      </c>
    </row>
    <row r="2634" ht="22.5" customHeight="1">
      <c r="B2634" s="4" t="s">
        <v>8</v>
      </c>
      <c r="C2634" s="9">
        <v>46099.54746527778</v>
      </c>
      <c r="D2634" s="10"/>
      <c r="E2634" s="10">
        <f t="shared" si="2"/>
        <v>46099.54747</v>
      </c>
      <c r="F2634" s="10">
        <v>8.89</v>
      </c>
    </row>
    <row r="2635" ht="22.5" customHeight="1">
      <c r="B2635" s="4" t="s">
        <v>8</v>
      </c>
      <c r="C2635" s="9">
        <v>46099.548842592594</v>
      </c>
      <c r="D2635" s="10"/>
      <c r="E2635" s="10">
        <f t="shared" si="2"/>
        <v>46099.54884</v>
      </c>
      <c r="F2635" s="10">
        <v>9.01</v>
      </c>
    </row>
    <row r="2636" ht="22.5" customHeight="1">
      <c r="B2636" s="4" t="s">
        <v>8</v>
      </c>
      <c r="C2636" s="9">
        <v>46099.55181712963</v>
      </c>
      <c r="D2636" s="10"/>
      <c r="E2636" s="10">
        <f t="shared" si="2"/>
        <v>46099.55182</v>
      </c>
      <c r="F2636" s="10">
        <v>9.07</v>
      </c>
    </row>
    <row r="2637" ht="22.5" customHeight="1">
      <c r="B2637" s="4" t="s">
        <v>8</v>
      </c>
      <c r="C2637" s="9">
        <v>46099.55454861111</v>
      </c>
      <c r="D2637" s="10"/>
      <c r="E2637" s="10">
        <f t="shared" si="2"/>
        <v>46099.55455</v>
      </c>
      <c r="F2637" s="10">
        <v>9.01</v>
      </c>
    </row>
    <row r="2638" ht="22.5" customHeight="1">
      <c r="B2638" s="4" t="s">
        <v>8</v>
      </c>
      <c r="C2638" s="9">
        <v>46099.555231481485</v>
      </c>
      <c r="D2638" s="10"/>
      <c r="E2638" s="10">
        <f t="shared" si="2"/>
        <v>46099.55523</v>
      </c>
      <c r="F2638" s="10">
        <v>9.07</v>
      </c>
    </row>
    <row r="2639" ht="22.5" customHeight="1">
      <c r="B2639" s="4" t="s">
        <v>8</v>
      </c>
      <c r="C2639" s="9">
        <v>46099.55636574074</v>
      </c>
      <c r="D2639" s="10"/>
      <c r="E2639" s="10">
        <f t="shared" si="2"/>
        <v>46099.55637</v>
      </c>
      <c r="F2639" s="10">
        <v>9.07</v>
      </c>
    </row>
    <row r="2640" ht="22.5" customHeight="1">
      <c r="B2640" s="4" t="s">
        <v>8</v>
      </c>
      <c r="C2640" s="9">
        <v>46099.556608796294</v>
      </c>
      <c r="D2640" s="10"/>
      <c r="E2640" s="10">
        <f t="shared" si="2"/>
        <v>46099.55661</v>
      </c>
      <c r="F2640" s="10">
        <v>9.01</v>
      </c>
    </row>
    <row r="2641" ht="22.5" customHeight="1">
      <c r="B2641" s="4" t="s">
        <v>8</v>
      </c>
      <c r="C2641" s="9">
        <v>46099.557291666664</v>
      </c>
      <c r="D2641" s="10"/>
      <c r="E2641" s="10">
        <f t="shared" si="2"/>
        <v>46099.55729</v>
      </c>
      <c r="F2641" s="10">
        <v>9.07</v>
      </c>
    </row>
    <row r="2642" ht="22.5" customHeight="1">
      <c r="B2642" s="4" t="s">
        <v>8</v>
      </c>
      <c r="C2642" s="9">
        <v>46099.557974537034</v>
      </c>
      <c r="D2642" s="10"/>
      <c r="E2642" s="10">
        <f t="shared" si="2"/>
        <v>46099.55797</v>
      </c>
      <c r="F2642" s="10">
        <v>9.01</v>
      </c>
    </row>
    <row r="2643" ht="22.5" customHeight="1">
      <c r="B2643" s="4" t="s">
        <v>8</v>
      </c>
      <c r="C2643" s="9">
        <v>46099.55866898148</v>
      </c>
      <c r="D2643" s="10"/>
      <c r="E2643" s="10">
        <f t="shared" si="2"/>
        <v>46099.55867</v>
      </c>
      <c r="F2643" s="10">
        <v>9.07</v>
      </c>
    </row>
    <row r="2644" ht="22.5" customHeight="1">
      <c r="B2644" s="4" t="s">
        <v>8</v>
      </c>
      <c r="C2644" s="9">
        <v>46099.57037037037</v>
      </c>
      <c r="D2644" s="10"/>
      <c r="E2644" s="10">
        <f t="shared" si="2"/>
        <v>46099.57037</v>
      </c>
      <c r="F2644" s="10">
        <v>9.07</v>
      </c>
    </row>
    <row r="2645" ht="22.5" customHeight="1">
      <c r="B2645" s="4" t="s">
        <v>8</v>
      </c>
      <c r="C2645" s="9">
        <v>46099.578564814816</v>
      </c>
      <c r="D2645" s="10"/>
      <c r="E2645" s="10">
        <f t="shared" si="2"/>
        <v>46099.57856</v>
      </c>
      <c r="F2645" s="10">
        <v>9.12</v>
      </c>
    </row>
    <row r="2646" ht="22.5" customHeight="1">
      <c r="B2646" s="4" t="s">
        <v>8</v>
      </c>
      <c r="C2646" s="9">
        <v>46099.579247685186</v>
      </c>
      <c r="D2646" s="10"/>
      <c r="E2646" s="10">
        <f t="shared" si="2"/>
        <v>46099.57925</v>
      </c>
      <c r="F2646" s="10">
        <v>9.07</v>
      </c>
    </row>
    <row r="2647" ht="22.5" customHeight="1">
      <c r="B2647" s="4" t="s">
        <v>8</v>
      </c>
      <c r="C2647" s="9">
        <v>46099.624247685184</v>
      </c>
      <c r="D2647" s="10"/>
      <c r="E2647" s="10">
        <f t="shared" si="2"/>
        <v>46099.62425</v>
      </c>
      <c r="F2647" s="10">
        <v>9.07</v>
      </c>
    </row>
    <row r="2648" ht="22.5" customHeight="1">
      <c r="B2648" s="4" t="s">
        <v>8</v>
      </c>
      <c r="C2648" s="9">
        <v>46099.63487268519</v>
      </c>
      <c r="D2648" s="10"/>
      <c r="E2648" s="10">
        <f t="shared" si="2"/>
        <v>46099.63487</v>
      </c>
      <c r="F2648" s="10">
        <v>9.07</v>
      </c>
    </row>
    <row r="2649" ht="22.5" customHeight="1">
      <c r="B2649" s="4" t="s">
        <v>8</v>
      </c>
      <c r="C2649" s="9">
        <v>46099.637083333335</v>
      </c>
      <c r="D2649" s="10"/>
      <c r="E2649" s="10">
        <f t="shared" si="2"/>
        <v>46099.63708</v>
      </c>
      <c r="F2649" s="10">
        <v>9.07</v>
      </c>
    </row>
    <row r="2650" ht="22.5" customHeight="1">
      <c r="B2650" s="4" t="s">
        <v>8</v>
      </c>
      <c r="C2650" s="9">
        <v>46099.637650462966</v>
      </c>
      <c r="D2650" s="10"/>
      <c r="E2650" s="10">
        <f t="shared" si="2"/>
        <v>46099.63765</v>
      </c>
      <c r="F2650" s="10">
        <v>9.12</v>
      </c>
    </row>
    <row r="2651" ht="22.5" customHeight="1">
      <c r="B2651" s="4" t="s">
        <v>8</v>
      </c>
      <c r="C2651" s="9">
        <v>46099.639016203706</v>
      </c>
      <c r="D2651" s="10"/>
      <c r="E2651" s="10">
        <f t="shared" si="2"/>
        <v>46099.63902</v>
      </c>
      <c r="F2651" s="10">
        <v>9.18</v>
      </c>
    </row>
    <row r="2652" ht="22.5" customHeight="1">
      <c r="B2652" s="4" t="s">
        <v>8</v>
      </c>
      <c r="C2652" s="9">
        <v>46099.640393518515</v>
      </c>
      <c r="D2652" s="10"/>
      <c r="E2652" s="10">
        <f t="shared" si="2"/>
        <v>46099.64039</v>
      </c>
      <c r="F2652" s="10">
        <v>9.22</v>
      </c>
    </row>
    <row r="2653" ht="22.5" customHeight="1">
      <c r="B2653" s="4" t="s">
        <v>8</v>
      </c>
      <c r="C2653" s="9">
        <v>46099.641076388885</v>
      </c>
      <c r="D2653" s="10"/>
      <c r="E2653" s="10">
        <f t="shared" si="2"/>
        <v>46099.64108</v>
      </c>
      <c r="F2653" s="10">
        <v>9.39</v>
      </c>
    </row>
    <row r="2654" ht="22.5" customHeight="1">
      <c r="B2654" s="4" t="s">
        <v>8</v>
      </c>
      <c r="C2654" s="9">
        <v>46099.641284722224</v>
      </c>
      <c r="D2654" s="10"/>
      <c r="E2654" s="10">
        <f t="shared" si="2"/>
        <v>46099.64128</v>
      </c>
      <c r="F2654" s="10">
        <v>9.39</v>
      </c>
    </row>
    <row r="2655" ht="22.5" customHeight="1">
      <c r="B2655" s="4" t="s">
        <v>8</v>
      </c>
      <c r="C2655" s="9">
        <v>46099.64518518518</v>
      </c>
      <c r="D2655" s="10"/>
      <c r="E2655" s="10">
        <f t="shared" si="2"/>
        <v>46099.64519</v>
      </c>
      <c r="F2655" s="10">
        <v>9.43</v>
      </c>
    </row>
    <row r="2656" ht="22.5" customHeight="1">
      <c r="B2656" s="4" t="s">
        <v>8</v>
      </c>
      <c r="C2656" s="9">
        <v>46099.64587962963</v>
      </c>
      <c r="D2656" s="10"/>
      <c r="E2656" s="10">
        <f t="shared" si="2"/>
        <v>46099.64588</v>
      </c>
      <c r="F2656" s="10">
        <v>9.49</v>
      </c>
    </row>
    <row r="2657" ht="22.5" customHeight="1">
      <c r="B2657" s="4" t="s">
        <v>8</v>
      </c>
      <c r="C2657" s="9">
        <v>46099.6465625</v>
      </c>
      <c r="D2657" s="10"/>
      <c r="E2657" s="10">
        <f t="shared" si="2"/>
        <v>46099.64656</v>
      </c>
      <c r="F2657" s="10">
        <v>9.55</v>
      </c>
    </row>
    <row r="2658" ht="22.5" customHeight="1">
      <c r="B2658" s="4" t="s">
        <v>8</v>
      </c>
      <c r="C2658" s="9">
        <v>46099.64724537037</v>
      </c>
      <c r="D2658" s="10"/>
      <c r="E2658" s="10">
        <f t="shared" si="2"/>
        <v>46099.64725</v>
      </c>
      <c r="F2658" s="10">
        <v>9.6</v>
      </c>
    </row>
    <row r="2659" ht="22.5" customHeight="1">
      <c r="B2659" s="4" t="s">
        <v>8</v>
      </c>
      <c r="C2659" s="9">
        <v>46099.65204861111</v>
      </c>
      <c r="D2659" s="10"/>
      <c r="E2659" s="10">
        <f t="shared" si="2"/>
        <v>46099.65205</v>
      </c>
      <c r="F2659" s="10">
        <v>9.66</v>
      </c>
    </row>
    <row r="2660" ht="22.5" customHeight="1">
      <c r="B2660" s="4" t="s">
        <v>8</v>
      </c>
      <c r="C2660" s="9">
        <v>46099.65273148148</v>
      </c>
      <c r="D2660" s="10"/>
      <c r="E2660" s="10">
        <f t="shared" si="2"/>
        <v>46099.65273</v>
      </c>
      <c r="F2660" s="10">
        <v>9.6</v>
      </c>
    </row>
    <row r="2661" ht="22.5" customHeight="1">
      <c r="B2661" s="4" t="s">
        <v>8</v>
      </c>
      <c r="C2661" s="9">
        <v>46099.65341435185</v>
      </c>
      <c r="D2661" s="10"/>
      <c r="E2661" s="10">
        <f t="shared" si="2"/>
        <v>46099.65341</v>
      </c>
      <c r="F2661" s="10">
        <v>9.72</v>
      </c>
    </row>
    <row r="2662" ht="22.5" customHeight="1">
      <c r="B2662" s="4" t="s">
        <v>8</v>
      </c>
      <c r="C2662" s="9">
        <v>46099.65547453704</v>
      </c>
      <c r="D2662" s="10"/>
      <c r="E2662" s="10">
        <f t="shared" si="2"/>
        <v>46099.65547</v>
      </c>
      <c r="F2662" s="10">
        <v>9.76</v>
      </c>
    </row>
    <row r="2663" ht="22.5" customHeight="1">
      <c r="B2663" s="4" t="s">
        <v>8</v>
      </c>
      <c r="C2663" s="9">
        <v>46099.661631944444</v>
      </c>
      <c r="D2663" s="10"/>
      <c r="E2663" s="10">
        <f t="shared" si="2"/>
        <v>46099.66163</v>
      </c>
      <c r="F2663" s="10">
        <v>9.82</v>
      </c>
    </row>
    <row r="2664" ht="22.5" customHeight="1">
      <c r="B2664" s="4" t="s">
        <v>8</v>
      </c>
      <c r="C2664" s="9">
        <v>46099.662314814814</v>
      </c>
      <c r="D2664" s="10"/>
      <c r="E2664" s="10">
        <f t="shared" si="2"/>
        <v>46099.66231</v>
      </c>
      <c r="F2664" s="10">
        <v>9.88</v>
      </c>
    </row>
    <row r="2665" ht="22.5" customHeight="1">
      <c r="B2665" s="4" t="s">
        <v>8</v>
      </c>
      <c r="C2665" s="9">
        <v>46099.66300925926</v>
      </c>
      <c r="D2665" s="10"/>
      <c r="E2665" s="10">
        <f t="shared" si="2"/>
        <v>46099.66301</v>
      </c>
      <c r="F2665" s="10">
        <v>9.92</v>
      </c>
    </row>
    <row r="2666" ht="22.5" customHeight="1">
      <c r="B2666" s="4" t="s">
        <v>8</v>
      </c>
      <c r="C2666" s="9">
        <v>46099.66369212963</v>
      </c>
      <c r="D2666" s="10"/>
      <c r="E2666" s="10">
        <f t="shared" si="2"/>
        <v>46099.66369</v>
      </c>
      <c r="F2666" s="10">
        <v>9.97</v>
      </c>
    </row>
    <row r="2667" ht="22.5" customHeight="1">
      <c r="B2667" s="4" t="s">
        <v>8</v>
      </c>
      <c r="C2667" s="9">
        <v>46099.664375</v>
      </c>
      <c r="D2667" s="10"/>
      <c r="E2667" s="10">
        <f t="shared" si="2"/>
        <v>46099.66438</v>
      </c>
      <c r="F2667" s="10">
        <v>9.92</v>
      </c>
    </row>
    <row r="2668" ht="22.5" customHeight="1">
      <c r="B2668" s="4" t="s">
        <v>8</v>
      </c>
      <c r="C2668" s="9">
        <v>46099.66506944445</v>
      </c>
      <c r="D2668" s="10"/>
      <c r="E2668" s="10">
        <f t="shared" si="2"/>
        <v>46099.66507</v>
      </c>
      <c r="F2668" s="10">
        <v>9.97</v>
      </c>
    </row>
    <row r="2669" ht="22.5" customHeight="1">
      <c r="B2669" s="4" t="s">
        <v>8</v>
      </c>
      <c r="C2669" s="9">
        <v>46099.67465277778</v>
      </c>
      <c r="D2669" s="10"/>
      <c r="E2669" s="10">
        <f t="shared" si="2"/>
        <v>46099.67465</v>
      </c>
      <c r="F2669" s="10">
        <v>10.05</v>
      </c>
    </row>
    <row r="2670" ht="22.5" customHeight="1">
      <c r="B2670" s="4" t="s">
        <v>8</v>
      </c>
      <c r="C2670" s="9">
        <v>46099.67533564815</v>
      </c>
      <c r="D2670" s="10"/>
      <c r="E2670" s="10">
        <f t="shared" si="2"/>
        <v>46099.67534</v>
      </c>
      <c r="F2670" s="10">
        <v>10.09</v>
      </c>
    </row>
    <row r="2671" ht="22.5" customHeight="1">
      <c r="B2671" s="4" t="s">
        <v>8</v>
      </c>
      <c r="C2671" s="9">
        <v>46099.678078703706</v>
      </c>
      <c r="D2671" s="10"/>
      <c r="E2671" s="10">
        <f t="shared" si="2"/>
        <v>46099.67808</v>
      </c>
      <c r="F2671" s="10">
        <v>10.13</v>
      </c>
    </row>
    <row r="2672" ht="22.5" customHeight="1">
      <c r="B2672" s="4" t="s">
        <v>8</v>
      </c>
      <c r="C2672" s="9">
        <v>46099.68835648148</v>
      </c>
      <c r="D2672" s="10"/>
      <c r="E2672" s="10">
        <f t="shared" si="2"/>
        <v>46099.68836</v>
      </c>
      <c r="F2672" s="10">
        <v>10.21</v>
      </c>
    </row>
    <row r="2673" ht="22.5" customHeight="1">
      <c r="B2673" s="4" t="s">
        <v>8</v>
      </c>
      <c r="C2673" s="9">
        <v>46099.689039351855</v>
      </c>
      <c r="D2673" s="10"/>
      <c r="E2673" s="10">
        <f t="shared" si="2"/>
        <v>46099.68904</v>
      </c>
      <c r="F2673" s="10">
        <v>10.13</v>
      </c>
    </row>
    <row r="2674" ht="22.5" customHeight="1">
      <c r="B2674" s="4" t="s">
        <v>8</v>
      </c>
      <c r="C2674" s="9">
        <v>46099.689733796295</v>
      </c>
      <c r="D2674" s="10"/>
      <c r="E2674" s="10">
        <f t="shared" si="2"/>
        <v>46099.68973</v>
      </c>
      <c r="F2674" s="10">
        <v>10.21</v>
      </c>
    </row>
    <row r="2675" ht="22.5" customHeight="1">
      <c r="B2675" s="4" t="s">
        <v>8</v>
      </c>
      <c r="C2675" s="9">
        <v>46099.69247685185</v>
      </c>
      <c r="D2675" s="10"/>
      <c r="E2675" s="10">
        <f t="shared" si="2"/>
        <v>46099.69248</v>
      </c>
      <c r="F2675" s="10">
        <v>10.26</v>
      </c>
    </row>
    <row r="2676" ht="22.5" customHeight="1">
      <c r="B2676" s="4" t="s">
        <v>8</v>
      </c>
      <c r="C2676" s="9">
        <v>46099.697962962964</v>
      </c>
      <c r="D2676" s="10"/>
      <c r="E2676" s="10">
        <f t="shared" si="2"/>
        <v>46099.69796</v>
      </c>
      <c r="F2676" s="10">
        <v>10.3</v>
      </c>
    </row>
    <row r="2677" ht="22.5" customHeight="1">
      <c r="B2677" s="4" t="s">
        <v>8</v>
      </c>
      <c r="C2677" s="9">
        <v>46099.720555555556</v>
      </c>
      <c r="D2677" s="10"/>
      <c r="E2677" s="10">
        <f t="shared" si="2"/>
        <v>46099.72056</v>
      </c>
      <c r="F2677" s="10">
        <v>10.37</v>
      </c>
    </row>
    <row r="2678" ht="22.5" customHeight="1">
      <c r="B2678" s="4" t="s">
        <v>8</v>
      </c>
      <c r="C2678" s="9">
        <v>46099.72329861111</v>
      </c>
      <c r="D2678" s="10"/>
      <c r="E2678" s="10">
        <f t="shared" si="2"/>
        <v>46099.7233</v>
      </c>
      <c r="F2678" s="10">
        <v>10.42</v>
      </c>
    </row>
    <row r="2679" ht="22.5" customHeight="1">
      <c r="B2679" s="4" t="s">
        <v>8</v>
      </c>
      <c r="C2679" s="9">
        <v>46099.72398148148</v>
      </c>
      <c r="D2679" s="10"/>
      <c r="E2679" s="10">
        <f t="shared" si="2"/>
        <v>46099.72398</v>
      </c>
      <c r="F2679" s="10">
        <v>10.46</v>
      </c>
    </row>
    <row r="2680" ht="22.5" customHeight="1">
      <c r="B2680" s="4" t="s">
        <v>8</v>
      </c>
      <c r="C2680" s="9">
        <v>46099.72467592593</v>
      </c>
      <c r="D2680" s="10"/>
      <c r="E2680" s="10">
        <f t="shared" si="2"/>
        <v>46099.72468</v>
      </c>
      <c r="F2680" s="10">
        <v>10.42</v>
      </c>
    </row>
    <row r="2681" ht="22.5" customHeight="1">
      <c r="B2681" s="4" t="s">
        <v>8</v>
      </c>
      <c r="C2681" s="9">
        <v>46099.72673611111</v>
      </c>
      <c r="D2681" s="10"/>
      <c r="E2681" s="10">
        <f t="shared" si="2"/>
        <v>46099.72674</v>
      </c>
      <c r="F2681" s="10">
        <v>10.46</v>
      </c>
    </row>
    <row r="2682" ht="22.5" customHeight="1">
      <c r="B2682" s="4" t="s">
        <v>8</v>
      </c>
      <c r="C2682" s="9">
        <v>46099.72741898148</v>
      </c>
      <c r="D2682" s="10"/>
      <c r="E2682" s="10">
        <f t="shared" si="2"/>
        <v>46099.72742</v>
      </c>
      <c r="F2682" s="10">
        <v>10.42</v>
      </c>
    </row>
    <row r="2683" ht="22.5" customHeight="1">
      <c r="B2683" s="4" t="s">
        <v>8</v>
      </c>
      <c r="C2683" s="9">
        <v>46099.729467592595</v>
      </c>
      <c r="D2683" s="10"/>
      <c r="E2683" s="10">
        <f t="shared" si="2"/>
        <v>46099.72947</v>
      </c>
      <c r="F2683" s="10">
        <v>10.46</v>
      </c>
    </row>
    <row r="2684" ht="22.5" customHeight="1">
      <c r="B2684" s="4" t="s">
        <v>8</v>
      </c>
      <c r="C2684" s="9">
        <v>46099.73221064815</v>
      </c>
      <c r="D2684" s="10"/>
      <c r="E2684" s="10">
        <f t="shared" si="2"/>
        <v>46099.73221</v>
      </c>
      <c r="F2684" s="10">
        <v>10.54</v>
      </c>
    </row>
    <row r="2685" ht="22.5" customHeight="1">
      <c r="B2685" s="4" t="s">
        <v>8</v>
      </c>
      <c r="C2685" s="9">
        <v>46099.7390625</v>
      </c>
      <c r="D2685" s="10"/>
      <c r="E2685" s="10">
        <f t="shared" si="2"/>
        <v>46099.73906</v>
      </c>
      <c r="F2685" s="10">
        <v>10.46</v>
      </c>
    </row>
    <row r="2686" ht="22.5" customHeight="1">
      <c r="B2686" s="4" t="s">
        <v>8</v>
      </c>
      <c r="C2686" s="9">
        <v>46099.73974537037</v>
      </c>
      <c r="D2686" s="10"/>
      <c r="E2686" s="10">
        <f t="shared" si="2"/>
        <v>46099.73975</v>
      </c>
      <c r="F2686" s="10">
        <v>10.54</v>
      </c>
    </row>
    <row r="2687" ht="22.5" customHeight="1">
      <c r="B2687" s="4" t="s">
        <v>8</v>
      </c>
      <c r="C2687" s="9">
        <v>46099.74453703704</v>
      </c>
      <c r="D2687" s="10"/>
      <c r="E2687" s="10">
        <f t="shared" si="2"/>
        <v>46099.74454</v>
      </c>
      <c r="F2687" s="10">
        <v>10.46</v>
      </c>
    </row>
    <row r="2688" ht="22.5" customHeight="1">
      <c r="B2688" s="4" t="s">
        <v>8</v>
      </c>
      <c r="C2688" s="9">
        <v>46099.74659722222</v>
      </c>
      <c r="D2688" s="10"/>
      <c r="E2688" s="10">
        <f t="shared" si="2"/>
        <v>46099.7466</v>
      </c>
      <c r="F2688" s="10">
        <v>10.54</v>
      </c>
    </row>
    <row r="2689" ht="22.5" customHeight="1">
      <c r="B2689" s="4" t="s">
        <v>8</v>
      </c>
      <c r="C2689" s="9">
        <v>46099.76577546296</v>
      </c>
      <c r="D2689" s="10"/>
      <c r="E2689" s="10">
        <f t="shared" si="2"/>
        <v>46099.76578</v>
      </c>
      <c r="F2689" s="10">
        <v>10.86</v>
      </c>
    </row>
    <row r="2690" ht="22.5" customHeight="1">
      <c r="B2690" s="4" t="s">
        <v>8</v>
      </c>
      <c r="C2690" s="9">
        <v>46099.76646990741</v>
      </c>
      <c r="D2690" s="10"/>
      <c r="E2690" s="10">
        <f t="shared" si="2"/>
        <v>46099.76647</v>
      </c>
      <c r="F2690" s="10">
        <v>11.06</v>
      </c>
    </row>
    <row r="2691" ht="22.5" customHeight="1">
      <c r="B2691" s="4" t="s">
        <v>8</v>
      </c>
      <c r="C2691" s="9">
        <v>46099.76715277778</v>
      </c>
      <c r="D2691" s="10"/>
      <c r="E2691" s="10">
        <f t="shared" si="2"/>
        <v>46099.76715</v>
      </c>
      <c r="F2691" s="10">
        <v>11.65</v>
      </c>
    </row>
    <row r="2692" ht="22.5" customHeight="1">
      <c r="B2692" s="4" t="s">
        <v>8</v>
      </c>
      <c r="C2692" s="9">
        <v>46099.76783564815</v>
      </c>
      <c r="D2692" s="10"/>
      <c r="E2692" s="10">
        <f t="shared" si="2"/>
        <v>46099.76784</v>
      </c>
      <c r="F2692" s="10">
        <v>12.48</v>
      </c>
    </row>
    <row r="2693" ht="22.5" customHeight="1">
      <c r="B2693" s="4" t="s">
        <v>8</v>
      </c>
      <c r="C2693" s="9">
        <v>46099.76851851852</v>
      </c>
      <c r="D2693" s="10"/>
      <c r="E2693" s="10">
        <f t="shared" si="2"/>
        <v>46099.76852</v>
      </c>
      <c r="F2693" s="10">
        <v>12.94</v>
      </c>
    </row>
    <row r="2694" ht="22.5" customHeight="1">
      <c r="B2694" s="4" t="s">
        <v>8</v>
      </c>
      <c r="C2694" s="9">
        <v>46099.76920138889</v>
      </c>
      <c r="D2694" s="10"/>
      <c r="E2694" s="10">
        <f t="shared" si="2"/>
        <v>46099.7692</v>
      </c>
      <c r="F2694" s="10">
        <v>12.79</v>
      </c>
    </row>
    <row r="2695" ht="22.5" customHeight="1">
      <c r="B2695" s="4" t="s">
        <v>8</v>
      </c>
      <c r="C2695" s="9">
        <v>46099.76988425926</v>
      </c>
      <c r="D2695" s="10"/>
      <c r="E2695" s="10">
        <f t="shared" si="2"/>
        <v>46099.76988</v>
      </c>
      <c r="F2695" s="10">
        <v>13.09</v>
      </c>
    </row>
    <row r="2696" ht="22.5" customHeight="1">
      <c r="B2696" s="4" t="s">
        <v>8</v>
      </c>
      <c r="C2696" s="9">
        <v>46099.77056712963</v>
      </c>
      <c r="D2696" s="10"/>
      <c r="E2696" s="10">
        <f t="shared" si="2"/>
        <v>46099.77057</v>
      </c>
      <c r="F2696" s="10">
        <v>12.79</v>
      </c>
    </row>
    <row r="2697" ht="22.5" customHeight="1">
      <c r="B2697" s="4" t="s">
        <v>8</v>
      </c>
      <c r="C2697" s="9">
        <v>46099.771261574075</v>
      </c>
      <c r="D2697" s="10"/>
      <c r="E2697" s="10">
        <f t="shared" si="2"/>
        <v>46099.77126</v>
      </c>
      <c r="F2697" s="10">
        <v>12.63</v>
      </c>
    </row>
    <row r="2698" ht="22.5" customHeight="1">
      <c r="B2698" s="4" t="s">
        <v>8</v>
      </c>
      <c r="C2698" s="9">
        <v>46099.771944444445</v>
      </c>
      <c r="D2698" s="10"/>
      <c r="E2698" s="10">
        <f t="shared" si="2"/>
        <v>46099.77194</v>
      </c>
      <c r="F2698" s="10">
        <v>12.79</v>
      </c>
    </row>
    <row r="2699" ht="22.5" customHeight="1">
      <c r="B2699" s="4" t="s">
        <v>8</v>
      </c>
      <c r="C2699" s="9">
        <v>46099.773310185185</v>
      </c>
      <c r="D2699" s="10"/>
      <c r="E2699" s="10">
        <f t="shared" si="2"/>
        <v>46099.77331</v>
      </c>
      <c r="F2699" s="10">
        <v>12.63</v>
      </c>
    </row>
    <row r="2700" ht="22.5" customHeight="1">
      <c r="B2700" s="4" t="s">
        <v>8</v>
      </c>
      <c r="C2700" s="9">
        <v>46099.773993055554</v>
      </c>
      <c r="D2700" s="10"/>
      <c r="E2700" s="10">
        <f t="shared" si="2"/>
        <v>46099.77399</v>
      </c>
      <c r="F2700" s="10">
        <v>12.05</v>
      </c>
    </row>
    <row r="2701" ht="22.5" customHeight="1">
      <c r="B2701" s="4" t="s">
        <v>8</v>
      </c>
      <c r="C2701" s="9">
        <v>46099.7746875</v>
      </c>
      <c r="D2701" s="10"/>
      <c r="E2701" s="10">
        <f t="shared" si="2"/>
        <v>46099.77469</v>
      </c>
      <c r="F2701" s="10">
        <v>11.49</v>
      </c>
    </row>
    <row r="2702" ht="22.5" customHeight="1">
      <c r="B2702" s="4" t="s">
        <v>8</v>
      </c>
      <c r="C2702" s="9">
        <v>46099.77537037037</v>
      </c>
      <c r="D2702" s="10"/>
      <c r="E2702" s="10">
        <f t="shared" si="2"/>
        <v>46099.77537</v>
      </c>
      <c r="F2702" s="10">
        <v>11.42</v>
      </c>
    </row>
    <row r="2703" ht="22.5" customHeight="1">
      <c r="B2703" s="4" t="s">
        <v>8</v>
      </c>
      <c r="C2703" s="9">
        <v>46099.77605324074</v>
      </c>
      <c r="D2703" s="10"/>
      <c r="E2703" s="10">
        <f t="shared" si="2"/>
        <v>46099.77605</v>
      </c>
      <c r="F2703" s="10">
        <v>11.49</v>
      </c>
    </row>
    <row r="2704" ht="22.5" customHeight="1">
      <c r="B2704" s="4" t="s">
        <v>8</v>
      </c>
      <c r="C2704" s="9">
        <v>46099.7787962963</v>
      </c>
      <c r="D2704" s="10"/>
      <c r="E2704" s="10">
        <f t="shared" si="2"/>
        <v>46099.7788</v>
      </c>
      <c r="F2704" s="10">
        <v>11.42</v>
      </c>
    </row>
    <row r="2705" ht="22.5" customHeight="1">
      <c r="B2705" s="4" t="s">
        <v>8</v>
      </c>
      <c r="C2705" s="9">
        <v>46099.77947916667</v>
      </c>
      <c r="D2705" s="10"/>
      <c r="E2705" s="10">
        <f t="shared" si="2"/>
        <v>46099.77948</v>
      </c>
      <c r="F2705" s="10">
        <v>11.49</v>
      </c>
    </row>
    <row r="2706" ht="22.5" customHeight="1">
      <c r="B2706" s="4" t="s">
        <v>8</v>
      </c>
      <c r="C2706" s="9">
        <v>46099.78084490741</v>
      </c>
      <c r="D2706" s="10"/>
      <c r="E2706" s="10">
        <f t="shared" si="2"/>
        <v>46099.78084</v>
      </c>
      <c r="F2706" s="10">
        <v>11.54</v>
      </c>
    </row>
    <row r="2707" ht="22.5" customHeight="1">
      <c r="B2707" s="4" t="s">
        <v>8</v>
      </c>
      <c r="C2707" s="9">
        <v>46099.782905092594</v>
      </c>
      <c r="D2707" s="10"/>
      <c r="E2707" s="10">
        <f t="shared" si="2"/>
        <v>46099.78291</v>
      </c>
      <c r="F2707" s="10">
        <v>11.49</v>
      </c>
    </row>
    <row r="2708" ht="22.5" customHeight="1">
      <c r="B2708" s="4" t="s">
        <v>8</v>
      </c>
      <c r="C2708" s="9">
        <v>46099.783587962964</v>
      </c>
      <c r="D2708" s="10"/>
      <c r="E2708" s="10">
        <f t="shared" si="2"/>
        <v>46099.78359</v>
      </c>
      <c r="F2708" s="10">
        <v>11.42</v>
      </c>
    </row>
    <row r="2709" ht="22.5" customHeight="1">
      <c r="B2709" s="4" t="s">
        <v>8</v>
      </c>
      <c r="C2709" s="9">
        <v>46099.784270833334</v>
      </c>
      <c r="D2709" s="10"/>
      <c r="E2709" s="10">
        <f t="shared" si="2"/>
        <v>46099.78427</v>
      </c>
      <c r="F2709" s="10">
        <v>11.54</v>
      </c>
    </row>
    <row r="2710" ht="22.5" customHeight="1">
      <c r="B2710" s="4" t="s">
        <v>8</v>
      </c>
      <c r="C2710" s="9">
        <v>46099.78701388889</v>
      </c>
      <c r="D2710" s="10"/>
      <c r="E2710" s="10">
        <f t="shared" si="2"/>
        <v>46099.78701</v>
      </c>
      <c r="F2710" s="10">
        <v>11.42</v>
      </c>
    </row>
    <row r="2711" ht="22.5" customHeight="1">
      <c r="B2711" s="4" t="s">
        <v>8</v>
      </c>
      <c r="C2711" s="9">
        <v>46099.78769675926</v>
      </c>
      <c r="D2711" s="10"/>
      <c r="E2711" s="10">
        <f t="shared" si="2"/>
        <v>46099.7877</v>
      </c>
      <c r="F2711" s="10">
        <v>11.38</v>
      </c>
    </row>
    <row r="2712" ht="22.5" customHeight="1">
      <c r="B2712" s="4" t="s">
        <v>8</v>
      </c>
      <c r="C2712" s="9">
        <v>46099.78837962963</v>
      </c>
      <c r="D2712" s="10"/>
      <c r="E2712" s="10">
        <f t="shared" si="2"/>
        <v>46099.78838</v>
      </c>
      <c r="F2712" s="10">
        <v>11.49</v>
      </c>
    </row>
    <row r="2713" ht="22.5" customHeight="1">
      <c r="B2713" s="4" t="s">
        <v>8</v>
      </c>
      <c r="C2713" s="9">
        <v>46099.7890625</v>
      </c>
      <c r="D2713" s="10"/>
      <c r="E2713" s="10">
        <f t="shared" si="2"/>
        <v>46099.78906</v>
      </c>
      <c r="F2713" s="10">
        <v>11.42</v>
      </c>
    </row>
    <row r="2714" ht="22.5" customHeight="1">
      <c r="B2714" s="4" t="s">
        <v>8</v>
      </c>
      <c r="C2714" s="9">
        <v>46099.79043981482</v>
      </c>
      <c r="D2714" s="10"/>
      <c r="E2714" s="10">
        <f t="shared" si="2"/>
        <v>46099.79044</v>
      </c>
      <c r="F2714" s="10">
        <v>11.49</v>
      </c>
    </row>
    <row r="2715" ht="22.5" customHeight="1">
      <c r="B2715" s="4" t="s">
        <v>8</v>
      </c>
      <c r="C2715" s="9">
        <v>46099.79112268519</v>
      </c>
      <c r="D2715" s="10"/>
      <c r="E2715" s="10">
        <f t="shared" si="2"/>
        <v>46099.79112</v>
      </c>
      <c r="F2715" s="10">
        <v>11.42</v>
      </c>
    </row>
    <row r="2716" ht="22.5" customHeight="1">
      <c r="B2716" s="4" t="s">
        <v>8</v>
      </c>
      <c r="C2716" s="9">
        <v>46099.79318287037</v>
      </c>
      <c r="D2716" s="10"/>
      <c r="E2716" s="10">
        <f t="shared" si="2"/>
        <v>46099.79318</v>
      </c>
      <c r="F2716" s="10">
        <v>11.49</v>
      </c>
    </row>
    <row r="2717" ht="22.5" customHeight="1">
      <c r="B2717" s="4" t="s">
        <v>8</v>
      </c>
      <c r="C2717" s="9">
        <v>46099.79865740741</v>
      </c>
      <c r="D2717" s="10"/>
      <c r="E2717" s="10">
        <f t="shared" si="2"/>
        <v>46099.79866</v>
      </c>
      <c r="F2717" s="10">
        <v>11.54</v>
      </c>
    </row>
    <row r="2718" ht="22.5" customHeight="1">
      <c r="B2718" s="4" t="s">
        <v>8</v>
      </c>
      <c r="C2718" s="9">
        <v>46099.800717592596</v>
      </c>
      <c r="D2718" s="10"/>
      <c r="E2718" s="10">
        <f t="shared" si="2"/>
        <v>46099.80072</v>
      </c>
      <c r="F2718" s="10">
        <v>11.58</v>
      </c>
    </row>
    <row r="2719" ht="22.5" customHeight="1">
      <c r="B2719" s="4" t="s">
        <v>8</v>
      </c>
      <c r="C2719" s="9">
        <v>46099.825370370374</v>
      </c>
      <c r="D2719" s="10"/>
      <c r="E2719" s="10">
        <f t="shared" si="2"/>
        <v>46099.82537</v>
      </c>
      <c r="F2719" s="10">
        <v>11.65</v>
      </c>
    </row>
    <row r="2720" ht="22.5" customHeight="1">
      <c r="B2720" s="4" t="s">
        <v>8</v>
      </c>
      <c r="C2720" s="9">
        <v>46099.826053240744</v>
      </c>
      <c r="D2720" s="10"/>
      <c r="E2720" s="10">
        <f t="shared" si="2"/>
        <v>46099.82605</v>
      </c>
      <c r="F2720" s="10">
        <v>11.58</v>
      </c>
    </row>
    <row r="2721" ht="22.5" customHeight="1">
      <c r="B2721" s="4" t="s">
        <v>8</v>
      </c>
      <c r="C2721" s="9">
        <v>46099.82743055555</v>
      </c>
      <c r="D2721" s="10"/>
      <c r="E2721" s="10">
        <f t="shared" si="2"/>
        <v>46099.82743</v>
      </c>
      <c r="F2721" s="10">
        <v>11.65</v>
      </c>
    </row>
    <row r="2722" ht="22.5" customHeight="1">
      <c r="B2722" s="4" t="s">
        <v>8</v>
      </c>
      <c r="C2722" s="9">
        <v>46099.828101851854</v>
      </c>
      <c r="D2722" s="10"/>
      <c r="E2722" s="10">
        <f t="shared" si="2"/>
        <v>46099.8281</v>
      </c>
      <c r="F2722" s="10">
        <v>11.58</v>
      </c>
    </row>
    <row r="2723" ht="22.5" customHeight="1">
      <c r="B2723" s="4" t="s">
        <v>8</v>
      </c>
      <c r="C2723" s="9">
        <v>46099.84112268518</v>
      </c>
      <c r="D2723" s="10"/>
      <c r="E2723" s="10">
        <f t="shared" si="2"/>
        <v>46099.84112</v>
      </c>
      <c r="F2723" s="10">
        <v>11.54</v>
      </c>
    </row>
    <row r="2724" ht="22.5" customHeight="1">
      <c r="B2724" s="4" t="s">
        <v>8</v>
      </c>
      <c r="C2724" s="9">
        <v>46099.84181712963</v>
      </c>
      <c r="D2724" s="10"/>
      <c r="E2724" s="10">
        <f t="shared" si="2"/>
        <v>46099.84182</v>
      </c>
      <c r="F2724" s="10">
        <v>11.58</v>
      </c>
    </row>
    <row r="2725" ht="22.5" customHeight="1">
      <c r="B2725" s="4" t="s">
        <v>8</v>
      </c>
      <c r="C2725" s="9">
        <v>46099.84248842593</v>
      </c>
      <c r="D2725" s="10"/>
      <c r="E2725" s="10">
        <f t="shared" si="2"/>
        <v>46099.84249</v>
      </c>
      <c r="F2725" s="10">
        <v>11.54</v>
      </c>
    </row>
    <row r="2726" ht="22.5" customHeight="1">
      <c r="B2726" s="4" t="s">
        <v>8</v>
      </c>
      <c r="C2726" s="9">
        <v>46099.8431712963</v>
      </c>
      <c r="D2726" s="10"/>
      <c r="E2726" s="10">
        <f t="shared" si="2"/>
        <v>46099.84317</v>
      </c>
      <c r="F2726" s="10">
        <v>11.58</v>
      </c>
    </row>
    <row r="2727" ht="22.5" customHeight="1">
      <c r="B2727" s="4" t="s">
        <v>8</v>
      </c>
      <c r="C2727" s="9">
        <v>46099.84454861111</v>
      </c>
      <c r="D2727" s="10"/>
      <c r="E2727" s="10">
        <f t="shared" si="2"/>
        <v>46099.84455</v>
      </c>
      <c r="F2727" s="10">
        <v>11.54</v>
      </c>
    </row>
    <row r="2728" ht="22.5" customHeight="1">
      <c r="B2728" s="4" t="s">
        <v>8</v>
      </c>
      <c r="C2728" s="9">
        <v>46099.846597222226</v>
      </c>
      <c r="D2728" s="10"/>
      <c r="E2728" s="10">
        <f t="shared" si="2"/>
        <v>46099.8466</v>
      </c>
      <c r="F2728" s="10">
        <v>11.58</v>
      </c>
    </row>
    <row r="2729" ht="22.5" customHeight="1">
      <c r="B2729" s="4" t="s">
        <v>8</v>
      </c>
      <c r="C2729" s="9">
        <v>46099.849340277775</v>
      </c>
      <c r="D2729" s="10"/>
      <c r="E2729" s="10">
        <f t="shared" si="2"/>
        <v>46099.84934</v>
      </c>
      <c r="F2729" s="10">
        <v>12.48</v>
      </c>
    </row>
    <row r="2730" ht="22.5" customHeight="1">
      <c r="B2730" s="4" t="s">
        <v>8</v>
      </c>
      <c r="C2730" s="9">
        <v>46099.850023148145</v>
      </c>
      <c r="D2730" s="10"/>
      <c r="E2730" s="10">
        <f t="shared" si="2"/>
        <v>46099.85002</v>
      </c>
      <c r="F2730" s="10">
        <v>12.79</v>
      </c>
    </row>
    <row r="2731" ht="22.5" customHeight="1">
      <c r="B2731" s="4" t="s">
        <v>8</v>
      </c>
      <c r="C2731" s="9">
        <v>46099.85070601852</v>
      </c>
      <c r="D2731" s="10"/>
      <c r="E2731" s="10">
        <f t="shared" si="2"/>
        <v>46099.85071</v>
      </c>
      <c r="F2731" s="10">
        <v>12.63</v>
      </c>
    </row>
    <row r="2732" ht="22.5" customHeight="1">
      <c r="B2732" s="4" t="s">
        <v>8</v>
      </c>
      <c r="C2732" s="9">
        <v>46099.85138888889</v>
      </c>
      <c r="D2732" s="10"/>
      <c r="E2732" s="10">
        <f t="shared" si="2"/>
        <v>46099.85139</v>
      </c>
      <c r="F2732" s="10">
        <v>12.48</v>
      </c>
    </row>
    <row r="2733" ht="22.5" customHeight="1">
      <c r="B2733" s="4" t="s">
        <v>8</v>
      </c>
      <c r="C2733" s="9">
        <v>46099.8527662037</v>
      </c>
      <c r="D2733" s="10"/>
      <c r="E2733" s="10">
        <f t="shared" si="2"/>
        <v>46099.85277</v>
      </c>
      <c r="F2733" s="10">
        <v>12.54</v>
      </c>
    </row>
    <row r="2734" ht="22.5" customHeight="1">
      <c r="B2734" s="4" t="s">
        <v>8</v>
      </c>
      <c r="C2734" s="9">
        <v>46099.85481481482</v>
      </c>
      <c r="D2734" s="10"/>
      <c r="E2734" s="10">
        <f t="shared" si="2"/>
        <v>46099.85481</v>
      </c>
      <c r="F2734" s="10">
        <v>12.48</v>
      </c>
    </row>
    <row r="2735" ht="22.5" customHeight="1">
      <c r="B2735" s="4" t="s">
        <v>8</v>
      </c>
      <c r="C2735" s="9">
        <v>46099.85618055556</v>
      </c>
      <c r="D2735" s="10"/>
      <c r="E2735" s="10">
        <f t="shared" si="2"/>
        <v>46099.85618</v>
      </c>
      <c r="F2735" s="10">
        <v>12.59</v>
      </c>
    </row>
    <row r="2736" ht="22.5" customHeight="1">
      <c r="B2736" s="4" t="s">
        <v>8</v>
      </c>
      <c r="C2736" s="9">
        <v>46099.856875</v>
      </c>
      <c r="D2736" s="10"/>
      <c r="E2736" s="10">
        <f t="shared" si="2"/>
        <v>46099.85688</v>
      </c>
      <c r="F2736" s="10">
        <v>12.54</v>
      </c>
    </row>
    <row r="2737" ht="22.5" customHeight="1">
      <c r="B2737" s="4" t="s">
        <v>8</v>
      </c>
      <c r="C2737" s="9">
        <v>46099.85824074074</v>
      </c>
      <c r="D2737" s="10"/>
      <c r="E2737" s="10">
        <f t="shared" si="2"/>
        <v>46099.85824</v>
      </c>
      <c r="F2737" s="10">
        <v>12.59</v>
      </c>
    </row>
    <row r="2738" ht="22.5" customHeight="1">
      <c r="B2738" s="4" t="s">
        <v>8</v>
      </c>
      <c r="C2738" s="9">
        <v>46099.859606481485</v>
      </c>
      <c r="D2738" s="10"/>
      <c r="E2738" s="10">
        <f t="shared" si="2"/>
        <v>46099.85961</v>
      </c>
      <c r="F2738" s="10">
        <v>12.48</v>
      </c>
    </row>
    <row r="2739" ht="22.5" customHeight="1">
      <c r="B2739" s="4" t="s">
        <v>8</v>
      </c>
      <c r="C2739" s="9">
        <v>46099.860289351855</v>
      </c>
      <c r="D2739" s="10"/>
      <c r="E2739" s="10">
        <f t="shared" si="2"/>
        <v>46099.86029</v>
      </c>
      <c r="F2739" s="10">
        <v>11.58</v>
      </c>
    </row>
    <row r="2740" ht="22.5" customHeight="1">
      <c r="B2740" s="4" t="s">
        <v>8</v>
      </c>
      <c r="C2740" s="9">
        <v>46099.90274305556</v>
      </c>
      <c r="D2740" s="10"/>
      <c r="E2740" s="10">
        <f t="shared" si="2"/>
        <v>46099.90274</v>
      </c>
      <c r="F2740" s="10">
        <v>11.54</v>
      </c>
    </row>
    <row r="2741" ht="22.5" customHeight="1">
      <c r="B2741" s="4" t="s">
        <v>8</v>
      </c>
      <c r="C2741" s="9">
        <v>46099.9034375</v>
      </c>
      <c r="D2741" s="10"/>
      <c r="E2741" s="10">
        <f t="shared" si="2"/>
        <v>46099.90344</v>
      </c>
      <c r="F2741" s="10">
        <v>11.58</v>
      </c>
    </row>
    <row r="2742" ht="22.5" customHeight="1">
      <c r="B2742" s="4" t="s">
        <v>8</v>
      </c>
      <c r="C2742" s="9">
        <v>46099.906168981484</v>
      </c>
      <c r="D2742" s="10"/>
      <c r="E2742" s="10">
        <f t="shared" si="2"/>
        <v>46099.90617</v>
      </c>
      <c r="F2742" s="10">
        <v>11.54</v>
      </c>
    </row>
    <row r="2743" ht="22.5" customHeight="1">
      <c r="B2743" s="4" t="s">
        <v>8</v>
      </c>
      <c r="C2743" s="9">
        <v>46099.906851851854</v>
      </c>
      <c r="D2743" s="10"/>
      <c r="E2743" s="10">
        <f t="shared" si="2"/>
        <v>46099.90685</v>
      </c>
      <c r="F2743" s="10">
        <v>11.58</v>
      </c>
    </row>
    <row r="2744" ht="22.5" customHeight="1">
      <c r="B2744" s="4" t="s">
        <v>8</v>
      </c>
      <c r="C2744" s="9">
        <v>46099.91371527778</v>
      </c>
      <c r="D2744" s="10"/>
      <c r="E2744" s="10">
        <f t="shared" si="2"/>
        <v>46099.91372</v>
      </c>
      <c r="F2744" s="10">
        <v>11.54</v>
      </c>
    </row>
    <row r="2745" ht="22.5" customHeight="1">
      <c r="B2745" s="4" t="s">
        <v>8</v>
      </c>
      <c r="C2745" s="9">
        <v>46099.91506944445</v>
      </c>
      <c r="D2745" s="10"/>
      <c r="E2745" s="10">
        <f t="shared" si="2"/>
        <v>46099.91507</v>
      </c>
      <c r="F2745" s="10">
        <v>11.58</v>
      </c>
    </row>
    <row r="2746" ht="22.5" customHeight="1">
      <c r="B2746" s="4" t="s">
        <v>8</v>
      </c>
      <c r="C2746" s="9">
        <v>46099.92055555555</v>
      </c>
      <c r="D2746" s="10"/>
      <c r="E2746" s="10">
        <f t="shared" si="2"/>
        <v>46099.92056</v>
      </c>
      <c r="F2746" s="10">
        <v>11.54</v>
      </c>
    </row>
    <row r="2747" ht="22.5" customHeight="1">
      <c r="B2747" s="4" t="s">
        <v>8</v>
      </c>
      <c r="C2747" s="9">
        <v>46099.92123842592</v>
      </c>
      <c r="D2747" s="10"/>
      <c r="E2747" s="10">
        <f t="shared" si="2"/>
        <v>46099.92124</v>
      </c>
      <c r="F2747" s="10">
        <v>11.58</v>
      </c>
    </row>
    <row r="2748" ht="22.5" customHeight="1">
      <c r="B2748" s="4" t="s">
        <v>8</v>
      </c>
      <c r="C2748" s="9">
        <v>46099.9219212963</v>
      </c>
      <c r="D2748" s="10"/>
      <c r="E2748" s="10">
        <f t="shared" si="2"/>
        <v>46099.92192</v>
      </c>
      <c r="F2748" s="10">
        <v>11.54</v>
      </c>
    </row>
    <row r="2749" ht="22.5" customHeight="1">
      <c r="B2749" s="4" t="s">
        <v>8</v>
      </c>
      <c r="C2749" s="9">
        <v>46099.92260416667</v>
      </c>
      <c r="D2749" s="10"/>
      <c r="E2749" s="10">
        <f t="shared" si="2"/>
        <v>46099.9226</v>
      </c>
      <c r="F2749" s="10">
        <v>11.58</v>
      </c>
    </row>
    <row r="2750" ht="22.5" customHeight="1">
      <c r="B2750" s="4" t="s">
        <v>8</v>
      </c>
      <c r="C2750" s="9">
        <v>46099.92328703704</v>
      </c>
      <c r="D2750" s="10"/>
      <c r="E2750" s="10">
        <f t="shared" si="2"/>
        <v>46099.92329</v>
      </c>
      <c r="F2750" s="10">
        <v>11.54</v>
      </c>
    </row>
    <row r="2751" ht="22.5" customHeight="1">
      <c r="B2751" s="4" t="s">
        <v>8</v>
      </c>
      <c r="C2751" s="9">
        <v>46099.92396990741</v>
      </c>
      <c r="D2751" s="10"/>
      <c r="E2751" s="10">
        <f t="shared" si="2"/>
        <v>46099.92397</v>
      </c>
      <c r="F2751" s="10">
        <v>11.58</v>
      </c>
    </row>
    <row r="2752" ht="22.5" customHeight="1">
      <c r="B2752" s="4" t="s">
        <v>8</v>
      </c>
      <c r="C2752" s="9">
        <v>46099.927395833336</v>
      </c>
      <c r="D2752" s="10"/>
      <c r="E2752" s="10">
        <f t="shared" si="2"/>
        <v>46099.9274</v>
      </c>
      <c r="F2752" s="10">
        <v>11.54</v>
      </c>
    </row>
    <row r="2753" ht="22.5" customHeight="1">
      <c r="B2753" s="4" t="s">
        <v>8</v>
      </c>
      <c r="C2753" s="9">
        <v>46099.928090277775</v>
      </c>
      <c r="D2753" s="10"/>
      <c r="E2753" s="10">
        <f t="shared" si="2"/>
        <v>46099.92809</v>
      </c>
      <c r="F2753" s="10">
        <v>11.58</v>
      </c>
    </row>
    <row r="2754" ht="22.5" customHeight="1">
      <c r="B2754" s="4" t="s">
        <v>8</v>
      </c>
      <c r="C2754" s="9">
        <v>46099.93082175926</v>
      </c>
      <c r="D2754" s="10"/>
      <c r="E2754" s="10">
        <f t="shared" si="2"/>
        <v>46099.93082</v>
      </c>
      <c r="F2754" s="10">
        <v>11.54</v>
      </c>
    </row>
    <row r="2755" ht="22.5" customHeight="1">
      <c r="B2755" s="4" t="s">
        <v>8</v>
      </c>
      <c r="C2755" s="9">
        <v>46099.9321875</v>
      </c>
      <c r="D2755" s="10"/>
      <c r="E2755" s="10">
        <f t="shared" si="2"/>
        <v>46099.93219</v>
      </c>
      <c r="F2755" s="10">
        <v>11.58</v>
      </c>
    </row>
    <row r="2756" ht="22.5" customHeight="1">
      <c r="B2756" s="4" t="s">
        <v>8</v>
      </c>
      <c r="C2756" s="9">
        <v>46099.93424768518</v>
      </c>
      <c r="D2756" s="10"/>
      <c r="E2756" s="10">
        <f t="shared" si="2"/>
        <v>46099.93425</v>
      </c>
      <c r="F2756" s="10">
        <v>11.54</v>
      </c>
    </row>
    <row r="2757" ht="22.5" customHeight="1">
      <c r="B2757" s="4" t="s">
        <v>8</v>
      </c>
      <c r="C2757" s="9">
        <v>46099.93561342593</v>
      </c>
      <c r="D2757" s="10"/>
      <c r="E2757" s="10">
        <f t="shared" si="2"/>
        <v>46099.93561</v>
      </c>
      <c r="F2757" s="10">
        <v>11.58</v>
      </c>
    </row>
    <row r="2758" ht="22.5" customHeight="1">
      <c r="B2758" s="4" t="s">
        <v>8</v>
      </c>
      <c r="C2758" s="9">
        <v>46099.9362962963</v>
      </c>
      <c r="D2758" s="10"/>
      <c r="E2758" s="10">
        <f t="shared" si="2"/>
        <v>46099.9363</v>
      </c>
      <c r="F2758" s="10">
        <v>11.54</v>
      </c>
    </row>
    <row r="2759" ht="22.5" customHeight="1">
      <c r="B2759" s="4" t="s">
        <v>8</v>
      </c>
      <c r="C2759" s="9">
        <v>46099.93767361111</v>
      </c>
      <c r="D2759" s="10"/>
      <c r="E2759" s="10">
        <f t="shared" si="2"/>
        <v>46099.93767</v>
      </c>
      <c r="F2759" s="10">
        <v>11.58</v>
      </c>
    </row>
    <row r="2760" ht="22.5" customHeight="1">
      <c r="B2760" s="4" t="s">
        <v>8</v>
      </c>
      <c r="C2760" s="9">
        <v>46099.941087962965</v>
      </c>
      <c r="D2760" s="10"/>
      <c r="E2760" s="10">
        <f t="shared" si="2"/>
        <v>46099.94109</v>
      </c>
      <c r="F2760" s="10">
        <v>11.54</v>
      </c>
    </row>
    <row r="2761" ht="22.5" customHeight="1">
      <c r="B2761" s="4" t="s">
        <v>8</v>
      </c>
      <c r="C2761" s="9">
        <v>46099.941782407404</v>
      </c>
      <c r="D2761" s="10"/>
      <c r="E2761" s="10">
        <f t="shared" si="2"/>
        <v>46099.94178</v>
      </c>
      <c r="F2761" s="10">
        <v>11.58</v>
      </c>
    </row>
    <row r="2762" ht="22.5" customHeight="1">
      <c r="B2762" s="4" t="s">
        <v>8</v>
      </c>
      <c r="C2762" s="9">
        <v>46099.942465277774</v>
      </c>
      <c r="D2762" s="10"/>
      <c r="E2762" s="10">
        <f t="shared" si="2"/>
        <v>46099.94247</v>
      </c>
      <c r="F2762" s="10">
        <v>11.54</v>
      </c>
    </row>
    <row r="2763" ht="22.5" customHeight="1">
      <c r="B2763" s="4" t="s">
        <v>8</v>
      </c>
      <c r="C2763" s="9">
        <v>46099.94383101852</v>
      </c>
      <c r="D2763" s="10"/>
      <c r="E2763" s="10">
        <f t="shared" si="2"/>
        <v>46099.94383</v>
      </c>
      <c r="F2763" s="10">
        <v>11.58</v>
      </c>
    </row>
    <row r="2764" ht="22.5" customHeight="1">
      <c r="B2764" s="4" t="s">
        <v>8</v>
      </c>
      <c r="C2764" s="9">
        <v>46099.94451388889</v>
      </c>
      <c r="D2764" s="10"/>
      <c r="E2764" s="10">
        <f t="shared" si="2"/>
        <v>46099.94451</v>
      </c>
      <c r="F2764" s="10">
        <v>11.54</v>
      </c>
    </row>
    <row r="2765" ht="22.5" customHeight="1">
      <c r="B2765" s="4" t="s">
        <v>8</v>
      </c>
      <c r="C2765" s="9">
        <v>46099.94520833333</v>
      </c>
      <c r="D2765" s="10"/>
      <c r="E2765" s="10">
        <f t="shared" si="2"/>
        <v>46099.94521</v>
      </c>
      <c r="F2765" s="10">
        <v>11.49</v>
      </c>
    </row>
    <row r="2766" ht="22.5" customHeight="1">
      <c r="B2766" s="4" t="s">
        <v>8</v>
      </c>
      <c r="C2766" s="9">
        <v>46099.94657407407</v>
      </c>
      <c r="D2766" s="10"/>
      <c r="E2766" s="10">
        <f t="shared" si="2"/>
        <v>46099.94657</v>
      </c>
      <c r="F2766" s="10">
        <v>11.54</v>
      </c>
    </row>
    <row r="2767" ht="22.5" customHeight="1">
      <c r="B2767" s="4" t="s">
        <v>8</v>
      </c>
      <c r="C2767" s="9">
        <v>46099.94726851852</v>
      </c>
      <c r="D2767" s="10"/>
      <c r="E2767" s="10">
        <f t="shared" si="2"/>
        <v>46099.94727</v>
      </c>
      <c r="F2767" s="10">
        <v>11.49</v>
      </c>
    </row>
    <row r="2768" ht="22.5" customHeight="1">
      <c r="B2768" s="4" t="s">
        <v>8</v>
      </c>
      <c r="C2768" s="9">
        <v>46099.94793981482</v>
      </c>
      <c r="D2768" s="10"/>
      <c r="E2768" s="10">
        <f t="shared" si="2"/>
        <v>46099.94794</v>
      </c>
      <c r="F2768" s="10">
        <v>11.42</v>
      </c>
    </row>
    <row r="2769" ht="22.5" customHeight="1">
      <c r="B2769" s="4" t="s">
        <v>8</v>
      </c>
      <c r="C2769" s="9">
        <v>46099.94863425926</v>
      </c>
      <c r="D2769" s="10"/>
      <c r="E2769" s="10">
        <f t="shared" si="2"/>
        <v>46099.94863</v>
      </c>
      <c r="F2769" s="10">
        <v>11.49</v>
      </c>
    </row>
    <row r="2770" ht="22.5" customHeight="1">
      <c r="B2770" s="4" t="s">
        <v>8</v>
      </c>
      <c r="C2770" s="9">
        <v>46099.94931712963</v>
      </c>
      <c r="D2770" s="10"/>
      <c r="E2770" s="10">
        <f t="shared" si="2"/>
        <v>46099.94932</v>
      </c>
      <c r="F2770" s="10">
        <v>11.42</v>
      </c>
    </row>
    <row r="2771" ht="22.5" customHeight="1">
      <c r="B2771" s="4" t="s">
        <v>8</v>
      </c>
      <c r="C2771" s="9">
        <v>46099.94998842593</v>
      </c>
      <c r="D2771" s="10"/>
      <c r="E2771" s="10">
        <f t="shared" si="2"/>
        <v>46099.94999</v>
      </c>
      <c r="F2771" s="10">
        <v>11.49</v>
      </c>
    </row>
    <row r="2772" ht="22.5" customHeight="1">
      <c r="B2772" s="4" t="s">
        <v>8</v>
      </c>
      <c r="C2772" s="9">
        <v>46099.95068287037</v>
      </c>
      <c r="D2772" s="10"/>
      <c r="E2772" s="10">
        <f t="shared" si="2"/>
        <v>46099.95068</v>
      </c>
      <c r="F2772" s="10">
        <v>11.42</v>
      </c>
    </row>
    <row r="2773" ht="22.5" customHeight="1">
      <c r="B2773" s="4" t="s">
        <v>8</v>
      </c>
      <c r="C2773" s="9">
        <v>46099.951365740744</v>
      </c>
      <c r="D2773" s="10"/>
      <c r="E2773" s="10">
        <f t="shared" si="2"/>
        <v>46099.95137</v>
      </c>
      <c r="F2773" s="10">
        <v>11.49</v>
      </c>
    </row>
    <row r="2774" ht="22.5" customHeight="1">
      <c r="B2774" s="4" t="s">
        <v>8</v>
      </c>
      <c r="C2774" s="9">
        <v>46099.952048611114</v>
      </c>
      <c r="D2774" s="10"/>
      <c r="E2774" s="10">
        <f t="shared" si="2"/>
        <v>46099.95205</v>
      </c>
      <c r="F2774" s="10">
        <v>11.42</v>
      </c>
    </row>
    <row r="2775" ht="22.5" customHeight="1">
      <c r="B2775" s="4" t="s">
        <v>8</v>
      </c>
      <c r="C2775" s="9">
        <v>46099.952731481484</v>
      </c>
      <c r="D2775" s="10"/>
      <c r="E2775" s="10">
        <f t="shared" si="2"/>
        <v>46099.95273</v>
      </c>
      <c r="F2775" s="10">
        <v>11.49</v>
      </c>
    </row>
    <row r="2776" ht="22.5" customHeight="1">
      <c r="B2776" s="4" t="s">
        <v>8</v>
      </c>
      <c r="C2776" s="9">
        <v>46099.95342592592</v>
      </c>
      <c r="D2776" s="10"/>
      <c r="E2776" s="10">
        <f t="shared" si="2"/>
        <v>46099.95343</v>
      </c>
      <c r="F2776" s="10">
        <v>11.42</v>
      </c>
    </row>
    <row r="2777" ht="22.5" customHeight="1">
      <c r="B2777" s="4" t="s">
        <v>8</v>
      </c>
      <c r="C2777" s="9">
        <v>46099.95479166666</v>
      </c>
      <c r="D2777" s="10"/>
      <c r="E2777" s="10">
        <f t="shared" si="2"/>
        <v>46099.95479</v>
      </c>
      <c r="F2777" s="10">
        <v>11.49</v>
      </c>
    </row>
    <row r="2778" ht="22.5" customHeight="1">
      <c r="B2778" s="4" t="s">
        <v>8</v>
      </c>
      <c r="C2778" s="9">
        <v>46099.95685185185</v>
      </c>
      <c r="D2778" s="10"/>
      <c r="E2778" s="10">
        <f t="shared" si="2"/>
        <v>46099.95685</v>
      </c>
      <c r="F2778" s="10">
        <v>11.42</v>
      </c>
    </row>
    <row r="2779" ht="22.5" customHeight="1">
      <c r="B2779" s="4" t="s">
        <v>8</v>
      </c>
      <c r="C2779" s="9">
        <v>46099.95752314815</v>
      </c>
      <c r="D2779" s="10"/>
      <c r="E2779" s="10">
        <f t="shared" si="2"/>
        <v>46099.95752</v>
      </c>
      <c r="F2779" s="10">
        <v>11.49</v>
      </c>
    </row>
    <row r="2780" ht="22.5" customHeight="1">
      <c r="B2780" s="4" t="s">
        <v>8</v>
      </c>
      <c r="C2780" s="9">
        <v>46099.95890046296</v>
      </c>
      <c r="D2780" s="10"/>
      <c r="E2780" s="10">
        <f t="shared" si="2"/>
        <v>46099.9589</v>
      </c>
      <c r="F2780" s="10">
        <v>11.42</v>
      </c>
    </row>
    <row r="2781" ht="22.5" customHeight="1">
      <c r="B2781" s="4" t="s">
        <v>8</v>
      </c>
      <c r="C2781" s="9">
        <v>46099.95958333334</v>
      </c>
      <c r="D2781" s="10"/>
      <c r="E2781" s="10">
        <f t="shared" si="2"/>
        <v>46099.95958</v>
      </c>
      <c r="F2781" s="10">
        <v>11.49</v>
      </c>
    </row>
    <row r="2782" ht="22.5" customHeight="1">
      <c r="B2782" s="4" t="s">
        <v>8</v>
      </c>
      <c r="C2782" s="9">
        <v>46099.96026620371</v>
      </c>
      <c r="D2782" s="10"/>
      <c r="E2782" s="10">
        <f t="shared" si="2"/>
        <v>46099.96027</v>
      </c>
      <c r="F2782" s="10">
        <v>11.42</v>
      </c>
    </row>
    <row r="2783" ht="22.5" customHeight="1">
      <c r="B2783" s="4" t="s">
        <v>8</v>
      </c>
      <c r="C2783" s="9">
        <v>46099.960960648146</v>
      </c>
      <c r="D2783" s="10"/>
      <c r="E2783" s="10">
        <f t="shared" si="2"/>
        <v>46099.96096</v>
      </c>
      <c r="F2783" s="10">
        <v>11.49</v>
      </c>
    </row>
    <row r="2784" ht="22.5" customHeight="1">
      <c r="B2784" s="4" t="s">
        <v>8</v>
      </c>
      <c r="C2784" s="9">
        <v>46099.96163194445</v>
      </c>
      <c r="D2784" s="10"/>
      <c r="E2784" s="10">
        <f t="shared" si="2"/>
        <v>46099.96163</v>
      </c>
      <c r="F2784" s="10">
        <v>11.42</v>
      </c>
    </row>
    <row r="2785" ht="22.5" customHeight="1">
      <c r="B2785" s="4" t="s">
        <v>8</v>
      </c>
      <c r="C2785" s="9">
        <v>46099.963692129626</v>
      </c>
      <c r="D2785" s="10"/>
      <c r="E2785" s="10">
        <f t="shared" si="2"/>
        <v>46099.96369</v>
      </c>
      <c r="F2785" s="10">
        <v>11.49</v>
      </c>
    </row>
    <row r="2786" ht="22.5" customHeight="1">
      <c r="B2786" s="4" t="s">
        <v>8</v>
      </c>
      <c r="C2786" s="9">
        <v>46099.964375</v>
      </c>
      <c r="D2786" s="10"/>
      <c r="E2786" s="10">
        <f t="shared" si="2"/>
        <v>46099.96438</v>
      </c>
      <c r="F2786" s="10">
        <v>11.42</v>
      </c>
    </row>
    <row r="2787" ht="22.5" customHeight="1">
      <c r="B2787" s="4" t="s">
        <v>8</v>
      </c>
      <c r="C2787" s="9">
        <v>46099.96849537037</v>
      </c>
      <c r="D2787" s="10"/>
      <c r="E2787" s="10">
        <f t="shared" si="2"/>
        <v>46099.9685</v>
      </c>
      <c r="F2787" s="10">
        <v>11.49</v>
      </c>
    </row>
    <row r="2788" ht="22.5" customHeight="1">
      <c r="B2788" s="4" t="s">
        <v>8</v>
      </c>
      <c r="C2788" s="9">
        <v>46099.96984953704</v>
      </c>
      <c r="D2788" s="10"/>
      <c r="E2788" s="10">
        <f t="shared" si="2"/>
        <v>46099.96985</v>
      </c>
      <c r="F2788" s="10">
        <v>11.42</v>
      </c>
    </row>
    <row r="2789" ht="22.5" customHeight="1">
      <c r="B2789" s="4" t="s">
        <v>8</v>
      </c>
      <c r="C2789" s="9">
        <v>46099.97190972222</v>
      </c>
      <c r="D2789" s="10"/>
      <c r="E2789" s="10">
        <f t="shared" si="2"/>
        <v>46099.97191</v>
      </c>
      <c r="F2789" s="10">
        <v>11.49</v>
      </c>
    </row>
    <row r="2790" ht="22.5" customHeight="1">
      <c r="B2790" s="4" t="s">
        <v>8</v>
      </c>
      <c r="C2790" s="9">
        <v>46099.972604166665</v>
      </c>
      <c r="D2790" s="10"/>
      <c r="E2790" s="10">
        <f t="shared" si="2"/>
        <v>46099.9726</v>
      </c>
      <c r="F2790" s="10">
        <v>11.42</v>
      </c>
    </row>
    <row r="2791" ht="22.5" customHeight="1">
      <c r="B2791" s="4" t="s">
        <v>8</v>
      </c>
      <c r="C2791" s="9">
        <v>46099.975335648145</v>
      </c>
      <c r="D2791" s="10"/>
      <c r="E2791" s="10">
        <f t="shared" si="2"/>
        <v>46099.97534</v>
      </c>
      <c r="F2791" s="10">
        <v>11.49</v>
      </c>
    </row>
    <row r="2792" ht="22.5" customHeight="1">
      <c r="B2792" s="4" t="s">
        <v>8</v>
      </c>
      <c r="C2792" s="9">
        <v>46099.976018518515</v>
      </c>
      <c r="D2792" s="10"/>
      <c r="E2792" s="10">
        <f t="shared" si="2"/>
        <v>46099.97602</v>
      </c>
      <c r="F2792" s="10">
        <v>11.42</v>
      </c>
    </row>
    <row r="2793" ht="22.5" customHeight="1">
      <c r="B2793" s="4" t="s">
        <v>8</v>
      </c>
      <c r="C2793" s="9">
        <v>46099.97944444444</v>
      </c>
      <c r="D2793" s="10"/>
      <c r="E2793" s="10">
        <f t="shared" si="2"/>
        <v>46099.97944</v>
      </c>
      <c r="F2793" s="10">
        <v>11.49</v>
      </c>
    </row>
    <row r="2794" ht="22.5" customHeight="1">
      <c r="B2794" s="4" t="s">
        <v>8</v>
      </c>
      <c r="C2794" s="9">
        <v>46099.98287037037</v>
      </c>
      <c r="D2794" s="10"/>
      <c r="E2794" s="10">
        <f t="shared" si="2"/>
        <v>46099.98287</v>
      </c>
      <c r="F2794" s="10">
        <v>11.42</v>
      </c>
    </row>
    <row r="2795" ht="22.5" customHeight="1">
      <c r="B2795" s="4" t="s">
        <v>8</v>
      </c>
      <c r="C2795" s="9">
        <v>46099.984930555554</v>
      </c>
      <c r="D2795" s="10"/>
      <c r="E2795" s="10">
        <f t="shared" si="2"/>
        <v>46099.98493</v>
      </c>
      <c r="F2795" s="10">
        <v>11.38</v>
      </c>
    </row>
    <row r="2796" ht="22.5" customHeight="1">
      <c r="B2796" s="4" t="s">
        <v>8</v>
      </c>
      <c r="C2796" s="9">
        <v>46099.985601851855</v>
      </c>
      <c r="D2796" s="10"/>
      <c r="E2796" s="10">
        <f t="shared" si="2"/>
        <v>46099.9856</v>
      </c>
      <c r="F2796" s="10">
        <v>11.42</v>
      </c>
    </row>
    <row r="2797" ht="22.5" customHeight="1">
      <c r="B2797" s="4" t="s">
        <v>8</v>
      </c>
      <c r="C2797" s="9">
        <v>46099.987662037034</v>
      </c>
      <c r="D2797" s="10"/>
      <c r="E2797" s="10">
        <f t="shared" si="2"/>
        <v>46099.98766</v>
      </c>
      <c r="F2797" s="10">
        <v>11.38</v>
      </c>
    </row>
    <row r="2798" ht="22.5" customHeight="1">
      <c r="B2798" s="4" t="s">
        <v>8</v>
      </c>
      <c r="C2798" s="9">
        <v>46099.988344907404</v>
      </c>
      <c r="D2798" s="10"/>
      <c r="E2798" s="10">
        <f t="shared" si="2"/>
        <v>46099.98834</v>
      </c>
      <c r="F2798" s="10">
        <v>11.42</v>
      </c>
    </row>
    <row r="2799" ht="22.5" customHeight="1">
      <c r="B2799" s="4" t="s">
        <v>8</v>
      </c>
      <c r="C2799" s="9">
        <v>46099.99039351852</v>
      </c>
      <c r="D2799" s="10"/>
      <c r="E2799" s="10">
        <f t="shared" si="2"/>
        <v>46099.99039</v>
      </c>
      <c r="F2799" s="10">
        <v>11.38</v>
      </c>
    </row>
    <row r="2800" ht="22.5" customHeight="1">
      <c r="B2800" s="4" t="s">
        <v>8</v>
      </c>
      <c r="C2800" s="9">
        <v>46099.99108796296</v>
      </c>
      <c r="D2800" s="10"/>
      <c r="E2800" s="10">
        <f t="shared" si="2"/>
        <v>46099.99109</v>
      </c>
      <c r="F2800" s="10">
        <v>11.42</v>
      </c>
    </row>
    <row r="2801" ht="22.5" customHeight="1">
      <c r="B2801" s="4" t="s">
        <v>8</v>
      </c>
      <c r="C2801" s="9">
        <v>46099.99178240741</v>
      </c>
      <c r="D2801" s="10"/>
      <c r="E2801" s="10">
        <f t="shared" si="2"/>
        <v>46099.99178</v>
      </c>
      <c r="F2801" s="10">
        <v>11.38</v>
      </c>
    </row>
    <row r="2802" ht="22.5" customHeight="1">
      <c r="B2802" s="4" t="s">
        <v>8</v>
      </c>
      <c r="C2802" s="9">
        <v>46099.9924537037</v>
      </c>
      <c r="D2802" s="10"/>
      <c r="E2802" s="10">
        <f t="shared" si="2"/>
        <v>46099.99245</v>
      </c>
      <c r="F2802" s="10">
        <v>11.42</v>
      </c>
    </row>
    <row r="2803" ht="22.5" customHeight="1">
      <c r="B2803" s="4" t="s">
        <v>8</v>
      </c>
      <c r="C2803" s="9">
        <v>46099.99383101852</v>
      </c>
      <c r="D2803" s="10"/>
      <c r="E2803" s="10">
        <f t="shared" si="2"/>
        <v>46099.99383</v>
      </c>
      <c r="F2803" s="10">
        <v>11.49</v>
      </c>
    </row>
    <row r="2804" ht="22.5" customHeight="1">
      <c r="B2804" s="4" t="s">
        <v>8</v>
      </c>
      <c r="C2804" s="9">
        <v>46099.99451388889</v>
      </c>
      <c r="D2804" s="10"/>
      <c r="E2804" s="10">
        <f t="shared" si="2"/>
        <v>46099.99451</v>
      </c>
      <c r="F2804" s="10">
        <v>11.38</v>
      </c>
    </row>
    <row r="2805" ht="22.5" customHeight="1">
      <c r="B2805" s="4" t="s">
        <v>8</v>
      </c>
      <c r="C2805" s="9">
        <v>46099.99519675926</v>
      </c>
      <c r="D2805" s="10"/>
      <c r="E2805" s="10">
        <f t="shared" si="2"/>
        <v>46099.9952</v>
      </c>
      <c r="F2805" s="10">
        <v>11.42</v>
      </c>
    </row>
    <row r="2806" ht="22.5" customHeight="1">
      <c r="B2806" s="4" t="s">
        <v>8</v>
      </c>
      <c r="C2806" s="9">
        <v>46099.997245370374</v>
      </c>
      <c r="D2806" s="10"/>
      <c r="E2806" s="10">
        <f t="shared" si="2"/>
        <v>46099.99725</v>
      </c>
      <c r="F2806" s="10">
        <v>11.38</v>
      </c>
    </row>
    <row r="2807" ht="22.5" customHeight="1">
      <c r="B2807" s="4" t="s">
        <v>8</v>
      </c>
      <c r="C2807" s="9">
        <v>46099.997928240744</v>
      </c>
      <c r="D2807" s="10"/>
      <c r="E2807" s="10">
        <f t="shared" si="2"/>
        <v>46099.99793</v>
      </c>
      <c r="F2807" s="10">
        <v>11.42</v>
      </c>
    </row>
    <row r="2808" ht="22.5" customHeight="1">
      <c r="B2808" s="4" t="s">
        <v>8</v>
      </c>
      <c r="C2808" s="9">
        <v>46100.00341435185</v>
      </c>
      <c r="D2808" s="10"/>
      <c r="E2808" s="10">
        <f t="shared" si="2"/>
        <v>46100.00341</v>
      </c>
      <c r="F2808" s="10">
        <v>11.38</v>
      </c>
    </row>
    <row r="2809" ht="22.5" customHeight="1">
      <c r="B2809" s="4" t="s">
        <v>8</v>
      </c>
      <c r="C2809" s="9">
        <v>46100.00616898148</v>
      </c>
      <c r="D2809" s="10"/>
      <c r="E2809" s="10">
        <f t="shared" si="2"/>
        <v>46100.00617</v>
      </c>
      <c r="F2809" s="10">
        <v>11.42</v>
      </c>
    </row>
    <row r="2810" ht="22.5" customHeight="1">
      <c r="B2810" s="4" t="s">
        <v>8</v>
      </c>
      <c r="C2810" s="9">
        <v>46100.006840277776</v>
      </c>
      <c r="D2810" s="10"/>
      <c r="E2810" s="10">
        <f t="shared" si="2"/>
        <v>46100.00684</v>
      </c>
      <c r="F2810" s="10">
        <v>11.38</v>
      </c>
    </row>
    <row r="2811" ht="22.5" customHeight="1">
      <c r="B2811" s="4" t="s">
        <v>8</v>
      </c>
      <c r="C2811" s="9">
        <v>46100.007523148146</v>
      </c>
      <c r="D2811" s="10"/>
      <c r="E2811" s="10">
        <f t="shared" si="2"/>
        <v>46100.00752</v>
      </c>
      <c r="F2811" s="10">
        <v>11.42</v>
      </c>
    </row>
    <row r="2812" ht="22.5" customHeight="1">
      <c r="B2812" s="4" t="s">
        <v>8</v>
      </c>
      <c r="C2812" s="9">
        <v>46100.008206018516</v>
      </c>
      <c r="D2812" s="10"/>
      <c r="E2812" s="10">
        <f t="shared" si="2"/>
        <v>46100.00821</v>
      </c>
      <c r="F2812" s="10">
        <v>11.38</v>
      </c>
    </row>
    <row r="2813" ht="22.5" customHeight="1">
      <c r="B2813" s="4" t="s">
        <v>8</v>
      </c>
      <c r="C2813" s="9">
        <v>46100.009571759256</v>
      </c>
      <c r="D2813" s="10"/>
      <c r="E2813" s="10">
        <f t="shared" si="2"/>
        <v>46100.00957</v>
      </c>
      <c r="F2813" s="10">
        <v>11.42</v>
      </c>
    </row>
    <row r="2814" ht="22.5" customHeight="1">
      <c r="B2814" s="4" t="s">
        <v>8</v>
      </c>
      <c r="C2814" s="9">
        <v>46100.0109375</v>
      </c>
      <c r="D2814" s="10"/>
      <c r="E2814" s="10">
        <f t="shared" si="2"/>
        <v>46100.01094</v>
      </c>
      <c r="F2814" s="10">
        <v>11.38</v>
      </c>
    </row>
    <row r="2815" ht="22.5" customHeight="1">
      <c r="B2815" s="4" t="s">
        <v>8</v>
      </c>
      <c r="C2815" s="9">
        <v>46100.01163194444</v>
      </c>
      <c r="D2815" s="10"/>
      <c r="E2815" s="10">
        <f t="shared" si="2"/>
        <v>46100.01163</v>
      </c>
      <c r="F2815" s="10">
        <v>11.42</v>
      </c>
    </row>
    <row r="2816" ht="22.5" customHeight="1">
      <c r="B2816" s="4" t="s">
        <v>8</v>
      </c>
      <c r="C2816" s="9">
        <v>46100.01231481481</v>
      </c>
      <c r="D2816" s="10"/>
      <c r="E2816" s="10">
        <f t="shared" si="2"/>
        <v>46100.01231</v>
      </c>
      <c r="F2816" s="10">
        <v>11.38</v>
      </c>
    </row>
    <row r="2817" ht="22.5" customHeight="1">
      <c r="B2817" s="4" t="s">
        <v>8</v>
      </c>
      <c r="C2817" s="9">
        <v>46100.01299768518</v>
      </c>
      <c r="D2817" s="10"/>
      <c r="E2817" s="10">
        <f t="shared" si="2"/>
        <v>46100.013</v>
      </c>
      <c r="F2817" s="10">
        <v>11.42</v>
      </c>
    </row>
    <row r="2818" ht="22.5" customHeight="1">
      <c r="B2818" s="4" t="s">
        <v>8</v>
      </c>
      <c r="C2818" s="9">
        <v>46100.01369212963</v>
      </c>
      <c r="D2818" s="10"/>
      <c r="E2818" s="10">
        <f t="shared" si="2"/>
        <v>46100.01369</v>
      </c>
      <c r="F2818" s="10">
        <v>11.38</v>
      </c>
    </row>
    <row r="2819" ht="22.5" customHeight="1">
      <c r="B2819" s="4" t="s">
        <v>8</v>
      </c>
      <c r="C2819" s="9">
        <v>46100.01436342593</v>
      </c>
      <c r="D2819" s="10"/>
      <c r="E2819" s="10">
        <f t="shared" si="2"/>
        <v>46100.01436</v>
      </c>
      <c r="F2819" s="10">
        <v>11.42</v>
      </c>
    </row>
    <row r="2820" ht="22.5" customHeight="1">
      <c r="B2820" s="4" t="s">
        <v>8</v>
      </c>
      <c r="C2820" s="9">
        <v>46100.01574074074</v>
      </c>
      <c r="D2820" s="10"/>
      <c r="E2820" s="10">
        <f t="shared" si="2"/>
        <v>46100.01574</v>
      </c>
      <c r="F2820" s="10">
        <v>11.49</v>
      </c>
    </row>
    <row r="2821" ht="22.5" customHeight="1">
      <c r="B2821" s="4" t="s">
        <v>8</v>
      </c>
      <c r="C2821" s="9">
        <v>46100.01642361111</v>
      </c>
      <c r="D2821" s="10"/>
      <c r="E2821" s="10">
        <f t="shared" si="2"/>
        <v>46100.01642</v>
      </c>
      <c r="F2821" s="10">
        <v>11.42</v>
      </c>
    </row>
    <row r="2822" ht="22.5" customHeight="1">
      <c r="B2822" s="4" t="s">
        <v>8</v>
      </c>
      <c r="C2822" s="9">
        <v>46100.018483796295</v>
      </c>
      <c r="D2822" s="10"/>
      <c r="E2822" s="10">
        <f t="shared" si="2"/>
        <v>46100.01848</v>
      </c>
      <c r="F2822" s="10">
        <v>11.38</v>
      </c>
    </row>
    <row r="2823" ht="22.5" customHeight="1">
      <c r="B2823" s="4" t="s">
        <v>8</v>
      </c>
      <c r="C2823" s="9">
        <v>46100.019849537035</v>
      </c>
      <c r="D2823" s="10"/>
      <c r="E2823" s="10">
        <f t="shared" si="2"/>
        <v>46100.01985</v>
      </c>
      <c r="F2823" s="10">
        <v>11.42</v>
      </c>
    </row>
    <row r="2824" ht="22.5" customHeight="1">
      <c r="B2824" s="4" t="s">
        <v>8</v>
      </c>
      <c r="C2824" s="9">
        <v>46100.020532407405</v>
      </c>
      <c r="D2824" s="10"/>
      <c r="E2824" s="10">
        <f t="shared" si="2"/>
        <v>46100.02053</v>
      </c>
      <c r="F2824" s="10">
        <v>11.38</v>
      </c>
    </row>
    <row r="2825" ht="22.5" customHeight="1">
      <c r="B2825" s="4" t="s">
        <v>8</v>
      </c>
      <c r="C2825" s="9">
        <v>46100.02258101852</v>
      </c>
      <c r="D2825" s="10"/>
      <c r="E2825" s="10">
        <f t="shared" si="2"/>
        <v>46100.02258</v>
      </c>
      <c r="F2825" s="10">
        <v>11.42</v>
      </c>
    </row>
    <row r="2826" ht="22.5" customHeight="1">
      <c r="B2826" s="4" t="s">
        <v>8</v>
      </c>
      <c r="C2826" s="9">
        <v>46100.02327546296</v>
      </c>
      <c r="D2826" s="10"/>
      <c r="E2826" s="10">
        <f t="shared" si="2"/>
        <v>46100.02328</v>
      </c>
      <c r="F2826" s="10">
        <v>11.38</v>
      </c>
    </row>
    <row r="2827" ht="22.5" customHeight="1">
      <c r="B2827" s="4" t="s">
        <v>8</v>
      </c>
      <c r="C2827" s="9">
        <v>46100.02395833333</v>
      </c>
      <c r="D2827" s="10"/>
      <c r="E2827" s="10">
        <f t="shared" si="2"/>
        <v>46100.02396</v>
      </c>
      <c r="F2827" s="10">
        <v>11.42</v>
      </c>
    </row>
    <row r="2828" ht="22.5" customHeight="1">
      <c r="B2828" s="4" t="s">
        <v>8</v>
      </c>
      <c r="C2828" s="9">
        <v>46100.0246412037</v>
      </c>
      <c r="D2828" s="10"/>
      <c r="E2828" s="10">
        <f t="shared" si="2"/>
        <v>46100.02464</v>
      </c>
      <c r="F2828" s="10">
        <v>11.38</v>
      </c>
    </row>
    <row r="2829" ht="22.5" customHeight="1">
      <c r="B2829" s="4" t="s">
        <v>8</v>
      </c>
      <c r="C2829" s="9">
        <v>46100.02668981482</v>
      </c>
      <c r="D2829" s="10"/>
      <c r="E2829" s="10">
        <f t="shared" si="2"/>
        <v>46100.02669</v>
      </c>
      <c r="F2829" s="10">
        <v>11.42</v>
      </c>
    </row>
    <row r="2830" ht="22.5" customHeight="1">
      <c r="B2830" s="4" t="s">
        <v>8</v>
      </c>
      <c r="C2830" s="9">
        <v>46100.02737268519</v>
      </c>
      <c r="D2830" s="10"/>
      <c r="E2830" s="10">
        <f t="shared" si="2"/>
        <v>46100.02737</v>
      </c>
      <c r="F2830" s="10">
        <v>11.38</v>
      </c>
    </row>
    <row r="2831" ht="22.5" customHeight="1">
      <c r="B2831" s="4" t="s">
        <v>8</v>
      </c>
      <c r="C2831" s="9">
        <v>46100.0390162037</v>
      </c>
      <c r="D2831" s="10"/>
      <c r="E2831" s="10">
        <f t="shared" si="2"/>
        <v>46100.03902</v>
      </c>
      <c r="F2831" s="10">
        <v>11.42</v>
      </c>
    </row>
    <row r="2832" ht="22.5" customHeight="1">
      <c r="B2832" s="4" t="s">
        <v>8</v>
      </c>
      <c r="C2832" s="9">
        <v>46100.03971064815</v>
      </c>
      <c r="D2832" s="10"/>
      <c r="E2832" s="10">
        <f t="shared" si="2"/>
        <v>46100.03971</v>
      </c>
      <c r="F2832" s="10">
        <v>11.38</v>
      </c>
    </row>
    <row r="2833" ht="22.5" customHeight="1">
      <c r="B2833" s="4" t="s">
        <v>8</v>
      </c>
      <c r="C2833" s="9">
        <v>46100.04106481482</v>
      </c>
      <c r="D2833" s="10"/>
      <c r="E2833" s="10">
        <f t="shared" si="2"/>
        <v>46100.04106</v>
      </c>
      <c r="F2833" s="10">
        <v>11.42</v>
      </c>
    </row>
    <row r="2834" ht="22.5" customHeight="1">
      <c r="B2834" s="4" t="s">
        <v>8</v>
      </c>
      <c r="C2834" s="9">
        <v>46100.04175925926</v>
      </c>
      <c r="D2834" s="10"/>
      <c r="E2834" s="10">
        <f t="shared" si="2"/>
        <v>46100.04176</v>
      </c>
      <c r="F2834" s="10">
        <v>11.38</v>
      </c>
    </row>
    <row r="2835" ht="22.5" customHeight="1">
      <c r="B2835" s="4" t="s">
        <v>8</v>
      </c>
      <c r="C2835" s="9">
        <v>46100.294270833336</v>
      </c>
      <c r="D2835" s="10"/>
      <c r="E2835" s="10">
        <f t="shared" si="2"/>
        <v>46100.29427</v>
      </c>
      <c r="F2835" s="10">
        <v>11.38</v>
      </c>
    </row>
    <row r="2836" ht="22.5" customHeight="1">
      <c r="B2836" s="4" t="s">
        <v>8</v>
      </c>
      <c r="C2836" s="9">
        <v>46100.314837962964</v>
      </c>
      <c r="D2836" s="10"/>
      <c r="E2836" s="10">
        <f t="shared" si="2"/>
        <v>46100.31484</v>
      </c>
      <c r="F2836" s="10">
        <v>11.42</v>
      </c>
    </row>
    <row r="2837" ht="22.5" customHeight="1">
      <c r="B2837" s="4" t="s">
        <v>8</v>
      </c>
      <c r="C2837" s="9">
        <v>46100.315520833334</v>
      </c>
      <c r="D2837" s="10"/>
      <c r="E2837" s="10">
        <f t="shared" si="2"/>
        <v>46100.31552</v>
      </c>
      <c r="F2837" s="10">
        <v>11.54</v>
      </c>
    </row>
    <row r="2838" ht="22.5" customHeight="1">
      <c r="B2838" s="4" t="s">
        <v>8</v>
      </c>
      <c r="C2838" s="9">
        <v>46100.31621527778</v>
      </c>
      <c r="D2838" s="10"/>
      <c r="E2838" s="10">
        <f t="shared" si="2"/>
        <v>46100.31622</v>
      </c>
      <c r="F2838" s="10">
        <v>11.58</v>
      </c>
    </row>
    <row r="2839" ht="22.5" customHeight="1">
      <c r="B2839" s="4" t="s">
        <v>8</v>
      </c>
      <c r="C2839" s="9">
        <v>46100.31826388889</v>
      </c>
      <c r="D2839" s="10"/>
      <c r="E2839" s="10">
        <f t="shared" si="2"/>
        <v>46100.31826</v>
      </c>
      <c r="F2839" s="10">
        <v>11.65</v>
      </c>
    </row>
    <row r="2840" ht="22.5" customHeight="1">
      <c r="B2840" s="4" t="s">
        <v>8</v>
      </c>
      <c r="C2840" s="9">
        <v>46100.31962962963</v>
      </c>
      <c r="D2840" s="10"/>
      <c r="E2840" s="10">
        <f t="shared" si="2"/>
        <v>46100.31963</v>
      </c>
      <c r="F2840" s="10">
        <v>11.69</v>
      </c>
    </row>
    <row r="2841" ht="22.5" customHeight="1">
      <c r="B2841" s="4" t="s">
        <v>8</v>
      </c>
      <c r="C2841" s="9">
        <v>46100.32032407408</v>
      </c>
      <c r="D2841" s="10"/>
      <c r="E2841" s="10">
        <f t="shared" si="2"/>
        <v>46100.32032</v>
      </c>
      <c r="F2841" s="10">
        <v>11.74</v>
      </c>
    </row>
    <row r="2842" ht="22.5" customHeight="1">
      <c r="B2842" s="4" t="s">
        <v>8</v>
      </c>
      <c r="C2842" s="9">
        <v>46100.325104166666</v>
      </c>
      <c r="D2842" s="10"/>
      <c r="E2842" s="10">
        <f t="shared" si="2"/>
        <v>46100.3251</v>
      </c>
      <c r="F2842" s="10">
        <v>11.85</v>
      </c>
    </row>
    <row r="2843" ht="22.5" customHeight="1">
      <c r="B2843" s="4" t="s">
        <v>8</v>
      </c>
      <c r="C2843" s="9">
        <v>46100.32579861111</v>
      </c>
      <c r="D2843" s="10"/>
      <c r="E2843" s="10">
        <f t="shared" si="2"/>
        <v>46100.3258</v>
      </c>
      <c r="F2843" s="10">
        <v>11.96</v>
      </c>
    </row>
    <row r="2844" ht="22.5" customHeight="1">
      <c r="B2844" s="4" t="s">
        <v>8</v>
      </c>
      <c r="C2844" s="9">
        <v>46100.337430555555</v>
      </c>
      <c r="D2844" s="10"/>
      <c r="E2844" s="10">
        <f t="shared" si="2"/>
        <v>46100.33743</v>
      </c>
      <c r="F2844" s="10">
        <v>12.0</v>
      </c>
    </row>
    <row r="2845" ht="22.5" customHeight="1">
      <c r="B2845" s="4" t="s">
        <v>8</v>
      </c>
      <c r="C2845" s="9">
        <v>46100.338113425925</v>
      </c>
      <c r="D2845" s="10"/>
      <c r="E2845" s="10">
        <f t="shared" si="2"/>
        <v>46100.33811</v>
      </c>
      <c r="F2845" s="10">
        <v>11.96</v>
      </c>
    </row>
    <row r="2846" ht="22.5" customHeight="1">
      <c r="B2846" s="4" t="s">
        <v>8</v>
      </c>
      <c r="C2846" s="9">
        <v>46100.33880787037</v>
      </c>
      <c r="D2846" s="10"/>
      <c r="E2846" s="10">
        <f t="shared" si="2"/>
        <v>46100.33881</v>
      </c>
      <c r="F2846" s="10">
        <v>12.0</v>
      </c>
    </row>
    <row r="2847" ht="22.5" customHeight="1">
      <c r="B2847" s="4" t="s">
        <v>8</v>
      </c>
      <c r="C2847" s="9">
        <v>46100.34017361111</v>
      </c>
      <c r="D2847" s="10"/>
      <c r="E2847" s="10">
        <f t="shared" si="2"/>
        <v>46100.34017</v>
      </c>
      <c r="F2847" s="10">
        <v>12.05</v>
      </c>
    </row>
    <row r="2848" ht="22.5" customHeight="1">
      <c r="B2848" s="4" t="s">
        <v>8</v>
      </c>
      <c r="C2848" s="9">
        <v>46100.34085648148</v>
      </c>
      <c r="D2848" s="10"/>
      <c r="E2848" s="10">
        <f t="shared" si="2"/>
        <v>46100.34086</v>
      </c>
      <c r="F2848" s="10">
        <v>12.12</v>
      </c>
    </row>
    <row r="2849" ht="22.5" customHeight="1">
      <c r="B2849" s="4" t="s">
        <v>8</v>
      </c>
      <c r="C2849" s="9">
        <v>46100.34222222222</v>
      </c>
      <c r="D2849" s="10"/>
      <c r="E2849" s="10">
        <f t="shared" si="2"/>
        <v>46100.34222</v>
      </c>
      <c r="F2849" s="10">
        <v>12.05</v>
      </c>
    </row>
    <row r="2850" ht="22.5" customHeight="1">
      <c r="B2850" s="4" t="s">
        <v>8</v>
      </c>
      <c r="C2850" s="9">
        <v>46100.34290509259</v>
      </c>
      <c r="D2850" s="10"/>
      <c r="E2850" s="10">
        <f t="shared" si="2"/>
        <v>46100.34291</v>
      </c>
      <c r="F2850" s="10">
        <v>12.12</v>
      </c>
    </row>
    <row r="2851" ht="22.5" customHeight="1">
      <c r="B2851" s="4" t="s">
        <v>8</v>
      </c>
      <c r="C2851" s="9">
        <v>46100.352488425924</v>
      </c>
      <c r="D2851" s="10"/>
      <c r="E2851" s="10">
        <f t="shared" si="2"/>
        <v>46100.35249</v>
      </c>
      <c r="F2851" s="10">
        <v>12.17</v>
      </c>
    </row>
    <row r="2852" ht="22.5" customHeight="1">
      <c r="B2852" s="4" t="s">
        <v>8</v>
      </c>
      <c r="C2852" s="9">
        <v>46100.35454861111</v>
      </c>
      <c r="D2852" s="10"/>
      <c r="E2852" s="10">
        <f t="shared" si="2"/>
        <v>46100.35455</v>
      </c>
      <c r="F2852" s="10">
        <v>12.21</v>
      </c>
    </row>
    <row r="2853" ht="22.5" customHeight="1">
      <c r="B2853" s="4" t="s">
        <v>8</v>
      </c>
      <c r="C2853" s="9">
        <v>46100.35523148148</v>
      </c>
      <c r="D2853" s="10"/>
      <c r="E2853" s="10">
        <f t="shared" si="2"/>
        <v>46100.35523</v>
      </c>
      <c r="F2853" s="10">
        <v>12.17</v>
      </c>
    </row>
    <row r="2854" ht="22.5" customHeight="1">
      <c r="B2854" s="4" t="s">
        <v>8</v>
      </c>
      <c r="C2854" s="9">
        <v>46100.35591435185</v>
      </c>
      <c r="D2854" s="10"/>
      <c r="E2854" s="10">
        <f t="shared" si="2"/>
        <v>46100.35591</v>
      </c>
      <c r="F2854" s="10">
        <v>12.21</v>
      </c>
    </row>
    <row r="2855" ht="22.5" customHeight="1">
      <c r="B2855" s="4" t="s">
        <v>8</v>
      </c>
      <c r="C2855" s="9">
        <v>46100.36070601852</v>
      </c>
      <c r="D2855" s="10"/>
      <c r="E2855" s="10">
        <f t="shared" si="2"/>
        <v>46100.36071</v>
      </c>
      <c r="F2855" s="10">
        <v>12.28</v>
      </c>
    </row>
    <row r="2856" ht="22.5" customHeight="1">
      <c r="B2856" s="4" t="s">
        <v>8</v>
      </c>
      <c r="C2856" s="9">
        <v>46100.36140046296</v>
      </c>
      <c r="D2856" s="10"/>
      <c r="E2856" s="10">
        <f t="shared" si="2"/>
        <v>46100.3614</v>
      </c>
      <c r="F2856" s="10">
        <v>12.21</v>
      </c>
    </row>
    <row r="2857" ht="22.5" customHeight="1">
      <c r="B2857" s="4" t="s">
        <v>8</v>
      </c>
      <c r="C2857" s="9">
        <v>46100.36208333333</v>
      </c>
      <c r="D2857" s="10"/>
      <c r="E2857" s="10">
        <f t="shared" si="2"/>
        <v>46100.36208</v>
      </c>
      <c r="F2857" s="10">
        <v>12.28</v>
      </c>
    </row>
    <row r="2858" ht="22.5" customHeight="1">
      <c r="B2858" s="4" t="s">
        <v>8</v>
      </c>
      <c r="C2858" s="9">
        <v>46100.36550925926</v>
      </c>
      <c r="D2858" s="10"/>
      <c r="E2858" s="10">
        <f t="shared" si="2"/>
        <v>46100.36551</v>
      </c>
      <c r="F2858" s="10">
        <v>12.21</v>
      </c>
    </row>
    <row r="2859" ht="22.5" customHeight="1">
      <c r="B2859" s="4" t="s">
        <v>8</v>
      </c>
      <c r="C2859" s="9">
        <v>46100.36619212963</v>
      </c>
      <c r="D2859" s="10"/>
      <c r="E2859" s="10">
        <f t="shared" si="2"/>
        <v>46100.36619</v>
      </c>
      <c r="F2859" s="10">
        <v>12.28</v>
      </c>
    </row>
    <row r="2860" ht="22.5" customHeight="1">
      <c r="B2860" s="4" t="s">
        <v>8</v>
      </c>
      <c r="C2860" s="9">
        <v>46100.396319444444</v>
      </c>
      <c r="D2860" s="10"/>
      <c r="E2860" s="10">
        <f t="shared" si="2"/>
        <v>46100.39632</v>
      </c>
      <c r="F2860" s="10">
        <v>12.32</v>
      </c>
    </row>
    <row r="2861" ht="22.5" customHeight="1">
      <c r="B2861" s="4" t="s">
        <v>8</v>
      </c>
      <c r="C2861" s="9">
        <v>46100.39837962963</v>
      </c>
      <c r="D2861" s="10"/>
      <c r="E2861" s="10">
        <f t="shared" si="2"/>
        <v>46100.39838</v>
      </c>
      <c r="F2861" s="10">
        <v>12.28</v>
      </c>
    </row>
    <row r="2862" ht="22.5" customHeight="1">
      <c r="B2862" s="4" t="s">
        <v>8</v>
      </c>
      <c r="C2862" s="9">
        <v>46100.3990625</v>
      </c>
      <c r="D2862" s="10"/>
      <c r="E2862" s="10">
        <f t="shared" si="2"/>
        <v>46100.39906</v>
      </c>
      <c r="F2862" s="10">
        <v>12.32</v>
      </c>
    </row>
    <row r="2863" ht="22.5" customHeight="1">
      <c r="B2863" s="4" t="s">
        <v>8</v>
      </c>
      <c r="C2863" s="9">
        <v>46100.40112268519</v>
      </c>
      <c r="D2863" s="10"/>
      <c r="E2863" s="10">
        <f t="shared" si="2"/>
        <v>46100.40112</v>
      </c>
      <c r="F2863" s="10">
        <v>12.28</v>
      </c>
    </row>
    <row r="2864" ht="22.5" customHeight="1">
      <c r="B2864" s="4" t="s">
        <v>8</v>
      </c>
      <c r="C2864" s="9">
        <v>46100.40179398148</v>
      </c>
      <c r="D2864" s="10"/>
      <c r="E2864" s="10">
        <f t="shared" si="2"/>
        <v>46100.40179</v>
      </c>
      <c r="F2864" s="10">
        <v>12.32</v>
      </c>
    </row>
    <row r="2865" ht="22.5" customHeight="1">
      <c r="B2865" s="4" t="s">
        <v>8</v>
      </c>
      <c r="C2865" s="9">
        <v>46100.40247685185</v>
      </c>
      <c r="D2865" s="10"/>
      <c r="E2865" s="10">
        <f t="shared" si="2"/>
        <v>46100.40248</v>
      </c>
      <c r="F2865" s="10">
        <v>12.28</v>
      </c>
    </row>
    <row r="2866" ht="22.5" customHeight="1">
      <c r="B2866" s="4" t="s">
        <v>8</v>
      </c>
      <c r="C2866" s="9">
        <v>46100.403182870374</v>
      </c>
      <c r="D2866" s="10"/>
      <c r="E2866" s="10">
        <f t="shared" si="2"/>
        <v>46100.40318</v>
      </c>
      <c r="F2866" s="10">
        <v>12.32</v>
      </c>
    </row>
    <row r="2867" ht="22.5" customHeight="1">
      <c r="B2867" s="4" t="s">
        <v>8</v>
      </c>
      <c r="C2867" s="9">
        <v>46100.4093287037</v>
      </c>
      <c r="D2867" s="10"/>
      <c r="E2867" s="10">
        <f t="shared" si="2"/>
        <v>46100.40933</v>
      </c>
      <c r="F2867" s="10">
        <v>12.28</v>
      </c>
    </row>
    <row r="2868" ht="22.5" customHeight="1">
      <c r="B2868" s="4" t="s">
        <v>8</v>
      </c>
      <c r="C2868" s="9">
        <v>46100.41002314815</v>
      </c>
      <c r="D2868" s="10"/>
      <c r="E2868" s="10">
        <f t="shared" si="2"/>
        <v>46100.41002</v>
      </c>
      <c r="F2868" s="10">
        <v>12.32</v>
      </c>
    </row>
    <row r="2869" ht="22.5" customHeight="1">
      <c r="B2869" s="4" t="s">
        <v>8</v>
      </c>
      <c r="C2869" s="9">
        <v>46100.41207175926</v>
      </c>
      <c r="D2869" s="10"/>
      <c r="E2869" s="10">
        <f t="shared" si="2"/>
        <v>46100.41207</v>
      </c>
      <c r="F2869" s="10">
        <v>12.28</v>
      </c>
    </row>
    <row r="2870" ht="22.5" customHeight="1">
      <c r="B2870" s="4" t="s">
        <v>8</v>
      </c>
      <c r="C2870" s="9">
        <v>46100.412766203706</v>
      </c>
      <c r="D2870" s="10"/>
      <c r="E2870" s="10">
        <f t="shared" si="2"/>
        <v>46100.41277</v>
      </c>
      <c r="F2870" s="10">
        <v>12.32</v>
      </c>
    </row>
    <row r="2871" ht="22.5" customHeight="1">
      <c r="B2871" s="4" t="s">
        <v>8</v>
      </c>
      <c r="C2871" s="9">
        <v>46100.41412037037</v>
      </c>
      <c r="D2871" s="10"/>
      <c r="E2871" s="10">
        <f t="shared" si="2"/>
        <v>46100.41412</v>
      </c>
      <c r="F2871" s="10">
        <v>12.37</v>
      </c>
    </row>
    <row r="2872" ht="22.5" customHeight="1">
      <c r="B2872" s="4" t="s">
        <v>8</v>
      </c>
      <c r="C2872" s="9">
        <v>46100.414814814816</v>
      </c>
      <c r="D2872" s="10"/>
      <c r="E2872" s="10">
        <f t="shared" si="2"/>
        <v>46100.41481</v>
      </c>
      <c r="F2872" s="10">
        <v>12.28</v>
      </c>
    </row>
    <row r="2873" ht="22.5" customHeight="1">
      <c r="B2873" s="4" t="s">
        <v>8</v>
      </c>
      <c r="C2873" s="9">
        <v>46100.415497685186</v>
      </c>
      <c r="D2873" s="10"/>
      <c r="E2873" s="10">
        <f t="shared" si="2"/>
        <v>46100.4155</v>
      </c>
      <c r="F2873" s="10">
        <v>12.32</v>
      </c>
    </row>
    <row r="2874" ht="22.5" customHeight="1">
      <c r="B2874" s="4" t="s">
        <v>8</v>
      </c>
      <c r="C2874" s="9">
        <v>46100.417546296296</v>
      </c>
      <c r="D2874" s="10"/>
      <c r="E2874" s="10">
        <f t="shared" si="2"/>
        <v>46100.41755</v>
      </c>
      <c r="F2874" s="10">
        <v>12.37</v>
      </c>
    </row>
    <row r="2875" ht="22.5" customHeight="1">
      <c r="B2875" s="4" t="s">
        <v>8</v>
      </c>
      <c r="C2875" s="9">
        <v>46100.418229166666</v>
      </c>
      <c r="D2875" s="10"/>
      <c r="E2875" s="10">
        <f t="shared" si="2"/>
        <v>46100.41823</v>
      </c>
      <c r="F2875" s="10">
        <v>12.32</v>
      </c>
    </row>
    <row r="2876" ht="22.5" customHeight="1">
      <c r="B2876" s="4" t="s">
        <v>8</v>
      </c>
      <c r="C2876" s="9">
        <v>46100.42371527778</v>
      </c>
      <c r="D2876" s="10"/>
      <c r="E2876" s="10">
        <f t="shared" si="2"/>
        <v>46100.42372</v>
      </c>
      <c r="F2876" s="10">
        <v>12.37</v>
      </c>
    </row>
    <row r="2877" ht="22.5" customHeight="1">
      <c r="B2877" s="4" t="s">
        <v>8</v>
      </c>
      <c r="C2877" s="9">
        <v>46100.427141203705</v>
      </c>
      <c r="D2877" s="10"/>
      <c r="E2877" s="10">
        <f t="shared" si="2"/>
        <v>46100.42714</v>
      </c>
      <c r="F2877" s="10">
        <v>12.32</v>
      </c>
    </row>
    <row r="2878" ht="22.5" customHeight="1">
      <c r="B2878" s="4" t="s">
        <v>8</v>
      </c>
      <c r="C2878" s="9">
        <v>46100.427824074075</v>
      </c>
      <c r="D2878" s="10"/>
      <c r="E2878" s="10">
        <f t="shared" si="2"/>
        <v>46100.42782</v>
      </c>
      <c r="F2878" s="10">
        <v>12.37</v>
      </c>
    </row>
    <row r="2879" ht="22.5" customHeight="1">
      <c r="B2879" s="4" t="s">
        <v>8</v>
      </c>
      <c r="C2879" s="9">
        <v>46100.429872685185</v>
      </c>
      <c r="D2879" s="10"/>
      <c r="E2879" s="10">
        <f t="shared" si="2"/>
        <v>46100.42987</v>
      </c>
      <c r="F2879" s="10">
        <v>12.32</v>
      </c>
    </row>
    <row r="2880" ht="22.5" customHeight="1">
      <c r="B2880" s="4" t="s">
        <v>8</v>
      </c>
      <c r="C2880" s="9">
        <v>46100.43056712963</v>
      </c>
      <c r="D2880" s="10"/>
      <c r="E2880" s="10">
        <f t="shared" si="2"/>
        <v>46100.43057</v>
      </c>
      <c r="F2880" s="10">
        <v>12.37</v>
      </c>
    </row>
    <row r="2881" ht="22.5" customHeight="1">
      <c r="B2881" s="4" t="s">
        <v>8</v>
      </c>
      <c r="C2881" s="9">
        <v>46100.43261574074</v>
      </c>
      <c r="D2881" s="10"/>
      <c r="E2881" s="10">
        <f t="shared" si="2"/>
        <v>46100.43262</v>
      </c>
      <c r="F2881" s="10">
        <v>12.42</v>
      </c>
    </row>
    <row r="2882" ht="22.5" customHeight="1">
      <c r="B2882" s="4" t="s">
        <v>8</v>
      </c>
      <c r="C2882" s="9">
        <v>46100.43329861111</v>
      </c>
      <c r="D2882" s="10"/>
      <c r="E2882" s="10">
        <f t="shared" si="2"/>
        <v>46100.4333</v>
      </c>
      <c r="F2882" s="10">
        <v>12.37</v>
      </c>
    </row>
    <row r="2883" ht="22.5" customHeight="1">
      <c r="B2883" s="4" t="s">
        <v>8</v>
      </c>
      <c r="C2883" s="9">
        <v>46100.43467592593</v>
      </c>
      <c r="D2883" s="10"/>
      <c r="E2883" s="10">
        <f t="shared" si="2"/>
        <v>46100.43468</v>
      </c>
      <c r="F2883" s="10">
        <v>12.42</v>
      </c>
    </row>
    <row r="2884" ht="22.5" customHeight="1">
      <c r="B2884" s="4" t="s">
        <v>8</v>
      </c>
      <c r="C2884" s="9">
        <v>46100.4353587963</v>
      </c>
      <c r="D2884" s="10"/>
      <c r="E2884" s="10">
        <f t="shared" si="2"/>
        <v>46100.43536</v>
      </c>
      <c r="F2884" s="10">
        <v>12.37</v>
      </c>
    </row>
    <row r="2885" ht="22.5" customHeight="1">
      <c r="B2885" s="4" t="s">
        <v>8</v>
      </c>
      <c r="C2885" s="9">
        <v>46100.43605324074</v>
      </c>
      <c r="D2885" s="10"/>
      <c r="E2885" s="10">
        <f t="shared" si="2"/>
        <v>46100.43605</v>
      </c>
      <c r="F2885" s="10">
        <v>12.42</v>
      </c>
    </row>
    <row r="2886" ht="22.5" customHeight="1">
      <c r="B2886" s="4" t="s">
        <v>8</v>
      </c>
      <c r="C2886" s="9">
        <v>46100.438784722224</v>
      </c>
      <c r="D2886" s="10"/>
      <c r="E2886" s="10">
        <f t="shared" si="2"/>
        <v>46100.43878</v>
      </c>
      <c r="F2886" s="10">
        <v>12.48</v>
      </c>
    </row>
    <row r="2887" ht="22.5" customHeight="1">
      <c r="B2887" s="4" t="s">
        <v>8</v>
      </c>
      <c r="C2887" s="9">
        <v>46100.439467592594</v>
      </c>
      <c r="D2887" s="10"/>
      <c r="E2887" s="10">
        <f t="shared" si="2"/>
        <v>46100.43947</v>
      </c>
      <c r="F2887" s="10">
        <v>12.42</v>
      </c>
    </row>
    <row r="2888" ht="22.5" customHeight="1">
      <c r="B2888" s="4" t="s">
        <v>8</v>
      </c>
      <c r="C2888" s="9">
        <v>46100.440833333334</v>
      </c>
      <c r="D2888" s="10"/>
      <c r="E2888" s="10">
        <f t="shared" si="2"/>
        <v>46100.44083</v>
      </c>
      <c r="F2888" s="10">
        <v>12.37</v>
      </c>
    </row>
    <row r="2889" ht="22.5" customHeight="1">
      <c r="B2889" s="4" t="s">
        <v>8</v>
      </c>
      <c r="C2889" s="9">
        <v>46100.44221064815</v>
      </c>
      <c r="D2889" s="10"/>
      <c r="E2889" s="10">
        <f t="shared" si="2"/>
        <v>46100.44221</v>
      </c>
      <c r="F2889" s="10">
        <v>12.42</v>
      </c>
    </row>
    <row r="2890" ht="22.5" customHeight="1">
      <c r="B2890" s="4" t="s">
        <v>8</v>
      </c>
      <c r="C2890" s="9">
        <v>46100.44289351852</v>
      </c>
      <c r="D2890" s="10"/>
      <c r="E2890" s="10">
        <f t="shared" si="2"/>
        <v>46100.44289</v>
      </c>
      <c r="F2890" s="10">
        <v>12.37</v>
      </c>
    </row>
    <row r="2891" ht="22.5" customHeight="1">
      <c r="B2891" s="4" t="s">
        <v>8</v>
      </c>
      <c r="C2891" s="9">
        <v>46100.44357638889</v>
      </c>
      <c r="D2891" s="10"/>
      <c r="E2891" s="10">
        <f t="shared" si="2"/>
        <v>46100.44358</v>
      </c>
      <c r="F2891" s="10">
        <v>12.32</v>
      </c>
    </row>
    <row r="2892" ht="22.5" customHeight="1">
      <c r="B2892" s="4" t="s">
        <v>8</v>
      </c>
      <c r="C2892" s="9">
        <v>46100.44425925926</v>
      </c>
      <c r="D2892" s="10"/>
      <c r="E2892" s="10">
        <f t="shared" si="2"/>
        <v>46100.44426</v>
      </c>
      <c r="F2892" s="10">
        <v>12.42</v>
      </c>
    </row>
    <row r="2893" ht="22.5" customHeight="1">
      <c r="B2893" s="4" t="s">
        <v>8</v>
      </c>
      <c r="C2893" s="9">
        <v>46100.44494212963</v>
      </c>
      <c r="D2893" s="10"/>
      <c r="E2893" s="10">
        <f t="shared" si="2"/>
        <v>46100.44494</v>
      </c>
      <c r="F2893" s="10">
        <v>12.37</v>
      </c>
    </row>
    <row r="2894" ht="22.5" customHeight="1">
      <c r="B2894" s="4" t="s">
        <v>8</v>
      </c>
      <c r="C2894" s="9">
        <v>46100.44631944445</v>
      </c>
      <c r="D2894" s="10"/>
      <c r="E2894" s="10">
        <f t="shared" si="2"/>
        <v>46100.44632</v>
      </c>
      <c r="F2894" s="10">
        <v>12.32</v>
      </c>
    </row>
    <row r="2895" ht="22.5" customHeight="1">
      <c r="B2895" s="4" t="s">
        <v>8</v>
      </c>
      <c r="C2895" s="9">
        <v>46100.44700231482</v>
      </c>
      <c r="D2895" s="10"/>
      <c r="E2895" s="10">
        <f t="shared" si="2"/>
        <v>46100.447</v>
      </c>
      <c r="F2895" s="10">
        <v>12.37</v>
      </c>
    </row>
    <row r="2896" ht="22.5" customHeight="1">
      <c r="B2896" s="4" t="s">
        <v>8</v>
      </c>
      <c r="C2896" s="9">
        <v>46100.44836805556</v>
      </c>
      <c r="D2896" s="10"/>
      <c r="E2896" s="10">
        <f t="shared" si="2"/>
        <v>46100.44837</v>
      </c>
      <c r="F2896" s="10">
        <v>12.42</v>
      </c>
    </row>
    <row r="2897" ht="22.5" customHeight="1">
      <c r="B2897" s="4" t="s">
        <v>8</v>
      </c>
      <c r="C2897" s="9">
        <v>46100.44974537037</v>
      </c>
      <c r="D2897" s="10"/>
      <c r="E2897" s="10">
        <f t="shared" si="2"/>
        <v>46100.44975</v>
      </c>
      <c r="F2897" s="10">
        <v>12.48</v>
      </c>
    </row>
    <row r="2898" ht="22.5" customHeight="1">
      <c r="B2898" s="4" t="s">
        <v>8</v>
      </c>
      <c r="C2898" s="9">
        <v>46100.45042824074</v>
      </c>
      <c r="D2898" s="10"/>
      <c r="E2898" s="10">
        <f t="shared" si="2"/>
        <v>46100.45043</v>
      </c>
      <c r="F2898" s="10">
        <v>12.37</v>
      </c>
    </row>
    <row r="2899" ht="22.5" customHeight="1">
      <c r="B2899" s="4" t="s">
        <v>8</v>
      </c>
      <c r="C2899" s="9">
        <v>46100.45111111111</v>
      </c>
      <c r="D2899" s="10"/>
      <c r="E2899" s="10">
        <f t="shared" si="2"/>
        <v>46100.45111</v>
      </c>
      <c r="F2899" s="10">
        <v>12.42</v>
      </c>
    </row>
    <row r="2900" ht="22.5" customHeight="1">
      <c r="B2900" s="4" t="s">
        <v>8</v>
      </c>
      <c r="C2900" s="9">
        <v>46100.45385416667</v>
      </c>
      <c r="D2900" s="10"/>
      <c r="E2900" s="10">
        <f t="shared" si="2"/>
        <v>46100.45385</v>
      </c>
      <c r="F2900" s="10">
        <v>12.37</v>
      </c>
    </row>
    <row r="2901" ht="22.5" customHeight="1">
      <c r="B2901" s="4" t="s">
        <v>8</v>
      </c>
      <c r="C2901" s="9">
        <v>46100.45521990741</v>
      </c>
      <c r="D2901" s="10"/>
      <c r="E2901" s="10">
        <f t="shared" si="2"/>
        <v>46100.45522</v>
      </c>
      <c r="F2901" s="10">
        <v>12.42</v>
      </c>
    </row>
    <row r="2902" ht="22.5" customHeight="1">
      <c r="B2902" s="4" t="s">
        <v>8</v>
      </c>
      <c r="C2902" s="9">
        <v>46100.45590277778</v>
      </c>
      <c r="D2902" s="10"/>
      <c r="E2902" s="10">
        <f t="shared" si="2"/>
        <v>46100.4559</v>
      </c>
      <c r="F2902" s="10">
        <v>12.37</v>
      </c>
    </row>
    <row r="2903" ht="22.5" customHeight="1">
      <c r="B2903" s="4" t="s">
        <v>8</v>
      </c>
      <c r="C2903" s="9">
        <v>46100.45658564815</v>
      </c>
      <c r="D2903" s="10"/>
      <c r="E2903" s="10">
        <f t="shared" si="2"/>
        <v>46100.45659</v>
      </c>
      <c r="F2903" s="10">
        <v>12.42</v>
      </c>
    </row>
    <row r="2904" ht="22.5" customHeight="1">
      <c r="B2904" s="4" t="s">
        <v>8</v>
      </c>
      <c r="C2904" s="9">
        <v>46100.457962962966</v>
      </c>
      <c r="D2904" s="10"/>
      <c r="E2904" s="10">
        <f t="shared" si="2"/>
        <v>46100.45796</v>
      </c>
      <c r="F2904" s="10">
        <v>12.37</v>
      </c>
    </row>
    <row r="2905" ht="22.5" customHeight="1">
      <c r="B2905" s="4" t="s">
        <v>8</v>
      </c>
      <c r="C2905" s="9">
        <v>46100.459340277775</v>
      </c>
      <c r="D2905" s="10"/>
      <c r="E2905" s="10">
        <f t="shared" si="2"/>
        <v>46100.45934</v>
      </c>
      <c r="F2905" s="10">
        <v>12.42</v>
      </c>
    </row>
    <row r="2906" ht="22.5" customHeight="1">
      <c r="B2906" s="4" t="s">
        <v>8</v>
      </c>
      <c r="C2906" s="9">
        <v>46100.460011574076</v>
      </c>
      <c r="D2906" s="10"/>
      <c r="E2906" s="10">
        <f t="shared" si="2"/>
        <v>46100.46001</v>
      </c>
      <c r="F2906" s="10">
        <v>12.37</v>
      </c>
    </row>
    <row r="2907" ht="22.5" customHeight="1">
      <c r="B2907" s="4" t="s">
        <v>8</v>
      </c>
      <c r="C2907" s="9">
        <v>46100.460706018515</v>
      </c>
      <c r="D2907" s="10"/>
      <c r="E2907" s="10">
        <f t="shared" si="2"/>
        <v>46100.46071</v>
      </c>
      <c r="F2907" s="10">
        <v>12.42</v>
      </c>
    </row>
    <row r="2908" ht="22.5" customHeight="1">
      <c r="B2908" s="4" t="s">
        <v>8</v>
      </c>
      <c r="C2908" s="9">
        <v>46100.461388888885</v>
      </c>
      <c r="D2908" s="10"/>
      <c r="E2908" s="10">
        <f t="shared" si="2"/>
        <v>46100.46139</v>
      </c>
      <c r="F2908" s="10">
        <v>12.37</v>
      </c>
    </row>
    <row r="2909" ht="22.5" customHeight="1">
      <c r="B2909" s="4" t="s">
        <v>8</v>
      </c>
      <c r="C2909" s="9">
        <v>46100.46207175926</v>
      </c>
      <c r="D2909" s="10"/>
      <c r="E2909" s="10">
        <f t="shared" si="2"/>
        <v>46100.46207</v>
      </c>
      <c r="F2909" s="10">
        <v>12.42</v>
      </c>
    </row>
    <row r="2910" ht="22.5" customHeight="1">
      <c r="B2910" s="4" t="s">
        <v>8</v>
      </c>
      <c r="C2910" s="9">
        <v>46100.46275462963</v>
      </c>
      <c r="D2910" s="10"/>
      <c r="E2910" s="10">
        <f t="shared" si="2"/>
        <v>46100.46275</v>
      </c>
      <c r="F2910" s="10">
        <v>12.32</v>
      </c>
    </row>
    <row r="2911" ht="22.5" customHeight="1">
      <c r="B2911" s="4" t="s">
        <v>8</v>
      </c>
      <c r="C2911" s="9">
        <v>46100.4634375</v>
      </c>
      <c r="D2911" s="10"/>
      <c r="E2911" s="10">
        <f t="shared" si="2"/>
        <v>46100.46344</v>
      </c>
      <c r="F2911" s="10">
        <v>12.42</v>
      </c>
    </row>
    <row r="2912" ht="22.5" customHeight="1">
      <c r="B2912" s="4" t="s">
        <v>8</v>
      </c>
      <c r="C2912" s="9">
        <v>46100.46549768518</v>
      </c>
      <c r="D2912" s="10"/>
      <c r="E2912" s="10">
        <f t="shared" si="2"/>
        <v>46100.4655</v>
      </c>
      <c r="F2912" s="10">
        <v>12.37</v>
      </c>
    </row>
    <row r="2913" ht="22.5" customHeight="1">
      <c r="B2913" s="4" t="s">
        <v>8</v>
      </c>
      <c r="C2913" s="9">
        <v>46100.46686342593</v>
      </c>
      <c r="D2913" s="10"/>
      <c r="E2913" s="10">
        <f t="shared" si="2"/>
        <v>46100.46686</v>
      </c>
      <c r="F2913" s="10">
        <v>12.42</v>
      </c>
    </row>
    <row r="2914" ht="22.5" customHeight="1">
      <c r="B2914" s="4" t="s">
        <v>8</v>
      </c>
      <c r="C2914" s="9">
        <v>46100.46822916667</v>
      </c>
      <c r="D2914" s="10"/>
      <c r="E2914" s="10">
        <f t="shared" si="2"/>
        <v>46100.46823</v>
      </c>
      <c r="F2914" s="10">
        <v>12.37</v>
      </c>
    </row>
    <row r="2915" ht="22.5" customHeight="1">
      <c r="B2915" s="4" t="s">
        <v>8</v>
      </c>
      <c r="C2915" s="9">
        <v>46100.46892361111</v>
      </c>
      <c r="D2915" s="10"/>
      <c r="E2915" s="10">
        <f t="shared" si="2"/>
        <v>46100.46892</v>
      </c>
      <c r="F2915" s="10">
        <v>12.42</v>
      </c>
    </row>
    <row r="2916" ht="22.5" customHeight="1">
      <c r="B2916" s="4" t="s">
        <v>8</v>
      </c>
      <c r="C2916" s="9">
        <v>46100.47645833333</v>
      </c>
      <c r="D2916" s="10"/>
      <c r="E2916" s="10">
        <f t="shared" si="2"/>
        <v>46100.47646</v>
      </c>
      <c r="F2916" s="10">
        <v>12.37</v>
      </c>
    </row>
    <row r="2917" ht="22.5" customHeight="1">
      <c r="B2917" s="4" t="s">
        <v>8</v>
      </c>
      <c r="C2917" s="9">
        <v>46100.47782407407</v>
      </c>
      <c r="D2917" s="10"/>
      <c r="E2917" s="10">
        <f t="shared" si="2"/>
        <v>46100.47782</v>
      </c>
      <c r="F2917" s="10">
        <v>12.42</v>
      </c>
    </row>
    <row r="2918" ht="22.5" customHeight="1">
      <c r="B2918" s="4" t="s">
        <v>8</v>
      </c>
      <c r="C2918" s="9">
        <v>46100.48673611111</v>
      </c>
      <c r="D2918" s="10"/>
      <c r="E2918" s="10">
        <f t="shared" si="2"/>
        <v>46100.48674</v>
      </c>
      <c r="F2918" s="10">
        <v>12.48</v>
      </c>
    </row>
    <row r="2919" ht="22.5" customHeight="1">
      <c r="B2919" s="4" t="s">
        <v>8</v>
      </c>
      <c r="C2919" s="9">
        <v>46100.48741898148</v>
      </c>
      <c r="D2919" s="10"/>
      <c r="E2919" s="10">
        <f t="shared" si="2"/>
        <v>46100.48742</v>
      </c>
      <c r="F2919" s="10">
        <v>12.37</v>
      </c>
    </row>
    <row r="2920" ht="22.5" customHeight="1">
      <c r="B2920" s="4" t="s">
        <v>8</v>
      </c>
      <c r="C2920" s="9">
        <v>46100.48811342593</v>
      </c>
      <c r="D2920" s="10"/>
      <c r="E2920" s="10">
        <f t="shared" si="2"/>
        <v>46100.48811</v>
      </c>
      <c r="F2920" s="10">
        <v>12.42</v>
      </c>
    </row>
    <row r="2921" ht="22.5" customHeight="1">
      <c r="B2921" s="4" t="s">
        <v>8</v>
      </c>
      <c r="C2921" s="9">
        <v>46100.49016203704</v>
      </c>
      <c r="D2921" s="10"/>
      <c r="E2921" s="10">
        <f t="shared" si="2"/>
        <v>46100.49016</v>
      </c>
      <c r="F2921" s="10">
        <v>12.37</v>
      </c>
    </row>
    <row r="2922" ht="22.5" customHeight="1">
      <c r="B2922" s="4" t="s">
        <v>8</v>
      </c>
      <c r="C2922" s="9">
        <v>46100.49084490741</v>
      </c>
      <c r="D2922" s="10"/>
      <c r="E2922" s="10">
        <f t="shared" si="2"/>
        <v>46100.49084</v>
      </c>
      <c r="F2922" s="10">
        <v>12.42</v>
      </c>
    </row>
    <row r="2923" ht="22.5" customHeight="1">
      <c r="B2923" s="4" t="s">
        <v>8</v>
      </c>
      <c r="C2923" s="9">
        <v>46100.49974537037</v>
      </c>
      <c r="D2923" s="10"/>
      <c r="E2923" s="10">
        <f t="shared" si="2"/>
        <v>46100.49975</v>
      </c>
      <c r="F2923" s="10">
        <v>12.37</v>
      </c>
    </row>
    <row r="2924" ht="22.5" customHeight="1">
      <c r="B2924" s="4" t="s">
        <v>8</v>
      </c>
      <c r="C2924" s="9">
        <v>46100.50042824074</v>
      </c>
      <c r="D2924" s="10"/>
      <c r="E2924" s="10">
        <f t="shared" si="2"/>
        <v>46100.50043</v>
      </c>
      <c r="F2924" s="10">
        <v>12.42</v>
      </c>
    </row>
    <row r="2925" ht="22.5" customHeight="1">
      <c r="B2925" s="4" t="s">
        <v>8</v>
      </c>
      <c r="C2925" s="9">
        <v>46100.50865740741</v>
      </c>
      <c r="D2925" s="10"/>
      <c r="E2925" s="10">
        <f t="shared" si="2"/>
        <v>46100.50866</v>
      </c>
      <c r="F2925" s="10">
        <v>12.37</v>
      </c>
    </row>
    <row r="2926" ht="22.5" customHeight="1">
      <c r="B2926" s="4" t="s">
        <v>8</v>
      </c>
      <c r="C2926" s="9">
        <v>46100.50934027778</v>
      </c>
      <c r="D2926" s="10"/>
      <c r="E2926" s="10">
        <f t="shared" si="2"/>
        <v>46100.50934</v>
      </c>
      <c r="F2926" s="10">
        <v>12.42</v>
      </c>
    </row>
    <row r="2927" ht="22.5" customHeight="1">
      <c r="B2927" s="4" t="s">
        <v>8</v>
      </c>
      <c r="C2927" s="9">
        <v>46100.51138888889</v>
      </c>
      <c r="D2927" s="10"/>
      <c r="E2927" s="10">
        <f t="shared" si="2"/>
        <v>46100.51139</v>
      </c>
      <c r="F2927" s="10">
        <v>12.37</v>
      </c>
    </row>
    <row r="2928" ht="22.5" customHeight="1">
      <c r="B2928" s="4" t="s">
        <v>8</v>
      </c>
      <c r="C2928" s="9">
        <v>46100.512083333335</v>
      </c>
      <c r="D2928" s="10"/>
      <c r="E2928" s="10">
        <f t="shared" si="2"/>
        <v>46100.51208</v>
      </c>
      <c r="F2928" s="10">
        <v>12.42</v>
      </c>
    </row>
    <row r="2929" ht="22.5" customHeight="1">
      <c r="B2929" s="4" t="s">
        <v>8</v>
      </c>
      <c r="C2929" s="9">
        <v>46100.51414351852</v>
      </c>
      <c r="D2929" s="10"/>
      <c r="E2929" s="10">
        <f t="shared" si="2"/>
        <v>46100.51414</v>
      </c>
      <c r="F2929" s="10">
        <v>12.37</v>
      </c>
    </row>
    <row r="2930" ht="22.5" customHeight="1">
      <c r="B2930" s="4" t="s">
        <v>8</v>
      </c>
      <c r="C2930" s="9">
        <v>46100.516875</v>
      </c>
      <c r="D2930" s="10"/>
      <c r="E2930" s="10">
        <f t="shared" si="2"/>
        <v>46100.51688</v>
      </c>
      <c r="F2930" s="10">
        <v>12.42</v>
      </c>
    </row>
    <row r="2931" ht="22.5" customHeight="1">
      <c r="B2931" s="4" t="s">
        <v>8</v>
      </c>
      <c r="C2931" s="9">
        <v>46100.51893518519</v>
      </c>
      <c r="D2931" s="10"/>
      <c r="E2931" s="10">
        <f t="shared" si="2"/>
        <v>46100.51894</v>
      </c>
      <c r="F2931" s="10">
        <v>12.48</v>
      </c>
    </row>
    <row r="2932" ht="22.5" customHeight="1">
      <c r="B2932" s="4" t="s">
        <v>8</v>
      </c>
      <c r="C2932" s="9">
        <v>46100.51961805556</v>
      </c>
      <c r="D2932" s="10"/>
      <c r="E2932" s="10">
        <f t="shared" si="2"/>
        <v>46100.51962</v>
      </c>
      <c r="F2932" s="10">
        <v>12.42</v>
      </c>
    </row>
    <row r="2933" ht="22.5" customHeight="1">
      <c r="B2933" s="4" t="s">
        <v>8</v>
      </c>
      <c r="C2933" s="9">
        <v>46100.522361111114</v>
      </c>
      <c r="D2933" s="10"/>
      <c r="E2933" s="10">
        <f t="shared" si="2"/>
        <v>46100.52236</v>
      </c>
      <c r="F2933" s="10">
        <v>12.48</v>
      </c>
    </row>
    <row r="2934" ht="22.5" customHeight="1">
      <c r="B2934" s="4" t="s">
        <v>8</v>
      </c>
      <c r="C2934" s="9">
        <v>46100.523043981484</v>
      </c>
      <c r="D2934" s="10"/>
      <c r="E2934" s="10">
        <f t="shared" si="2"/>
        <v>46100.52304</v>
      </c>
      <c r="F2934" s="10">
        <v>12.42</v>
      </c>
    </row>
    <row r="2935" ht="22.5" customHeight="1">
      <c r="B2935" s="4" t="s">
        <v>8</v>
      </c>
      <c r="C2935" s="9">
        <v>46100.523726851854</v>
      </c>
      <c r="D2935" s="10"/>
      <c r="E2935" s="10">
        <f t="shared" si="2"/>
        <v>46100.52373</v>
      </c>
      <c r="F2935" s="10">
        <v>12.48</v>
      </c>
    </row>
    <row r="2936" ht="22.5" customHeight="1">
      <c r="B2936" s="4" t="s">
        <v>8</v>
      </c>
      <c r="C2936" s="9">
        <v>46100.524409722224</v>
      </c>
      <c r="D2936" s="10"/>
      <c r="E2936" s="10">
        <f t="shared" si="2"/>
        <v>46100.52441</v>
      </c>
      <c r="F2936" s="10">
        <v>12.42</v>
      </c>
    </row>
    <row r="2937" ht="22.5" customHeight="1">
      <c r="B2937" s="4" t="s">
        <v>8</v>
      </c>
      <c r="C2937" s="9">
        <v>46100.525775462964</v>
      </c>
      <c r="D2937" s="10"/>
      <c r="E2937" s="10">
        <f t="shared" si="2"/>
        <v>46100.52578</v>
      </c>
      <c r="F2937" s="10">
        <v>12.48</v>
      </c>
    </row>
    <row r="2938" ht="22.5" customHeight="1">
      <c r="B2938" s="4" t="s">
        <v>8</v>
      </c>
      <c r="C2938" s="9">
        <v>46100.52989583334</v>
      </c>
      <c r="D2938" s="10"/>
      <c r="E2938" s="10">
        <f t="shared" si="2"/>
        <v>46100.5299</v>
      </c>
      <c r="F2938" s="10">
        <v>12.42</v>
      </c>
    </row>
    <row r="2939" ht="22.5" customHeight="1">
      <c r="B2939" s="4" t="s">
        <v>8</v>
      </c>
      <c r="C2939" s="9">
        <v>46100.53057870371</v>
      </c>
      <c r="D2939" s="10"/>
      <c r="E2939" s="10">
        <f t="shared" si="2"/>
        <v>46100.53058</v>
      </c>
      <c r="F2939" s="10">
        <v>12.48</v>
      </c>
    </row>
    <row r="2940" ht="22.5" customHeight="1">
      <c r="B2940" s="4" t="s">
        <v>8</v>
      </c>
      <c r="C2940" s="9">
        <v>46100.54702546296</v>
      </c>
      <c r="D2940" s="10"/>
      <c r="E2940" s="10">
        <f t="shared" si="2"/>
        <v>46100.54703</v>
      </c>
      <c r="F2940" s="10">
        <v>12.42</v>
      </c>
    </row>
    <row r="2941" ht="22.5" customHeight="1">
      <c r="B2941" s="4" t="s">
        <v>8</v>
      </c>
      <c r="C2941" s="9">
        <v>46100.54770833333</v>
      </c>
      <c r="D2941" s="10"/>
      <c r="E2941" s="10">
        <f t="shared" si="2"/>
        <v>46100.54771</v>
      </c>
      <c r="F2941" s="10">
        <v>12.48</v>
      </c>
    </row>
    <row r="2942" ht="22.5" customHeight="1">
      <c r="B2942" s="4" t="s">
        <v>8</v>
      </c>
      <c r="C2942" s="9">
        <v>46100.585381944446</v>
      </c>
      <c r="D2942" s="10"/>
      <c r="E2942" s="10">
        <f t="shared" si="2"/>
        <v>46100.58538</v>
      </c>
      <c r="F2942" s="10">
        <v>12.54</v>
      </c>
    </row>
    <row r="2943" ht="22.5" customHeight="1">
      <c r="B2943" s="4" t="s">
        <v>8</v>
      </c>
      <c r="C2943" s="9">
        <v>46100.58607638889</v>
      </c>
      <c r="D2943" s="10"/>
      <c r="E2943" s="10">
        <f t="shared" si="2"/>
        <v>46100.58608</v>
      </c>
      <c r="F2943" s="10">
        <v>12.59</v>
      </c>
    </row>
    <row r="2944" ht="22.5" customHeight="1">
      <c r="B2944" s="4" t="s">
        <v>8</v>
      </c>
      <c r="C2944" s="9">
        <v>46100.58744212963</v>
      </c>
      <c r="D2944" s="10"/>
      <c r="E2944" s="10">
        <f t="shared" si="2"/>
        <v>46100.58744</v>
      </c>
      <c r="F2944" s="10">
        <v>12.54</v>
      </c>
    </row>
    <row r="2945" ht="22.5" customHeight="1">
      <c r="B2945" s="4" t="s">
        <v>8</v>
      </c>
      <c r="C2945" s="9">
        <v>46100.588125</v>
      </c>
      <c r="D2945" s="10"/>
      <c r="E2945" s="10">
        <f t="shared" si="2"/>
        <v>46100.58813</v>
      </c>
      <c r="F2945" s="10">
        <v>12.59</v>
      </c>
    </row>
    <row r="2946" ht="22.5" customHeight="1">
      <c r="B2946" s="4" t="s">
        <v>8</v>
      </c>
      <c r="C2946" s="9">
        <v>46100.58949074074</v>
      </c>
      <c r="D2946" s="10"/>
      <c r="E2946" s="10">
        <f t="shared" si="2"/>
        <v>46100.58949</v>
      </c>
      <c r="F2946" s="10">
        <v>12.63</v>
      </c>
    </row>
    <row r="2947" ht="22.5" customHeight="1">
      <c r="B2947" s="4" t="s">
        <v>8</v>
      </c>
      <c r="C2947" s="9">
        <v>46100.59018518519</v>
      </c>
      <c r="D2947" s="10"/>
      <c r="E2947" s="10">
        <f t="shared" si="2"/>
        <v>46100.59019</v>
      </c>
      <c r="F2947" s="10">
        <v>12.59</v>
      </c>
    </row>
    <row r="2948" ht="22.5" customHeight="1">
      <c r="B2948" s="4" t="s">
        <v>8</v>
      </c>
      <c r="C2948" s="9">
        <v>46100.59155092593</v>
      </c>
      <c r="D2948" s="10"/>
      <c r="E2948" s="10">
        <f t="shared" si="2"/>
        <v>46100.59155</v>
      </c>
      <c r="F2948" s="10">
        <v>12.63</v>
      </c>
    </row>
    <row r="2949" ht="22.5" customHeight="1">
      <c r="B2949" s="4" t="s">
        <v>8</v>
      </c>
      <c r="C2949" s="9">
        <v>46100.5922337963</v>
      </c>
      <c r="D2949" s="10"/>
      <c r="E2949" s="10">
        <f t="shared" si="2"/>
        <v>46100.59223</v>
      </c>
      <c r="F2949" s="10">
        <v>12.59</v>
      </c>
    </row>
    <row r="2950" ht="22.5" customHeight="1">
      <c r="B2950" s="4" t="s">
        <v>8</v>
      </c>
      <c r="C2950" s="9">
        <v>46100.597037037034</v>
      </c>
      <c r="D2950" s="10"/>
      <c r="E2950" s="10">
        <f t="shared" si="2"/>
        <v>46100.59704</v>
      </c>
      <c r="F2950" s="10">
        <v>12.54</v>
      </c>
    </row>
    <row r="2951" ht="22.5" customHeight="1">
      <c r="B2951" s="4" t="s">
        <v>8</v>
      </c>
      <c r="C2951" s="9">
        <v>46100.606620370374</v>
      </c>
      <c r="D2951" s="10"/>
      <c r="E2951" s="10">
        <f t="shared" si="2"/>
        <v>46100.60662</v>
      </c>
      <c r="F2951" s="10">
        <v>12.48</v>
      </c>
    </row>
    <row r="2952" ht="22.5" customHeight="1">
      <c r="B2952" s="4" t="s">
        <v>8</v>
      </c>
      <c r="C2952" s="9">
        <v>46100.60799768518</v>
      </c>
      <c r="D2952" s="10"/>
      <c r="E2952" s="10">
        <f t="shared" si="2"/>
        <v>46100.608</v>
      </c>
      <c r="F2952" s="10">
        <v>12.59</v>
      </c>
    </row>
    <row r="2953" ht="22.5" customHeight="1">
      <c r="B2953" s="4" t="s">
        <v>8</v>
      </c>
      <c r="C2953" s="9">
        <v>46100.60868055555</v>
      </c>
      <c r="D2953" s="10"/>
      <c r="E2953" s="10">
        <f t="shared" si="2"/>
        <v>46100.60868</v>
      </c>
      <c r="F2953" s="10">
        <v>12.54</v>
      </c>
    </row>
    <row r="2954" ht="22.5" customHeight="1">
      <c r="B2954" s="4" t="s">
        <v>8</v>
      </c>
      <c r="C2954" s="9">
        <v>46100.61142361111</v>
      </c>
      <c r="D2954" s="10"/>
      <c r="E2954" s="10">
        <f t="shared" si="2"/>
        <v>46100.61142</v>
      </c>
      <c r="F2954" s="10">
        <v>12.59</v>
      </c>
    </row>
    <row r="2955" ht="22.5" customHeight="1">
      <c r="B2955" s="4" t="s">
        <v>8</v>
      </c>
      <c r="C2955" s="9">
        <v>46100.61210648148</v>
      </c>
      <c r="D2955" s="10"/>
      <c r="E2955" s="10">
        <f t="shared" si="2"/>
        <v>46100.61211</v>
      </c>
      <c r="F2955" s="10">
        <v>12.54</v>
      </c>
    </row>
    <row r="2956" ht="22.5" customHeight="1">
      <c r="B2956" s="4" t="s">
        <v>8</v>
      </c>
      <c r="C2956" s="9">
        <v>46100.61347222222</v>
      </c>
      <c r="D2956" s="10"/>
      <c r="E2956" s="10">
        <f t="shared" si="2"/>
        <v>46100.61347</v>
      </c>
      <c r="F2956" s="10">
        <v>12.48</v>
      </c>
    </row>
    <row r="2957" ht="22.5" customHeight="1">
      <c r="B2957" s="4" t="s">
        <v>8</v>
      </c>
      <c r="C2957" s="9">
        <v>46100.64979166666</v>
      </c>
      <c r="D2957" s="10"/>
      <c r="E2957" s="10">
        <f t="shared" si="2"/>
        <v>46100.64979</v>
      </c>
      <c r="F2957" s="10">
        <v>12.54</v>
      </c>
    </row>
    <row r="2958" ht="22.5" customHeight="1">
      <c r="B2958" s="4" t="s">
        <v>8</v>
      </c>
      <c r="C2958" s="9">
        <v>46100.65047453704</v>
      </c>
      <c r="D2958" s="10"/>
      <c r="E2958" s="10">
        <f t="shared" si="2"/>
        <v>46100.65047</v>
      </c>
      <c r="F2958" s="10">
        <v>12.59</v>
      </c>
    </row>
    <row r="2959" ht="22.5" customHeight="1">
      <c r="B2959" s="4" t="s">
        <v>8</v>
      </c>
      <c r="C2959" s="9">
        <v>46100.65115740741</v>
      </c>
      <c r="D2959" s="10"/>
      <c r="E2959" s="10">
        <f t="shared" si="2"/>
        <v>46100.65116</v>
      </c>
      <c r="F2959" s="10">
        <v>12.48</v>
      </c>
    </row>
    <row r="2960" ht="22.5" customHeight="1">
      <c r="B2960" s="4" t="s">
        <v>8</v>
      </c>
      <c r="C2960" s="9">
        <v>46100.65184027778</v>
      </c>
      <c r="D2960" s="10"/>
      <c r="E2960" s="10">
        <f t="shared" si="2"/>
        <v>46100.65184</v>
      </c>
      <c r="F2960" s="10">
        <v>12.54</v>
      </c>
    </row>
    <row r="2961" ht="22.5" customHeight="1">
      <c r="B2961" s="4" t="s">
        <v>8</v>
      </c>
      <c r="C2961" s="9">
        <v>46100.65252314815</v>
      </c>
      <c r="D2961" s="10"/>
      <c r="E2961" s="10">
        <f t="shared" si="2"/>
        <v>46100.65252</v>
      </c>
      <c r="F2961" s="10">
        <v>12.48</v>
      </c>
    </row>
    <row r="2962" ht="22.5" customHeight="1">
      <c r="B2962" s="4" t="s">
        <v>8</v>
      </c>
      <c r="C2962" s="9">
        <v>46100.66005787037</v>
      </c>
      <c r="D2962" s="10"/>
      <c r="E2962" s="10">
        <f t="shared" si="2"/>
        <v>46100.66006</v>
      </c>
      <c r="F2962" s="10">
        <v>12.59</v>
      </c>
    </row>
    <row r="2963" ht="22.5" customHeight="1">
      <c r="B2963" s="4" t="s">
        <v>8</v>
      </c>
      <c r="C2963" s="9">
        <v>46100.66075231481</v>
      </c>
      <c r="D2963" s="10"/>
      <c r="E2963" s="10">
        <f t="shared" si="2"/>
        <v>46100.66075</v>
      </c>
      <c r="F2963" s="10">
        <v>12.63</v>
      </c>
    </row>
    <row r="2964" ht="22.5" customHeight="1">
      <c r="B2964" s="4" t="s">
        <v>8</v>
      </c>
      <c r="C2964" s="9">
        <v>46100.66211805555</v>
      </c>
      <c r="D2964" s="10"/>
      <c r="E2964" s="10">
        <f t="shared" si="2"/>
        <v>46100.66212</v>
      </c>
      <c r="F2964" s="10">
        <v>12.79</v>
      </c>
    </row>
    <row r="2965" ht="22.5" customHeight="1">
      <c r="B2965" s="4" t="s">
        <v>8</v>
      </c>
      <c r="C2965" s="9">
        <v>46100.66417824074</v>
      </c>
      <c r="D2965" s="10"/>
      <c r="E2965" s="10">
        <f t="shared" si="2"/>
        <v>46100.66418</v>
      </c>
      <c r="F2965" s="10">
        <v>12.94</v>
      </c>
    </row>
    <row r="2966" ht="22.5" customHeight="1">
      <c r="B2966" s="4" t="s">
        <v>8</v>
      </c>
      <c r="C2966" s="9">
        <v>46100.66486111111</v>
      </c>
      <c r="D2966" s="10"/>
      <c r="E2966" s="10">
        <f t="shared" si="2"/>
        <v>46100.66486</v>
      </c>
      <c r="F2966" s="10">
        <v>13.0</v>
      </c>
    </row>
    <row r="2967" ht="22.5" customHeight="1">
      <c r="B2967" s="4" t="s">
        <v>8</v>
      </c>
      <c r="C2967" s="9">
        <v>46100.66622685185</v>
      </c>
      <c r="D2967" s="10"/>
      <c r="E2967" s="10">
        <f t="shared" si="2"/>
        <v>46100.66623</v>
      </c>
      <c r="F2967" s="10">
        <v>13.04</v>
      </c>
    </row>
    <row r="2968" ht="22.5" customHeight="1">
      <c r="B2968" s="4" t="s">
        <v>8</v>
      </c>
      <c r="C2968" s="9">
        <v>46100.666909722226</v>
      </c>
      <c r="D2968" s="10"/>
      <c r="E2968" s="10">
        <f t="shared" si="2"/>
        <v>46100.66691</v>
      </c>
      <c r="F2968" s="10">
        <v>13.09</v>
      </c>
    </row>
    <row r="2969" ht="22.5" customHeight="1">
      <c r="B2969" s="4" t="s">
        <v>8</v>
      </c>
      <c r="C2969" s="9">
        <v>46100.667604166665</v>
      </c>
      <c r="D2969" s="10"/>
      <c r="E2969" s="10">
        <f t="shared" si="2"/>
        <v>46100.6676</v>
      </c>
      <c r="F2969" s="10">
        <v>13.16</v>
      </c>
    </row>
    <row r="2970" ht="22.5" customHeight="1">
      <c r="B2970" s="4" t="s">
        <v>8</v>
      </c>
      <c r="C2970" s="9">
        <v>46100.669652777775</v>
      </c>
      <c r="D2970" s="10"/>
      <c r="E2970" s="10">
        <f t="shared" si="2"/>
        <v>46100.66965</v>
      </c>
      <c r="F2970" s="10">
        <v>13.2</v>
      </c>
    </row>
    <row r="2971" ht="22.5" customHeight="1">
      <c r="B2971" s="4" t="s">
        <v>8</v>
      </c>
      <c r="C2971" s="9">
        <v>46100.670335648145</v>
      </c>
      <c r="D2971" s="10"/>
      <c r="E2971" s="10">
        <f t="shared" si="2"/>
        <v>46100.67034</v>
      </c>
      <c r="F2971" s="10">
        <v>13.27</v>
      </c>
    </row>
    <row r="2972" ht="22.5" customHeight="1">
      <c r="B2972" s="4" t="s">
        <v>8</v>
      </c>
      <c r="C2972" s="9">
        <v>46100.67103009259</v>
      </c>
      <c r="D2972" s="10"/>
      <c r="E2972" s="10">
        <f t="shared" si="2"/>
        <v>46100.67103</v>
      </c>
      <c r="F2972" s="10">
        <v>13.31</v>
      </c>
    </row>
    <row r="2973" ht="22.5" customHeight="1">
      <c r="B2973" s="4" t="s">
        <v>8</v>
      </c>
      <c r="C2973" s="9">
        <v>46100.67445601852</v>
      </c>
      <c r="D2973" s="10"/>
      <c r="E2973" s="10">
        <f t="shared" si="2"/>
        <v>46100.67446</v>
      </c>
      <c r="F2973" s="10">
        <v>13.36</v>
      </c>
    </row>
    <row r="2974" ht="22.5" customHeight="1">
      <c r="B2974" s="4" t="s">
        <v>8</v>
      </c>
      <c r="C2974" s="9">
        <v>46100.67513888889</v>
      </c>
      <c r="D2974" s="10"/>
      <c r="E2974" s="10">
        <f t="shared" si="2"/>
        <v>46100.67514</v>
      </c>
      <c r="F2974" s="10">
        <v>13.42</v>
      </c>
    </row>
    <row r="2975" ht="22.5" customHeight="1">
      <c r="B2975" s="4" t="s">
        <v>8</v>
      </c>
      <c r="C2975" s="9">
        <v>46100.67582175926</v>
      </c>
      <c r="D2975" s="10"/>
      <c r="E2975" s="10">
        <f t="shared" si="2"/>
        <v>46100.67582</v>
      </c>
      <c r="F2975" s="10">
        <v>13.46</v>
      </c>
    </row>
    <row r="2976" ht="22.5" customHeight="1">
      <c r="B2976" s="4" t="s">
        <v>8</v>
      </c>
      <c r="C2976" s="9">
        <v>46100.6771875</v>
      </c>
      <c r="D2976" s="10"/>
      <c r="E2976" s="10">
        <f t="shared" si="2"/>
        <v>46100.67719</v>
      </c>
      <c r="F2976" s="10">
        <v>13.5</v>
      </c>
    </row>
    <row r="2977" ht="22.5" customHeight="1">
      <c r="B2977" s="4" t="s">
        <v>8</v>
      </c>
      <c r="C2977" s="9">
        <v>46100.68335648148</v>
      </c>
      <c r="D2977" s="10"/>
      <c r="E2977" s="10">
        <f t="shared" si="2"/>
        <v>46100.68336</v>
      </c>
      <c r="F2977" s="10">
        <v>13.57</v>
      </c>
    </row>
    <row r="2978" ht="22.5" customHeight="1">
      <c r="B2978" s="4" t="s">
        <v>8</v>
      </c>
      <c r="C2978" s="9">
        <v>46100.68678240741</v>
      </c>
      <c r="D2978" s="10"/>
      <c r="E2978" s="10">
        <f t="shared" si="2"/>
        <v>46100.68678</v>
      </c>
      <c r="F2978" s="10">
        <v>13.62</v>
      </c>
    </row>
    <row r="2979" ht="22.5" customHeight="1">
      <c r="B2979" s="4" t="s">
        <v>8</v>
      </c>
      <c r="C2979" s="9">
        <v>46100.68884259259</v>
      </c>
      <c r="D2979" s="10"/>
      <c r="E2979" s="10">
        <f t="shared" si="2"/>
        <v>46100.68884</v>
      </c>
      <c r="F2979" s="10">
        <v>13.66</v>
      </c>
    </row>
    <row r="2980" ht="22.5" customHeight="1">
      <c r="B2980" s="4" t="s">
        <v>8</v>
      </c>
      <c r="C2980" s="9">
        <v>46100.68953703704</v>
      </c>
      <c r="D2980" s="10"/>
      <c r="E2980" s="10">
        <f t="shared" si="2"/>
        <v>46100.68954</v>
      </c>
      <c r="F2980" s="10">
        <v>13.62</v>
      </c>
    </row>
    <row r="2981" ht="22.5" customHeight="1">
      <c r="B2981" s="4" t="s">
        <v>8</v>
      </c>
      <c r="C2981" s="9">
        <v>46100.6908912037</v>
      </c>
      <c r="D2981" s="10"/>
      <c r="E2981" s="10">
        <f t="shared" si="2"/>
        <v>46100.69089</v>
      </c>
      <c r="F2981" s="10">
        <v>13.66</v>
      </c>
    </row>
    <row r="2982" ht="22.5" customHeight="1">
      <c r="B2982" s="4" t="s">
        <v>8</v>
      </c>
      <c r="C2982" s="9">
        <v>46100.69645833333</v>
      </c>
      <c r="D2982" s="10"/>
      <c r="E2982" s="10">
        <f t="shared" si="2"/>
        <v>46100.69646</v>
      </c>
      <c r="F2982" s="10">
        <v>13.66</v>
      </c>
    </row>
    <row r="2983" ht="22.5" customHeight="1">
      <c r="B2983" s="4" t="s">
        <v>8</v>
      </c>
      <c r="C2983" s="9">
        <v>46100.701944444445</v>
      </c>
      <c r="D2983" s="10"/>
      <c r="E2983" s="10">
        <f t="shared" si="2"/>
        <v>46100.70194</v>
      </c>
      <c r="F2983" s="10">
        <v>13.83</v>
      </c>
    </row>
  </sheetData>
  <dataValidations>
    <dataValidation type="custom" allowBlank="1" showDropDown="1" sqref="B2:B2050 C2055:C2983">
      <formula1>OR(NOT(ISERROR(DATEVALUE(B2))), AND(ISNUMBER(B2), LEFT(CELL("format", B2))="D"))</formula1>
    </dataValidation>
    <dataValidation type="custom" allowBlank="1" showDropDown="1" sqref="C2:C2050">
      <formula1>AND(ISNUMBER(C2),(NOT(OR(NOT(ISERROR(DATEVALUE(C2))), AND(ISNUMBER(C2), LEFT(CELL("format", C2))="D")))))</formula1>
    </dataValidation>
  </dataValidation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4" max="4" width="22.5"/>
  </cols>
  <sheetData>
    <row r="2" ht="22.5" customHeight="1">
      <c r="B2" s="11" t="s">
        <v>0</v>
      </c>
      <c r="C2" s="11" t="s">
        <v>3</v>
      </c>
      <c r="D2" s="11" t="s">
        <v>1</v>
      </c>
    </row>
    <row r="3" ht="22.5" customHeight="1">
      <c r="B3" s="4" t="s">
        <v>14</v>
      </c>
      <c r="C3" s="4">
        <v>13.83</v>
      </c>
      <c r="D3" s="12">
        <v>46100.763996863425</v>
      </c>
    </row>
    <row r="4" ht="22.5" customHeight="1">
      <c r="B4" s="4" t="s">
        <v>14</v>
      </c>
      <c r="C4" s="4">
        <v>13.77</v>
      </c>
      <c r="D4" s="12">
        <v>46100.87673949074</v>
      </c>
    </row>
    <row r="5" ht="22.5" customHeight="1">
      <c r="B5" s="4" t="s">
        <v>14</v>
      </c>
      <c r="C5" s="4">
        <v>13.83</v>
      </c>
      <c r="D5" s="12">
        <v>46100.87742532408</v>
      </c>
    </row>
    <row r="6" ht="22.5" customHeight="1">
      <c r="B6" s="4" t="s">
        <v>14</v>
      </c>
      <c r="C6" s="4">
        <v>13.77</v>
      </c>
      <c r="D6" s="12">
        <v>46100.8924903125</v>
      </c>
    </row>
    <row r="7" ht="22.5" customHeight="1">
      <c r="B7" s="4" t="s">
        <v>14</v>
      </c>
      <c r="C7" s="4">
        <v>13.83</v>
      </c>
      <c r="D7" s="12">
        <v>46100.89317585648</v>
      </c>
    </row>
    <row r="8" ht="22.5" customHeight="1">
      <c r="B8" s="4" t="s">
        <v>14</v>
      </c>
      <c r="C8" s="4">
        <v>13.77</v>
      </c>
      <c r="D8" s="12">
        <v>46100.898655613426</v>
      </c>
    </row>
    <row r="9" ht="22.5" customHeight="1">
      <c r="B9" s="4" t="s">
        <v>14</v>
      </c>
      <c r="C9" s="4">
        <v>13.83</v>
      </c>
      <c r="D9" s="12">
        <v>46100.89933984954</v>
      </c>
    </row>
    <row r="10" ht="22.5" customHeight="1">
      <c r="B10" s="4" t="s">
        <v>14</v>
      </c>
      <c r="C10" s="4">
        <v>13.77</v>
      </c>
      <c r="D10" s="12">
        <v>46100.90618871528</v>
      </c>
    </row>
    <row r="11" ht="22.5" customHeight="1">
      <c r="B11" s="4" t="s">
        <v>14</v>
      </c>
      <c r="C11" s="4">
        <v>13.73</v>
      </c>
      <c r="D11" s="12">
        <v>46100.906877256944</v>
      </c>
    </row>
    <row r="12" ht="22.5" customHeight="1">
      <c r="B12" s="4" t="s">
        <v>14</v>
      </c>
      <c r="C12" s="4" t="s">
        <v>9</v>
      </c>
      <c r="D12" s="12">
        <v>46100.91177403935</v>
      </c>
    </row>
    <row r="13" ht="22.5" customHeight="1">
      <c r="B13" s="4" t="s">
        <v>14</v>
      </c>
      <c r="C13" s="4">
        <v>13.57</v>
      </c>
      <c r="D13" s="12">
        <v>46100.92081179398</v>
      </c>
    </row>
    <row r="14" ht="22.5" customHeight="1">
      <c r="B14" s="4" t="s">
        <v>14</v>
      </c>
      <c r="C14" s="4">
        <v>13.5</v>
      </c>
      <c r="D14" s="12">
        <v>46100.928154305555</v>
      </c>
    </row>
    <row r="15" ht="22.5" customHeight="1">
      <c r="B15" s="4" t="s">
        <v>14</v>
      </c>
      <c r="C15" s="4">
        <v>13.57</v>
      </c>
      <c r="D15" s="12">
        <v>46100.935485671296</v>
      </c>
    </row>
    <row r="16" ht="22.5" customHeight="1">
      <c r="B16" s="4" t="s">
        <v>14</v>
      </c>
      <c r="C16" s="4">
        <v>13.5</v>
      </c>
      <c r="D16" s="12">
        <v>46100.97950447917</v>
      </c>
    </row>
    <row r="17" ht="22.5" customHeight="1">
      <c r="B17" s="4" t="s">
        <v>14</v>
      </c>
      <c r="C17" s="4">
        <v>13.57</v>
      </c>
      <c r="D17" s="12">
        <v>46100.986840833335</v>
      </c>
    </row>
    <row r="18" ht="22.5" customHeight="1">
      <c r="B18" s="4" t="s">
        <v>14</v>
      </c>
      <c r="C18" s="4">
        <v>13.5</v>
      </c>
      <c r="D18" s="12">
        <v>46100.99417592592</v>
      </c>
    </row>
    <row r="19" ht="22.5" customHeight="1">
      <c r="B19" s="4" t="s">
        <v>14</v>
      </c>
      <c r="C19" s="4">
        <v>13.57</v>
      </c>
      <c r="D19" s="12">
        <v>46101.0308528125</v>
      </c>
    </row>
    <row r="20" ht="22.5" customHeight="1">
      <c r="B20" s="4" t="s">
        <v>14</v>
      </c>
      <c r="C20" s="4">
        <v>13.5</v>
      </c>
      <c r="D20" s="12">
        <v>46101.038186956015</v>
      </c>
    </row>
    <row r="21" ht="22.5" customHeight="1">
      <c r="B21" s="4" t="s">
        <v>14</v>
      </c>
      <c r="C21" s="4">
        <v>14.14</v>
      </c>
      <c r="D21" s="12">
        <v>46101.170180092595</v>
      </c>
    </row>
    <row r="22" ht="22.5" customHeight="1">
      <c r="B22" s="4" t="s">
        <v>14</v>
      </c>
      <c r="C22" s="4">
        <v>14.17</v>
      </c>
      <c r="D22" s="12">
        <v>46101.17752732639</v>
      </c>
    </row>
    <row r="23" ht="22.5" customHeight="1">
      <c r="B23" s="4" t="s">
        <v>14</v>
      </c>
      <c r="C23" s="4">
        <v>13.57</v>
      </c>
      <c r="D23" s="12">
        <v>46101.18484268519</v>
      </c>
    </row>
    <row r="24" ht="22.5" customHeight="1">
      <c r="B24" s="4" t="s">
        <v>14</v>
      </c>
      <c r="C24" s="4">
        <v>13.66</v>
      </c>
      <c r="D24" s="12">
        <v>46101.19217364583</v>
      </c>
    </row>
    <row r="25" ht="22.5" customHeight="1">
      <c r="B25" s="4" t="s">
        <v>14</v>
      </c>
      <c r="C25" s="4">
        <v>13.62</v>
      </c>
      <c r="D25" s="12">
        <v>46101.214164826386</v>
      </c>
    </row>
    <row r="26" ht="22.5" customHeight="1">
      <c r="B26" s="4" t="s">
        <v>14</v>
      </c>
      <c r="C26" s="4">
        <v>14.54</v>
      </c>
      <c r="D26" s="12">
        <v>46101.23615837963</v>
      </c>
    </row>
    <row r="27" ht="22.5" customHeight="1">
      <c r="B27" s="4" t="s">
        <v>14</v>
      </c>
      <c r="C27" s="4">
        <v>13.66</v>
      </c>
      <c r="D27" s="12">
        <v>46101.243486631945</v>
      </c>
    </row>
    <row r="28" ht="22.5" customHeight="1">
      <c r="B28" s="4" t="s">
        <v>14</v>
      </c>
      <c r="C28" s="4">
        <v>14.03</v>
      </c>
      <c r="D28" s="12">
        <v>46101.40477907407</v>
      </c>
    </row>
    <row r="29" ht="22.5" customHeight="1">
      <c r="B29" s="4" t="s">
        <v>14</v>
      </c>
      <c r="C29" s="4">
        <v>14.54</v>
      </c>
      <c r="D29" s="12">
        <v>46101.41211164352</v>
      </c>
    </row>
    <row r="30" ht="22.5" customHeight="1">
      <c r="B30" s="4" t="s">
        <v>14</v>
      </c>
      <c r="C30" s="4">
        <v>14.69</v>
      </c>
      <c r="D30" s="12">
        <v>46101.41944673611</v>
      </c>
    </row>
    <row r="31" ht="22.5" customHeight="1">
      <c r="B31" s="4" t="s">
        <v>14</v>
      </c>
      <c r="C31" s="4">
        <v>14.86</v>
      </c>
      <c r="D31" s="12">
        <v>46101.426783414354</v>
      </c>
    </row>
    <row r="32" ht="22.5" customHeight="1">
      <c r="B32" s="4" t="s">
        <v>14</v>
      </c>
      <c r="C32" s="4">
        <v>14.9</v>
      </c>
      <c r="D32" s="12">
        <v>46101.43411474537</v>
      </c>
    </row>
    <row r="33" ht="22.5" customHeight="1">
      <c r="B33" s="4" t="s">
        <v>14</v>
      </c>
      <c r="C33" s="4">
        <v>15.04</v>
      </c>
      <c r="D33" s="12">
        <v>46101.448787291665</v>
      </c>
    </row>
    <row r="34" ht="22.5" customHeight="1">
      <c r="B34" s="4" t="s">
        <v>14</v>
      </c>
      <c r="C34" s="4">
        <v>15.21</v>
      </c>
      <c r="D34" s="12">
        <v>46101.45612390046</v>
      </c>
    </row>
    <row r="35" ht="22.5" customHeight="1">
      <c r="B35" s="4" t="s">
        <v>14</v>
      </c>
      <c r="C35" s="4">
        <v>15.25</v>
      </c>
      <c r="D35" s="12">
        <v>46101.55883583333</v>
      </c>
    </row>
    <row r="36" ht="22.5" customHeight="1">
      <c r="B36" s="4" t="s">
        <v>14</v>
      </c>
      <c r="C36" s="4">
        <v>16.07</v>
      </c>
      <c r="D36" s="12">
        <v>46101.566173680556</v>
      </c>
    </row>
    <row r="37" ht="22.5" customHeight="1">
      <c r="B37" s="4" t="s">
        <v>14</v>
      </c>
      <c r="C37" s="4">
        <v>16.24</v>
      </c>
      <c r="D37" s="12">
        <v>46101.57351070602</v>
      </c>
    </row>
    <row r="38" ht="22.5" customHeight="1">
      <c r="B38" s="4" t="s">
        <v>14</v>
      </c>
      <c r="C38" s="4">
        <v>16.07</v>
      </c>
      <c r="D38" s="12">
        <v>46101.580852893516</v>
      </c>
    </row>
    <row r="39" ht="22.5" customHeight="1">
      <c r="B39" s="4" t="s">
        <v>14</v>
      </c>
      <c r="C39" s="4">
        <v>16.24</v>
      </c>
      <c r="D39" s="12">
        <v>46101.5881869213</v>
      </c>
    </row>
    <row r="40" ht="22.5" customHeight="1">
      <c r="B40" s="4" t="s">
        <v>14</v>
      </c>
      <c r="C40" s="4">
        <v>15.96</v>
      </c>
      <c r="D40" s="12">
        <v>46101.595523344906</v>
      </c>
    </row>
    <row r="41" ht="22.5" customHeight="1">
      <c r="B41" s="4" t="s">
        <v>14</v>
      </c>
      <c r="C41" s="4">
        <v>15.92</v>
      </c>
      <c r="D41" s="12">
        <v>46101.60285887731</v>
      </c>
    </row>
    <row r="42" ht="22.5" customHeight="1">
      <c r="B42" s="4" t="s">
        <v>14</v>
      </c>
      <c r="C42" s="4">
        <v>16.02</v>
      </c>
      <c r="D42" s="12">
        <v>46101.61019935185</v>
      </c>
    </row>
    <row r="43" ht="22.5" customHeight="1">
      <c r="B43" s="4" t="s">
        <v>14</v>
      </c>
      <c r="C43" s="4">
        <v>16.07</v>
      </c>
      <c r="D43" s="12">
        <v>46101.61754925926</v>
      </c>
    </row>
    <row r="44" ht="22.5" customHeight="1">
      <c r="B44" s="4" t="s">
        <v>14</v>
      </c>
      <c r="C44" s="4">
        <v>15.92</v>
      </c>
      <c r="D44" s="12">
        <v>46101.62487258102</v>
      </c>
    </row>
    <row r="45" ht="22.5" customHeight="1">
      <c r="B45" s="4" t="s">
        <v>14</v>
      </c>
      <c r="C45" s="4">
        <v>15.58</v>
      </c>
      <c r="D45" s="12">
        <v>46101.6395475463</v>
      </c>
    </row>
    <row r="46" ht="22.5" customHeight="1">
      <c r="B46" s="4" t="s">
        <v>14</v>
      </c>
      <c r="C46" s="4">
        <v>15.29</v>
      </c>
      <c r="D46" s="12">
        <v>46101.646889247684</v>
      </c>
    </row>
    <row r="47" ht="22.5" customHeight="1">
      <c r="B47" s="4" t="s">
        <v>14</v>
      </c>
      <c r="C47" s="4">
        <v>15.37</v>
      </c>
      <c r="D47" s="12">
        <v>46101.654227280094</v>
      </c>
    </row>
    <row r="48" ht="22.5" customHeight="1">
      <c r="B48" s="4" t="s">
        <v>14</v>
      </c>
      <c r="C48" s="4">
        <v>15.41</v>
      </c>
      <c r="D48" s="12">
        <v>46101.66156556713</v>
      </c>
    </row>
    <row r="49" ht="22.5" customHeight="1">
      <c r="B49" s="4" t="s">
        <v>14</v>
      </c>
      <c r="C49" s="4">
        <v>15.46</v>
      </c>
      <c r="D49" s="12">
        <v>46101.67624530093</v>
      </c>
    </row>
    <row r="50" ht="22.5" customHeight="1">
      <c r="B50" s="4" t="s">
        <v>14</v>
      </c>
      <c r="C50" s="4">
        <v>15.37</v>
      </c>
      <c r="D50" s="12">
        <v>46101.68358391204</v>
      </c>
    </row>
    <row r="51" ht="22.5" customHeight="1">
      <c r="B51" s="4" t="s">
        <v>14</v>
      </c>
      <c r="C51" s="4">
        <v>15.21</v>
      </c>
      <c r="D51" s="12">
        <v>46101.69826607639</v>
      </c>
    </row>
    <row r="52" ht="22.5" customHeight="1">
      <c r="B52" s="4" t="s">
        <v>14</v>
      </c>
      <c r="C52" s="4">
        <v>15.37</v>
      </c>
      <c r="D52" s="12">
        <v>46101.712941122685</v>
      </c>
    </row>
    <row r="53" ht="22.5" customHeight="1">
      <c r="B53" s="4" t="s">
        <v>14</v>
      </c>
      <c r="C53" s="4">
        <v>15.41</v>
      </c>
      <c r="D53" s="12">
        <v>46101.720279733796</v>
      </c>
    </row>
    <row r="54" ht="22.5" customHeight="1">
      <c r="B54" s="4" t="s">
        <v>14</v>
      </c>
      <c r="C54" s="4">
        <v>15.25</v>
      </c>
      <c r="D54" s="12">
        <v>46101.7349512037</v>
      </c>
    </row>
    <row r="55" ht="22.5" customHeight="1">
      <c r="B55" s="4" t="s">
        <v>14</v>
      </c>
      <c r="C55" s="4">
        <v>15.21</v>
      </c>
      <c r="D55" s="12">
        <v>46101.749625648146</v>
      </c>
    </row>
    <row r="56" ht="22.5" customHeight="1">
      <c r="B56" s="4" t="s">
        <v>14</v>
      </c>
      <c r="C56" s="4">
        <v>15.29</v>
      </c>
      <c r="D56" s="12">
        <v>46101.75696020833</v>
      </c>
    </row>
    <row r="57" ht="22.5" customHeight="1">
      <c r="B57" s="4" t="s">
        <v>14</v>
      </c>
      <c r="C57" s="4">
        <v>15.41</v>
      </c>
      <c r="D57" s="12">
        <v>46101.76430386574</v>
      </c>
    </row>
    <row r="58" ht="22.5" customHeight="1">
      <c r="B58" s="4" t="s">
        <v>14</v>
      </c>
      <c r="C58" s="4">
        <v>15.46</v>
      </c>
      <c r="D58" s="12">
        <v>46101.85233234954</v>
      </c>
    </row>
    <row r="59" ht="22.5" customHeight="1">
      <c r="B59" s="4" t="s">
        <v>14</v>
      </c>
      <c r="C59" s="4">
        <v>15.5</v>
      </c>
      <c r="D59" s="12">
        <v>46101.859667592595</v>
      </c>
    </row>
    <row r="60" ht="22.5" customHeight="1">
      <c r="B60" s="4" t="s">
        <v>14</v>
      </c>
      <c r="C60" s="4">
        <v>15.58</v>
      </c>
      <c r="D60" s="12">
        <v>46101.87434138889</v>
      </c>
    </row>
    <row r="61" ht="22.5" customHeight="1">
      <c r="B61" s="4" t="s">
        <v>14</v>
      </c>
      <c r="C61" s="4">
        <v>15.46</v>
      </c>
      <c r="D61" s="12">
        <v>46101.91102648148</v>
      </c>
    </row>
    <row r="62" ht="22.5" customHeight="1">
      <c r="B62" s="4" t="s">
        <v>14</v>
      </c>
      <c r="C62" s="4">
        <v>15.5</v>
      </c>
      <c r="D62" s="12">
        <v>46101.918361909724</v>
      </c>
    </row>
    <row r="63" ht="22.5" customHeight="1">
      <c r="B63" s="4" t="s">
        <v>14</v>
      </c>
      <c r="C63" s="4">
        <v>15.46</v>
      </c>
      <c r="D63" s="12">
        <v>46101.925703877314</v>
      </c>
    </row>
    <row r="64" ht="22.5" customHeight="1">
      <c r="B64" s="4" t="s">
        <v>14</v>
      </c>
      <c r="C64" s="4">
        <v>15.5</v>
      </c>
      <c r="D64" s="12">
        <v>46101.940369537035</v>
      </c>
    </row>
    <row r="65" ht="22.5" customHeight="1">
      <c r="B65" s="4" t="s">
        <v>14</v>
      </c>
      <c r="C65" s="4">
        <v>15.46</v>
      </c>
      <c r="D65" s="12">
        <v>46101.947702592595</v>
      </c>
    </row>
    <row r="66" ht="22.5" customHeight="1">
      <c r="B66" s="4" t="s">
        <v>14</v>
      </c>
      <c r="C66" s="4">
        <v>15.41</v>
      </c>
      <c r="D66" s="12">
        <v>46101.95503849537</v>
      </c>
    </row>
    <row r="67" ht="22.5" customHeight="1">
      <c r="B67" s="4" t="s">
        <v>14</v>
      </c>
      <c r="C67" s="4">
        <v>15.5</v>
      </c>
      <c r="D67" s="12">
        <v>46101.99905777778</v>
      </c>
    </row>
    <row r="68" ht="22.5" customHeight="1">
      <c r="B68" s="4" t="s">
        <v>14</v>
      </c>
      <c r="C68" s="4">
        <v>15.58</v>
      </c>
      <c r="D68" s="12">
        <v>46102.00639628472</v>
      </c>
    </row>
    <row r="69" ht="22.5" customHeight="1">
      <c r="B69" s="4" t="s">
        <v>14</v>
      </c>
      <c r="C69" s="4">
        <v>15.46</v>
      </c>
      <c r="D69" s="12">
        <v>46102.0137271412</v>
      </c>
    </row>
    <row r="70" ht="22.5" customHeight="1">
      <c r="B70" s="4" t="s">
        <v>14</v>
      </c>
      <c r="C70" s="4">
        <v>15.58</v>
      </c>
      <c r="D70" s="12">
        <v>46102.0210618287</v>
      </c>
    </row>
    <row r="71" ht="22.5" customHeight="1">
      <c r="B71" s="4" t="s">
        <v>14</v>
      </c>
      <c r="C71" s="4">
        <v>15.46</v>
      </c>
      <c r="D71" s="12">
        <v>46102.02840688657</v>
      </c>
    </row>
    <row r="72" ht="22.5" customHeight="1">
      <c r="B72" s="4" t="s">
        <v>14</v>
      </c>
      <c r="C72" s="4">
        <v>15.41</v>
      </c>
      <c r="D72" s="12">
        <v>46102.05773431713</v>
      </c>
    </row>
    <row r="73" ht="22.5" customHeight="1">
      <c r="B73" s="4" t="s">
        <v>14</v>
      </c>
      <c r="C73" s="4">
        <v>15.37</v>
      </c>
      <c r="D73" s="12">
        <v>46102.16037960648</v>
      </c>
    </row>
    <row r="74" ht="22.5" customHeight="1">
      <c r="B74" s="4" t="s">
        <v>14</v>
      </c>
      <c r="C74" s="4">
        <v>15.41</v>
      </c>
      <c r="D74" s="12">
        <v>46102.16770769676</v>
      </c>
    </row>
    <row r="75" ht="22.5" customHeight="1">
      <c r="B75" s="4" t="s">
        <v>14</v>
      </c>
      <c r="C75" s="4">
        <v>15.37</v>
      </c>
      <c r="D75" s="12">
        <v>46102.175037395835</v>
      </c>
    </row>
    <row r="76" ht="22.5" customHeight="1">
      <c r="B76" s="4" t="s">
        <v>14</v>
      </c>
      <c r="C76" s="4">
        <v>15.29</v>
      </c>
      <c r="D76" s="12">
        <v>46102.197026863425</v>
      </c>
    </row>
    <row r="77" ht="22.5" customHeight="1">
      <c r="B77" s="4" t="s">
        <v>14</v>
      </c>
      <c r="C77" s="4">
        <v>15.25</v>
      </c>
      <c r="D77" s="12">
        <v>46102.23367782407</v>
      </c>
    </row>
    <row r="78" ht="22.5" customHeight="1">
      <c r="B78" s="4" t="s">
        <v>14</v>
      </c>
      <c r="C78" s="4">
        <v>15.29</v>
      </c>
      <c r="D78" s="12">
        <v>46102.255672858795</v>
      </c>
    </row>
    <row r="79" ht="22.5" customHeight="1">
      <c r="B79" s="4" t="s">
        <v>14</v>
      </c>
      <c r="C79" s="4">
        <v>15.37</v>
      </c>
      <c r="D79" s="12">
        <v>46102.270334409724</v>
      </c>
    </row>
    <row r="80" ht="22.5" customHeight="1">
      <c r="B80" s="4" t="s">
        <v>14</v>
      </c>
      <c r="C80" s="4">
        <v>15.21</v>
      </c>
      <c r="D80" s="12">
        <v>46102.27766733796</v>
      </c>
    </row>
    <row r="81" ht="22.5" customHeight="1">
      <c r="B81" s="4" t="s">
        <v>15</v>
      </c>
      <c r="C81" s="4">
        <v>7.681</v>
      </c>
      <c r="D81" s="12">
        <v>46100.76399685185</v>
      </c>
    </row>
    <row r="82" ht="22.5" customHeight="1">
      <c r="B82" s="4" t="s">
        <v>15</v>
      </c>
      <c r="C82" s="4">
        <v>7.695</v>
      </c>
      <c r="D82" s="12">
        <v>46100.76509662037</v>
      </c>
    </row>
    <row r="83" ht="22.5" customHeight="1">
      <c r="B83" s="4" t="s">
        <v>15</v>
      </c>
      <c r="C83" s="4">
        <v>7.688</v>
      </c>
      <c r="D83" s="12">
        <v>46100.76646670139</v>
      </c>
    </row>
    <row r="84" ht="22.5" customHeight="1">
      <c r="B84" s="4" t="s">
        <v>15</v>
      </c>
      <c r="C84" s="4">
        <v>7.649</v>
      </c>
      <c r="D84" s="12">
        <v>46100.76783929398</v>
      </c>
    </row>
    <row r="85" ht="22.5" customHeight="1">
      <c r="B85" s="4" t="s">
        <v>15</v>
      </c>
      <c r="C85" s="4">
        <v>7.688</v>
      </c>
      <c r="D85" s="12">
        <v>46100.76920741898</v>
      </c>
    </row>
    <row r="86" ht="22.5" customHeight="1">
      <c r="B86" s="4" t="s">
        <v>15</v>
      </c>
      <c r="C86" s="4">
        <v>7.638</v>
      </c>
      <c r="D86" s="12">
        <v>46100.770576979165</v>
      </c>
    </row>
    <row r="87" ht="22.5" customHeight="1">
      <c r="B87" s="4" t="s">
        <v>15</v>
      </c>
      <c r="C87" s="4">
        <v>7.673</v>
      </c>
      <c r="D87" s="12">
        <v>46100.77194706019</v>
      </c>
    </row>
    <row r="88" ht="22.5" customHeight="1">
      <c r="B88" s="4" t="s">
        <v>15</v>
      </c>
      <c r="C88" s="4">
        <v>7.688</v>
      </c>
      <c r="D88" s="12">
        <v>46100.77332574074</v>
      </c>
    </row>
    <row r="89" ht="22.5" customHeight="1">
      <c r="B89" s="4" t="s">
        <v>15</v>
      </c>
      <c r="C89" s="4">
        <v>7.684</v>
      </c>
      <c r="D89" s="12">
        <v>46100.77470178241</v>
      </c>
    </row>
    <row r="90" ht="22.5" customHeight="1">
      <c r="B90" s="4" t="s">
        <v>15</v>
      </c>
      <c r="C90" s="4">
        <v>7.706</v>
      </c>
      <c r="D90" s="12">
        <v>46100.77606224537</v>
      </c>
    </row>
    <row r="91" ht="22.5" customHeight="1">
      <c r="B91" s="4" t="s">
        <v>15</v>
      </c>
      <c r="C91" s="4">
        <v>7.673</v>
      </c>
      <c r="D91" s="12">
        <v>46100.777429814814</v>
      </c>
    </row>
    <row r="92" ht="22.5" customHeight="1">
      <c r="B92" s="4" t="s">
        <v>15</v>
      </c>
      <c r="C92" s="4">
        <v>7.645</v>
      </c>
      <c r="D92" s="12">
        <v>46100.778797569445</v>
      </c>
    </row>
    <row r="93" ht="22.5" customHeight="1">
      <c r="B93" s="4" t="s">
        <v>15</v>
      </c>
      <c r="C93" s="4">
        <v>7.745</v>
      </c>
      <c r="D93" s="12">
        <v>46100.780169907404</v>
      </c>
    </row>
    <row r="94" ht="22.5" customHeight="1">
      <c r="B94" s="4" t="s">
        <v>15</v>
      </c>
      <c r="C94" s="4">
        <v>7.698</v>
      </c>
      <c r="D94" s="12">
        <v>46100.78153756944</v>
      </c>
    </row>
    <row r="95" ht="22.5" customHeight="1">
      <c r="B95" s="4" t="s">
        <v>15</v>
      </c>
      <c r="C95" s="4">
        <v>7.709</v>
      </c>
      <c r="D95" s="12">
        <v>46100.78290766204</v>
      </c>
    </row>
    <row r="96" ht="22.5" customHeight="1">
      <c r="B96" s="4" t="s">
        <v>15</v>
      </c>
      <c r="C96" s="4">
        <v>7.656</v>
      </c>
      <c r="D96" s="12">
        <v>46100.784277893516</v>
      </c>
    </row>
    <row r="97" ht="22.5" customHeight="1">
      <c r="B97" s="4" t="s">
        <v>15</v>
      </c>
      <c r="C97" s="4">
        <v>7.688</v>
      </c>
      <c r="D97" s="12">
        <v>46100.78564934028</v>
      </c>
    </row>
    <row r="98" ht="22.5" customHeight="1">
      <c r="B98" s="4" t="s">
        <v>15</v>
      </c>
      <c r="C98" s="4">
        <v>7.666</v>
      </c>
      <c r="D98" s="12">
        <v>46100.78701789352</v>
      </c>
    </row>
    <row r="99" ht="22.5" customHeight="1">
      <c r="B99" s="4" t="s">
        <v>15</v>
      </c>
      <c r="C99" s="4">
        <v>7.709</v>
      </c>
      <c r="D99" s="12">
        <v>46100.78839033565</v>
      </c>
    </row>
    <row r="100" ht="22.5" customHeight="1">
      <c r="B100" s="4" t="s">
        <v>15</v>
      </c>
      <c r="C100" s="4">
        <v>7.716</v>
      </c>
      <c r="D100" s="12">
        <v>46100.789759583335</v>
      </c>
    </row>
    <row r="101" ht="22.5" customHeight="1">
      <c r="B101" s="4" t="s">
        <v>15</v>
      </c>
      <c r="C101" s="4">
        <v>7.67</v>
      </c>
      <c r="D101" s="12">
        <v>46100.79112951389</v>
      </c>
    </row>
    <row r="102" ht="22.5" customHeight="1">
      <c r="B102" s="4" t="s">
        <v>15</v>
      </c>
      <c r="C102" s="4">
        <v>7.649</v>
      </c>
      <c r="D102" s="12">
        <v>46100.79250056713</v>
      </c>
    </row>
    <row r="103" ht="22.5" customHeight="1">
      <c r="B103" s="4" t="s">
        <v>15</v>
      </c>
      <c r="C103" s="4">
        <v>7.67</v>
      </c>
      <c r="D103" s="12">
        <v>46100.79386829861</v>
      </c>
    </row>
    <row r="104" ht="22.5" customHeight="1">
      <c r="B104" s="4" t="s">
        <v>15</v>
      </c>
      <c r="C104" s="4">
        <v>7.684</v>
      </c>
      <c r="D104" s="12">
        <v>46100.79523836805</v>
      </c>
    </row>
    <row r="105" ht="22.5" customHeight="1">
      <c r="B105" s="4" t="s">
        <v>15</v>
      </c>
      <c r="C105" s="4">
        <v>7.709</v>
      </c>
      <c r="D105" s="12">
        <v>46100.79660792824</v>
      </c>
    </row>
    <row r="106" ht="22.5" customHeight="1">
      <c r="B106" s="4" t="s">
        <v>15</v>
      </c>
      <c r="C106" s="4">
        <v>7.677</v>
      </c>
      <c r="D106" s="12">
        <v>46100.79797792824</v>
      </c>
    </row>
    <row r="107" ht="22.5" customHeight="1">
      <c r="B107" s="4" t="s">
        <v>15</v>
      </c>
      <c r="C107" s="4">
        <v>7.723</v>
      </c>
      <c r="D107" s="12">
        <v>46100.79934788195</v>
      </c>
    </row>
    <row r="108" ht="22.5" customHeight="1">
      <c r="B108" s="4" t="s">
        <v>15</v>
      </c>
      <c r="C108" s="4">
        <v>7.709</v>
      </c>
      <c r="D108" s="12">
        <v>46100.800725787034</v>
      </c>
    </row>
    <row r="109" ht="22.5" customHeight="1">
      <c r="B109" s="4" t="s">
        <v>15</v>
      </c>
      <c r="C109" s="4">
        <v>7.673</v>
      </c>
      <c r="D109" s="12">
        <v>46100.80209053241</v>
      </c>
    </row>
    <row r="110" ht="22.5" customHeight="1">
      <c r="B110" s="4" t="s">
        <v>15</v>
      </c>
      <c r="C110" s="4">
        <v>7.652</v>
      </c>
      <c r="D110" s="12">
        <v>46100.80346002315</v>
      </c>
    </row>
    <row r="111" ht="22.5" customHeight="1">
      <c r="B111" s="4" t="s">
        <v>15</v>
      </c>
      <c r="C111" s="4">
        <v>7.723</v>
      </c>
      <c r="D111" s="12">
        <v>46100.80482709491</v>
      </c>
    </row>
    <row r="112" ht="22.5" customHeight="1">
      <c r="B112" s="4" t="s">
        <v>15</v>
      </c>
      <c r="C112" s="4">
        <v>7.684</v>
      </c>
      <c r="D112" s="12">
        <v>46100.80619790509</v>
      </c>
    </row>
    <row r="113" ht="22.5" customHeight="1">
      <c r="B113" s="4" t="s">
        <v>15</v>
      </c>
      <c r="C113" s="4">
        <v>7.649</v>
      </c>
      <c r="D113" s="12">
        <v>46100.80757042824</v>
      </c>
    </row>
    <row r="114" ht="22.5" customHeight="1">
      <c r="B114" s="4" t="s">
        <v>15</v>
      </c>
      <c r="C114" s="4">
        <v>7.72</v>
      </c>
      <c r="D114" s="12">
        <v>46100.81030922454</v>
      </c>
    </row>
    <row r="115" ht="22.5" customHeight="1">
      <c r="B115" s="4" t="s">
        <v>15</v>
      </c>
      <c r="C115" s="4">
        <v>7.656</v>
      </c>
      <c r="D115" s="12">
        <v>46100.81167752315</v>
      </c>
    </row>
    <row r="116" ht="22.5" customHeight="1">
      <c r="B116" s="4" t="s">
        <v>15</v>
      </c>
      <c r="C116" s="4">
        <v>7.716</v>
      </c>
      <c r="D116" s="12">
        <v>46100.813047372685</v>
      </c>
    </row>
    <row r="117" ht="22.5" customHeight="1">
      <c r="B117" s="4" t="s">
        <v>15</v>
      </c>
      <c r="C117" s="4">
        <v>7.663</v>
      </c>
      <c r="D117" s="12">
        <v>46100.81441827546</v>
      </c>
    </row>
    <row r="118" ht="22.5" customHeight="1">
      <c r="B118" s="4" t="s">
        <v>15</v>
      </c>
      <c r="C118" s="4">
        <v>7.681</v>
      </c>
      <c r="D118" s="12">
        <v>46100.8157871875</v>
      </c>
    </row>
    <row r="119" ht="22.5" customHeight="1">
      <c r="B119" s="4" t="s">
        <v>15</v>
      </c>
      <c r="C119" s="4">
        <v>7.684</v>
      </c>
      <c r="D119" s="12">
        <v>46100.817157349535</v>
      </c>
    </row>
    <row r="120" ht="22.5" customHeight="1">
      <c r="B120" s="4" t="s">
        <v>15</v>
      </c>
      <c r="C120" s="4">
        <v>7.695</v>
      </c>
      <c r="D120" s="12">
        <v>46100.818537210645</v>
      </c>
    </row>
    <row r="121" ht="22.5" customHeight="1">
      <c r="B121" s="4" t="s">
        <v>15</v>
      </c>
      <c r="C121" s="4">
        <v>7.709</v>
      </c>
      <c r="D121" s="12">
        <v>46100.81989857639</v>
      </c>
    </row>
    <row r="122" ht="22.5" customHeight="1">
      <c r="B122" s="4" t="s">
        <v>15</v>
      </c>
      <c r="C122" s="4">
        <v>7.684</v>
      </c>
      <c r="D122" s="12">
        <v>46100.821271608795</v>
      </c>
    </row>
    <row r="123" ht="22.5" customHeight="1">
      <c r="B123" s="4" t="s">
        <v>15</v>
      </c>
      <c r="C123" s="4">
        <v>7.663</v>
      </c>
      <c r="D123" s="12">
        <v>46100.822635752316</v>
      </c>
    </row>
    <row r="124" ht="22.5" customHeight="1">
      <c r="B124" s="4" t="s">
        <v>15</v>
      </c>
      <c r="C124" s="4">
        <v>7.588</v>
      </c>
      <c r="D124" s="12">
        <v>46100.82400894676</v>
      </c>
    </row>
    <row r="125" ht="22.5" customHeight="1">
      <c r="B125" s="4" t="s">
        <v>15</v>
      </c>
      <c r="C125" s="4">
        <v>7.641</v>
      </c>
      <c r="D125" s="12">
        <v>46100.82537922454</v>
      </c>
    </row>
    <row r="126" ht="22.5" customHeight="1">
      <c r="B126" s="4" t="s">
        <v>15</v>
      </c>
      <c r="C126" s="4">
        <v>7.666</v>
      </c>
      <c r="D126" s="12">
        <v>46100.826756145834</v>
      </c>
    </row>
    <row r="127" ht="22.5" customHeight="1">
      <c r="B127" s="4" t="s">
        <v>15</v>
      </c>
      <c r="C127" s="4">
        <v>7.713</v>
      </c>
      <c r="D127" s="12">
        <v>46100.82812144676</v>
      </c>
    </row>
    <row r="128" ht="22.5" customHeight="1">
      <c r="B128" s="4" t="s">
        <v>15</v>
      </c>
      <c r="C128" s="4">
        <v>7.716</v>
      </c>
      <c r="D128" s="12">
        <v>46100.8294846875</v>
      </c>
    </row>
    <row r="129" ht="22.5" customHeight="1">
      <c r="B129" s="4" t="s">
        <v>15</v>
      </c>
      <c r="C129" s="4">
        <v>7.645</v>
      </c>
      <c r="D129" s="12">
        <v>46100.830855671295</v>
      </c>
    </row>
    <row r="130" ht="22.5" customHeight="1">
      <c r="B130" s="4" t="s">
        <v>15</v>
      </c>
      <c r="C130" s="4">
        <v>7.67</v>
      </c>
      <c r="D130" s="12">
        <v>46100.83223453704</v>
      </c>
    </row>
    <row r="131" ht="22.5" customHeight="1">
      <c r="B131" s="4" t="s">
        <v>15</v>
      </c>
      <c r="C131" s="4">
        <v>7.656</v>
      </c>
      <c r="D131" s="12">
        <v>46100.833595104166</v>
      </c>
    </row>
    <row r="132" ht="22.5" customHeight="1">
      <c r="B132" s="4" t="s">
        <v>15</v>
      </c>
      <c r="C132" s="4">
        <v>7.709</v>
      </c>
      <c r="D132" s="12">
        <v>46100.83496472222</v>
      </c>
    </row>
    <row r="133" ht="22.5" customHeight="1">
      <c r="B133" s="4" t="s">
        <v>15</v>
      </c>
      <c r="C133" s="4">
        <v>7.688</v>
      </c>
      <c r="D133" s="12">
        <v>46100.83633480324</v>
      </c>
    </row>
    <row r="134" ht="22.5" customHeight="1">
      <c r="B134" s="4" t="s">
        <v>15</v>
      </c>
      <c r="C134" s="4">
        <v>7.702</v>
      </c>
      <c r="D134" s="12">
        <v>46100.83770611111</v>
      </c>
    </row>
    <row r="135" ht="22.5" customHeight="1">
      <c r="B135" s="4" t="s">
        <v>15</v>
      </c>
      <c r="C135" s="4">
        <v>7.649</v>
      </c>
      <c r="D135" s="12">
        <v>46100.839075</v>
      </c>
    </row>
    <row r="136" ht="22.5" customHeight="1">
      <c r="B136" s="4" t="s">
        <v>15</v>
      </c>
      <c r="C136" s="4">
        <v>7.652</v>
      </c>
      <c r="D136" s="12">
        <v>46100.84044388889</v>
      </c>
    </row>
    <row r="137" ht="22.5" customHeight="1">
      <c r="B137" s="4" t="s">
        <v>15</v>
      </c>
      <c r="C137" s="4">
        <v>7.663</v>
      </c>
      <c r="D137" s="12">
        <v>46100.84181275463</v>
      </c>
    </row>
    <row r="138" ht="22.5" customHeight="1">
      <c r="B138" s="4" t="s">
        <v>15</v>
      </c>
      <c r="C138" s="4">
        <v>7.631</v>
      </c>
      <c r="D138" s="12">
        <v>46100.84318539352</v>
      </c>
    </row>
    <row r="139" ht="22.5" customHeight="1">
      <c r="B139" s="4" t="s">
        <v>15</v>
      </c>
      <c r="C139" s="4">
        <v>7.649</v>
      </c>
      <c r="D139" s="12">
        <v>46100.84592298611</v>
      </c>
    </row>
    <row r="140" ht="22.5" customHeight="1">
      <c r="B140" s="4" t="s">
        <v>15</v>
      </c>
      <c r="C140" s="4">
        <v>7.652</v>
      </c>
      <c r="D140" s="12">
        <v>46100.84730635417</v>
      </c>
    </row>
    <row r="141" ht="22.5" customHeight="1">
      <c r="B141" s="4" t="s">
        <v>15</v>
      </c>
      <c r="C141" s="4">
        <v>7.698</v>
      </c>
      <c r="D141" s="12">
        <v>46100.84866431713</v>
      </c>
    </row>
    <row r="142" ht="22.5" customHeight="1">
      <c r="B142" s="4" t="s">
        <v>15</v>
      </c>
      <c r="C142" s="4">
        <v>7.663</v>
      </c>
      <c r="D142" s="12">
        <v>46100.850032083334</v>
      </c>
    </row>
    <row r="143" ht="22.5" customHeight="1">
      <c r="B143" s="4" t="s">
        <v>15</v>
      </c>
      <c r="C143" s="4">
        <v>7.752</v>
      </c>
      <c r="D143" s="12">
        <v>46100.851402546294</v>
      </c>
    </row>
    <row r="144" ht="22.5" customHeight="1">
      <c r="B144" s="4" t="s">
        <v>15</v>
      </c>
      <c r="C144" s="4">
        <v>7.716</v>
      </c>
      <c r="D144" s="12">
        <v>46100.852771631944</v>
      </c>
    </row>
    <row r="145" ht="22.5" customHeight="1">
      <c r="B145" s="4" t="s">
        <v>15</v>
      </c>
      <c r="C145" s="4">
        <v>7.659</v>
      </c>
      <c r="D145" s="12">
        <v>46100.85414107639</v>
      </c>
    </row>
    <row r="146" ht="22.5" customHeight="1">
      <c r="B146" s="4" t="s">
        <v>15</v>
      </c>
      <c r="C146" s="4">
        <v>7.713</v>
      </c>
      <c r="D146" s="12">
        <v>46100.85551122685</v>
      </c>
    </row>
    <row r="147" ht="22.5" customHeight="1">
      <c r="B147" s="4" t="s">
        <v>15</v>
      </c>
      <c r="C147" s="4">
        <v>7.663</v>
      </c>
      <c r="D147" s="12">
        <v>46100.85688024305</v>
      </c>
    </row>
    <row r="148" ht="22.5" customHeight="1">
      <c r="B148" s="4" t="s">
        <v>15</v>
      </c>
      <c r="C148" s="4">
        <v>7.702</v>
      </c>
      <c r="D148" s="12">
        <v>46100.85825153935</v>
      </c>
    </row>
    <row r="149" ht="22.5" customHeight="1">
      <c r="B149" s="4" t="s">
        <v>15</v>
      </c>
      <c r="C149" s="4">
        <v>7.673</v>
      </c>
      <c r="D149" s="12">
        <v>46100.859620428244</v>
      </c>
    </row>
    <row r="150" ht="22.5" customHeight="1">
      <c r="B150" s="4" t="s">
        <v>15</v>
      </c>
      <c r="C150" s="4">
        <v>7.745</v>
      </c>
      <c r="D150" s="12">
        <v>46100.86099149306</v>
      </c>
    </row>
    <row r="151" ht="22.5" customHeight="1">
      <c r="B151" s="4" t="s">
        <v>15</v>
      </c>
      <c r="C151" s="4">
        <v>7.666</v>
      </c>
      <c r="D151" s="12">
        <v>46100.86235917824</v>
      </c>
    </row>
    <row r="152" ht="22.5" customHeight="1">
      <c r="B152" s="4" t="s">
        <v>15</v>
      </c>
      <c r="C152" s="4">
        <v>7.716</v>
      </c>
      <c r="D152" s="12">
        <v>46100.86372934028</v>
      </c>
    </row>
    <row r="153" ht="22.5" customHeight="1">
      <c r="B153" s="4" t="s">
        <v>15</v>
      </c>
      <c r="C153" s="4">
        <v>7.702</v>
      </c>
      <c r="D153" s="12">
        <v>46100.86510092593</v>
      </c>
    </row>
    <row r="154" ht="22.5" customHeight="1">
      <c r="B154" s="4" t="s">
        <v>15</v>
      </c>
      <c r="C154" s="4">
        <v>7.666</v>
      </c>
      <c r="D154" s="12">
        <v>46100.86646835648</v>
      </c>
    </row>
    <row r="155" ht="22.5" customHeight="1">
      <c r="B155" s="4" t="s">
        <v>15</v>
      </c>
      <c r="C155" s="4">
        <v>7.684</v>
      </c>
      <c r="D155" s="12">
        <v>46100.867838321756</v>
      </c>
    </row>
    <row r="156" ht="22.5" customHeight="1">
      <c r="B156" s="4" t="s">
        <v>15</v>
      </c>
      <c r="C156" s="4">
        <v>7.673</v>
      </c>
      <c r="D156" s="12">
        <v>46100.869207372685</v>
      </c>
    </row>
    <row r="157" ht="22.5" customHeight="1">
      <c r="B157" s="4" t="s">
        <v>15</v>
      </c>
      <c r="C157" s="4">
        <v>7.663</v>
      </c>
      <c r="D157" s="12">
        <v>46100.87057734954</v>
      </c>
    </row>
    <row r="158" ht="22.5" customHeight="1">
      <c r="B158" s="4" t="s">
        <v>15</v>
      </c>
      <c r="C158" s="4">
        <v>7.698</v>
      </c>
      <c r="D158" s="12">
        <v>46100.871946273146</v>
      </c>
    </row>
    <row r="159" ht="22.5" customHeight="1">
      <c r="B159" s="4" t="s">
        <v>15</v>
      </c>
      <c r="C159" s="4">
        <v>7.649</v>
      </c>
      <c r="D159" s="12">
        <v>46100.87331631944</v>
      </c>
    </row>
    <row r="160" ht="22.5" customHeight="1">
      <c r="B160" s="4" t="s">
        <v>15</v>
      </c>
      <c r="C160" s="4">
        <v>7.631</v>
      </c>
      <c r="D160" s="12">
        <v>46100.87605769676</v>
      </c>
    </row>
    <row r="161" ht="22.5" customHeight="1">
      <c r="B161" s="4" t="s">
        <v>15</v>
      </c>
      <c r="C161" s="4">
        <v>7.702</v>
      </c>
      <c r="D161" s="12">
        <v>46100.87742532408</v>
      </c>
    </row>
    <row r="162" ht="22.5" customHeight="1">
      <c r="B162" s="4" t="s">
        <v>15</v>
      </c>
      <c r="C162" s="4">
        <v>7.727</v>
      </c>
      <c r="D162" s="12">
        <v>46100.87879662037</v>
      </c>
    </row>
    <row r="163" ht="22.5" customHeight="1">
      <c r="B163" s="4" t="s">
        <v>15</v>
      </c>
      <c r="C163" s="4">
        <v>7.645</v>
      </c>
      <c r="D163" s="12">
        <v>46100.88016429398</v>
      </c>
    </row>
    <row r="164" ht="22.5" customHeight="1">
      <c r="B164" s="4" t="s">
        <v>15</v>
      </c>
      <c r="C164" s="4">
        <v>7.684</v>
      </c>
      <c r="D164" s="12">
        <v>46100.881534375</v>
      </c>
    </row>
    <row r="165" ht="22.5" customHeight="1">
      <c r="B165" s="4" t="s">
        <v>15</v>
      </c>
      <c r="C165" s="4">
        <v>7.691</v>
      </c>
      <c r="D165" s="12">
        <v>46100.882908506945</v>
      </c>
    </row>
    <row r="166" ht="22.5" customHeight="1">
      <c r="B166" s="4" t="s">
        <v>15</v>
      </c>
      <c r="C166" s="4">
        <v>7.72</v>
      </c>
      <c r="D166" s="12">
        <v>46100.88427739583</v>
      </c>
    </row>
    <row r="167" ht="22.5" customHeight="1">
      <c r="B167" s="4" t="s">
        <v>15</v>
      </c>
      <c r="C167" s="4">
        <v>7.659</v>
      </c>
      <c r="D167" s="12">
        <v>46100.885644594906</v>
      </c>
    </row>
    <row r="168" ht="22.5" customHeight="1">
      <c r="B168" s="4" t="s">
        <v>15</v>
      </c>
      <c r="C168" s="4">
        <v>7.738</v>
      </c>
      <c r="D168" s="12">
        <v>46100.887012314815</v>
      </c>
    </row>
    <row r="169" ht="22.5" customHeight="1">
      <c r="B169" s="4" t="s">
        <v>15</v>
      </c>
      <c r="C169" s="4">
        <v>7.723</v>
      </c>
      <c r="D169" s="12">
        <v>46100.888381805555</v>
      </c>
    </row>
    <row r="170" ht="22.5" customHeight="1">
      <c r="B170" s="4" t="s">
        <v>15</v>
      </c>
      <c r="C170" s="4">
        <v>7.702</v>
      </c>
      <c r="D170" s="12">
        <v>46100.88975045139</v>
      </c>
    </row>
    <row r="171" ht="22.5" customHeight="1">
      <c r="B171" s="4" t="s">
        <v>15</v>
      </c>
      <c r="C171" s="4">
        <v>7.652</v>
      </c>
      <c r="D171" s="12">
        <v>46100.89112851852</v>
      </c>
    </row>
    <row r="172" ht="22.5" customHeight="1">
      <c r="B172" s="4" t="s">
        <v>15</v>
      </c>
      <c r="C172" s="4">
        <v>7.688</v>
      </c>
      <c r="D172" s="12">
        <v>46100.8924903125</v>
      </c>
    </row>
    <row r="173" ht="22.5" customHeight="1">
      <c r="B173" s="4" t="s">
        <v>15</v>
      </c>
      <c r="C173" s="4">
        <v>7.695</v>
      </c>
      <c r="D173" s="12">
        <v>46100.89386269676</v>
      </c>
    </row>
    <row r="174" ht="22.5" customHeight="1">
      <c r="B174" s="4" t="s">
        <v>15</v>
      </c>
      <c r="C174" s="4">
        <v>7.709</v>
      </c>
      <c r="D174" s="12">
        <v>46100.89522974537</v>
      </c>
    </row>
    <row r="175" ht="22.5" customHeight="1">
      <c r="B175" s="4" t="s">
        <v>15</v>
      </c>
      <c r="C175" s="4">
        <v>7.698</v>
      </c>
      <c r="D175" s="12">
        <v>46100.896598391206</v>
      </c>
    </row>
    <row r="176" ht="22.5" customHeight="1">
      <c r="B176" s="4" t="s">
        <v>15</v>
      </c>
      <c r="C176" s="4">
        <v>7.741</v>
      </c>
      <c r="D176" s="12">
        <v>46100.89796971065</v>
      </c>
    </row>
    <row r="177" ht="22.5" customHeight="1">
      <c r="B177" s="4" t="s">
        <v>15</v>
      </c>
      <c r="C177" s="4">
        <v>7.716</v>
      </c>
      <c r="D177" s="12">
        <v>46100.89933984954</v>
      </c>
    </row>
    <row r="178" ht="22.5" customHeight="1">
      <c r="B178" s="4" t="s">
        <v>15</v>
      </c>
      <c r="C178" s="4">
        <v>7.688</v>
      </c>
      <c r="D178" s="12">
        <v>46100.90070748843</v>
      </c>
    </row>
    <row r="179" ht="22.5" customHeight="1">
      <c r="B179" s="4" t="s">
        <v>15</v>
      </c>
      <c r="C179" s="4">
        <v>7.652</v>
      </c>
      <c r="D179" s="12">
        <v>46100.90207726852</v>
      </c>
    </row>
    <row r="180" ht="22.5" customHeight="1">
      <c r="B180" s="4" t="s">
        <v>15</v>
      </c>
      <c r="C180" s="4">
        <v>7.666</v>
      </c>
      <c r="D180" s="12">
        <v>46100.90344886574</v>
      </c>
    </row>
    <row r="181" ht="22.5" customHeight="1">
      <c r="B181" s="4" t="s">
        <v>15</v>
      </c>
      <c r="C181" s="4">
        <v>7.752</v>
      </c>
      <c r="D181" s="12">
        <v>46100.90482451389</v>
      </c>
    </row>
    <row r="182" ht="22.5" customHeight="1">
      <c r="B182" s="4" t="s">
        <v>15</v>
      </c>
      <c r="C182" s="4">
        <v>7.663</v>
      </c>
      <c r="D182" s="12">
        <v>46100.90618871528</v>
      </c>
    </row>
    <row r="183" ht="22.5" customHeight="1">
      <c r="B183" s="4" t="s">
        <v>15</v>
      </c>
      <c r="C183" s="4" t="s">
        <v>9</v>
      </c>
      <c r="D183" s="12">
        <v>46100.91177403935</v>
      </c>
    </row>
    <row r="184" ht="22.5" customHeight="1">
      <c r="B184" s="4" t="s">
        <v>15</v>
      </c>
      <c r="C184" s="4">
        <v>7.681</v>
      </c>
      <c r="D184" s="12">
        <v>46100.92081179398</v>
      </c>
    </row>
    <row r="185" ht="22.5" customHeight="1">
      <c r="B185" s="4" t="s">
        <v>15</v>
      </c>
      <c r="C185" s="4">
        <v>7.67</v>
      </c>
      <c r="D185" s="12">
        <v>46100.9428290162</v>
      </c>
    </row>
    <row r="186" ht="22.5" customHeight="1">
      <c r="B186" s="4" t="s">
        <v>15</v>
      </c>
      <c r="C186" s="4">
        <v>7.645</v>
      </c>
      <c r="D186" s="12">
        <v>46100.96483182871</v>
      </c>
    </row>
    <row r="187" ht="22.5" customHeight="1">
      <c r="B187" s="4" t="s">
        <v>15</v>
      </c>
      <c r="C187" s="4">
        <v>7.606</v>
      </c>
      <c r="D187" s="12">
        <v>46100.986840833335</v>
      </c>
    </row>
    <row r="188" ht="22.5" customHeight="1">
      <c r="B188" s="4" t="s">
        <v>15</v>
      </c>
      <c r="C188" s="4">
        <v>7.599</v>
      </c>
      <c r="D188" s="12">
        <v>46101.00884873843</v>
      </c>
    </row>
    <row r="189" ht="22.5" customHeight="1">
      <c r="B189" s="4" t="s">
        <v>15</v>
      </c>
      <c r="C189" s="4">
        <v>7.673</v>
      </c>
      <c r="D189" s="12">
        <v>46101.0308528125</v>
      </c>
    </row>
    <row r="190" ht="22.5" customHeight="1">
      <c r="B190" s="4" t="s">
        <v>15</v>
      </c>
      <c r="C190" s="4">
        <v>7.616</v>
      </c>
      <c r="D190" s="12">
        <v>46101.05285821759</v>
      </c>
    </row>
    <row r="191" ht="22.5" customHeight="1">
      <c r="B191" s="4" t="s">
        <v>15</v>
      </c>
      <c r="C191" s="4">
        <v>7.641</v>
      </c>
      <c r="D191" s="12">
        <v>46101.09686553241</v>
      </c>
    </row>
    <row r="192" ht="22.5" customHeight="1">
      <c r="B192" s="4" t="s">
        <v>15</v>
      </c>
      <c r="C192" s="4">
        <v>7.656</v>
      </c>
      <c r="D192" s="12">
        <v>46101.118855775465</v>
      </c>
    </row>
    <row r="193" ht="22.5" customHeight="1">
      <c r="B193" s="4" t="s">
        <v>15</v>
      </c>
      <c r="C193" s="4">
        <v>7.688</v>
      </c>
      <c r="D193" s="12">
        <v>46101.14085497685</v>
      </c>
    </row>
    <row r="194" ht="22.5" customHeight="1">
      <c r="B194" s="4" t="s">
        <v>15</v>
      </c>
      <c r="C194" s="4">
        <v>7.67</v>
      </c>
      <c r="D194" s="12">
        <v>46101.16284875</v>
      </c>
    </row>
    <row r="195" ht="22.5" customHeight="1">
      <c r="B195" s="4" t="s">
        <v>15</v>
      </c>
      <c r="C195" s="4">
        <v>7.652</v>
      </c>
      <c r="D195" s="12">
        <v>46101.18484268519</v>
      </c>
    </row>
    <row r="196" ht="22.5" customHeight="1">
      <c r="B196" s="4" t="s">
        <v>15</v>
      </c>
      <c r="C196" s="4">
        <v>7.673</v>
      </c>
      <c r="D196" s="12">
        <v>46101.20683701389</v>
      </c>
    </row>
    <row r="197" ht="22.5" customHeight="1">
      <c r="B197" s="4" t="s">
        <v>15</v>
      </c>
      <c r="C197" s="4">
        <v>7.698</v>
      </c>
      <c r="D197" s="12">
        <v>46101.22882686343</v>
      </c>
    </row>
    <row r="198" ht="22.5" customHeight="1">
      <c r="B198" s="4" t="s">
        <v>15</v>
      </c>
      <c r="C198" s="4">
        <v>7.741</v>
      </c>
      <c r="D198" s="12">
        <v>46101.25081622685</v>
      </c>
    </row>
    <row r="199" ht="22.5" customHeight="1">
      <c r="B199" s="4" t="s">
        <v>15</v>
      </c>
      <c r="C199" s="4">
        <v>7.666</v>
      </c>
      <c r="D199" s="12">
        <v>46101.27280565972</v>
      </c>
    </row>
    <row r="200" ht="22.5" customHeight="1">
      <c r="B200" s="4" t="s">
        <v>15</v>
      </c>
      <c r="C200" s="4">
        <v>7.713</v>
      </c>
      <c r="D200" s="12">
        <v>46101.29479465278</v>
      </c>
    </row>
    <row r="201" ht="22.5" customHeight="1">
      <c r="B201" s="4" t="s">
        <v>15</v>
      </c>
      <c r="C201" s="4">
        <v>7.649</v>
      </c>
      <c r="D201" s="12">
        <v>46101.31678677083</v>
      </c>
    </row>
    <row r="202" ht="22.5" customHeight="1">
      <c r="B202" s="4" t="s">
        <v>15</v>
      </c>
      <c r="C202" s="4">
        <v>7.631</v>
      </c>
      <c r="D202" s="12">
        <v>46101.338780474536</v>
      </c>
    </row>
    <row r="203" ht="22.5" customHeight="1">
      <c r="B203" s="4" t="s">
        <v>15</v>
      </c>
      <c r="C203" s="4">
        <v>7.716</v>
      </c>
      <c r="D203" s="12">
        <v>46101.36077983796</v>
      </c>
    </row>
    <row r="204" ht="22.5" customHeight="1">
      <c r="B204" s="4" t="s">
        <v>15</v>
      </c>
      <c r="C204" s="4">
        <v>7.645</v>
      </c>
      <c r="D204" s="12">
        <v>46101.38278049768</v>
      </c>
    </row>
    <row r="205" ht="22.5" customHeight="1">
      <c r="B205" s="4" t="s">
        <v>15</v>
      </c>
      <c r="C205" s="4">
        <v>7.666</v>
      </c>
      <c r="D205" s="12">
        <v>46101.40477907407</v>
      </c>
    </row>
    <row r="206" ht="22.5" customHeight="1">
      <c r="B206" s="4" t="s">
        <v>15</v>
      </c>
      <c r="C206" s="4">
        <v>7.602</v>
      </c>
      <c r="D206" s="12">
        <v>46101.426783414354</v>
      </c>
    </row>
    <row r="207" ht="22.5" customHeight="1">
      <c r="B207" s="4" t="s">
        <v>15</v>
      </c>
      <c r="C207" s="4">
        <v>7.652</v>
      </c>
      <c r="D207" s="12">
        <v>46101.448787291665</v>
      </c>
    </row>
    <row r="208" ht="22.5" customHeight="1">
      <c r="B208" s="4" t="s">
        <v>15</v>
      </c>
      <c r="C208" s="4">
        <v>7.606</v>
      </c>
      <c r="D208" s="12">
        <v>46101.47079976852</v>
      </c>
    </row>
    <row r="209" ht="22.5" customHeight="1">
      <c r="B209" s="4" t="s">
        <v>15</v>
      </c>
      <c r="C209" s="4">
        <v>7.538</v>
      </c>
      <c r="D209" s="12">
        <v>46101.492809027775</v>
      </c>
    </row>
    <row r="210" ht="22.5" customHeight="1">
      <c r="B210" s="4" t="s">
        <v>15</v>
      </c>
      <c r="C210" s="4">
        <v>7.616</v>
      </c>
      <c r="D210" s="12">
        <v>46101.514815636576</v>
      </c>
    </row>
    <row r="211" ht="22.5" customHeight="1">
      <c r="B211" s="4" t="s">
        <v>15</v>
      </c>
      <c r="C211" s="4">
        <v>7.645</v>
      </c>
      <c r="D211" s="12">
        <v>46101.53682666667</v>
      </c>
    </row>
    <row r="212" ht="22.5" customHeight="1">
      <c r="B212" s="4" t="s">
        <v>15</v>
      </c>
      <c r="C212" s="4">
        <v>7.67</v>
      </c>
      <c r="D212" s="12">
        <v>46101.55883583333</v>
      </c>
    </row>
    <row r="213" ht="22.5" customHeight="1">
      <c r="B213" s="4" t="s">
        <v>15</v>
      </c>
      <c r="C213" s="4">
        <v>7.713</v>
      </c>
      <c r="D213" s="12">
        <v>46101.60285887731</v>
      </c>
    </row>
    <row r="214" ht="22.5" customHeight="1">
      <c r="B214" s="4" t="s">
        <v>15</v>
      </c>
      <c r="C214" s="4">
        <v>7.652</v>
      </c>
      <c r="D214" s="12">
        <v>46101.62487258102</v>
      </c>
    </row>
    <row r="215" ht="22.5" customHeight="1">
      <c r="B215" s="4" t="s">
        <v>15</v>
      </c>
      <c r="C215" s="4">
        <v>7.659</v>
      </c>
      <c r="D215" s="12">
        <v>46101.646889247684</v>
      </c>
    </row>
    <row r="216" ht="22.5" customHeight="1">
      <c r="B216" s="4" t="s">
        <v>15</v>
      </c>
      <c r="C216" s="4">
        <v>7.688</v>
      </c>
      <c r="D216" s="12">
        <v>46101.66890539352</v>
      </c>
    </row>
    <row r="217" ht="22.5" customHeight="1">
      <c r="B217" s="4" t="s">
        <v>15</v>
      </c>
      <c r="C217" s="4">
        <v>7.659</v>
      </c>
      <c r="D217" s="12">
        <v>46101.6909250463</v>
      </c>
    </row>
    <row r="218" ht="22.5" customHeight="1">
      <c r="B218" s="4" t="s">
        <v>15</v>
      </c>
      <c r="C218" s="4">
        <v>7.663</v>
      </c>
      <c r="D218" s="12">
        <v>46101.712941122685</v>
      </c>
    </row>
    <row r="219" ht="22.5" customHeight="1">
      <c r="B219" s="4" t="s">
        <v>15</v>
      </c>
      <c r="C219" s="4">
        <v>7.649</v>
      </c>
      <c r="D219" s="12">
        <v>46101.73495119213</v>
      </c>
    </row>
    <row r="220" ht="22.5" customHeight="1">
      <c r="B220" s="4" t="s">
        <v>15</v>
      </c>
      <c r="C220" s="4">
        <v>7.659</v>
      </c>
      <c r="D220" s="12">
        <v>46101.75696020833</v>
      </c>
    </row>
    <row r="221" ht="22.5" customHeight="1">
      <c r="B221" s="4" t="s">
        <v>15</v>
      </c>
      <c r="C221" s="4">
        <v>7.741</v>
      </c>
      <c r="D221" s="12">
        <v>46101.7789703125</v>
      </c>
    </row>
    <row r="222" ht="22.5" customHeight="1">
      <c r="B222" s="4" t="s">
        <v>15</v>
      </c>
      <c r="C222" s="4">
        <v>7.673</v>
      </c>
      <c r="D222" s="12">
        <v>46101.80097974537</v>
      </c>
    </row>
    <row r="223" ht="22.5" customHeight="1">
      <c r="B223" s="4" t="s">
        <v>15</v>
      </c>
      <c r="C223" s="4">
        <v>7.659</v>
      </c>
      <c r="D223" s="12">
        <v>46101.82298755787</v>
      </c>
    </row>
    <row r="224" ht="22.5" customHeight="1">
      <c r="B224" s="4" t="s">
        <v>15</v>
      </c>
      <c r="C224" s="4">
        <v>7.698</v>
      </c>
      <c r="D224" s="12">
        <v>46101.84499846065</v>
      </c>
    </row>
    <row r="225" ht="22.5" customHeight="1">
      <c r="B225" s="4" t="s">
        <v>15</v>
      </c>
      <c r="C225" s="4">
        <v>7.649</v>
      </c>
      <c r="D225" s="12">
        <v>46101.86700398148</v>
      </c>
    </row>
    <row r="226" ht="22.5" customHeight="1">
      <c r="B226" s="4" t="s">
        <v>15</v>
      </c>
      <c r="C226" s="4">
        <v>7.723</v>
      </c>
      <c r="D226" s="12">
        <v>46101.91102648148</v>
      </c>
    </row>
    <row r="227" ht="22.5" customHeight="1">
      <c r="B227" s="4" t="s">
        <v>15</v>
      </c>
      <c r="C227" s="4">
        <v>7.709</v>
      </c>
      <c r="D227" s="12">
        <v>46101.93303306713</v>
      </c>
    </row>
    <row r="228" ht="22.5" customHeight="1">
      <c r="B228" s="4" t="s">
        <v>15</v>
      </c>
      <c r="C228" s="4">
        <v>7.741</v>
      </c>
      <c r="D228" s="12">
        <v>46101.95503849537</v>
      </c>
    </row>
    <row r="229" ht="22.5" customHeight="1">
      <c r="B229" s="4" t="s">
        <v>15</v>
      </c>
      <c r="C229" s="4">
        <v>7.67</v>
      </c>
      <c r="D229" s="12">
        <v>46101.977048622684</v>
      </c>
    </row>
    <row r="230" ht="22.5" customHeight="1">
      <c r="B230" s="4" t="s">
        <v>15</v>
      </c>
      <c r="C230" s="4">
        <v>7.727</v>
      </c>
      <c r="D230" s="12">
        <v>46101.99905777778</v>
      </c>
    </row>
    <row r="231" ht="22.5" customHeight="1">
      <c r="B231" s="4" t="s">
        <v>15</v>
      </c>
      <c r="C231" s="4">
        <v>7.688</v>
      </c>
      <c r="D231" s="12">
        <v>46102.0210618287</v>
      </c>
    </row>
    <row r="232" ht="22.5" customHeight="1">
      <c r="B232" s="4" t="s">
        <v>15</v>
      </c>
      <c r="C232" s="4">
        <v>7.656</v>
      </c>
      <c r="D232" s="12">
        <v>46102.04306847222</v>
      </c>
    </row>
    <row r="233" ht="22.5" customHeight="1">
      <c r="B233" s="4" t="s">
        <v>15</v>
      </c>
      <c r="C233" s="4">
        <v>7.752</v>
      </c>
      <c r="D233" s="12">
        <v>46102.06506707176</v>
      </c>
    </row>
    <row r="234" ht="22.5" customHeight="1">
      <c r="B234" s="4" t="s">
        <v>15</v>
      </c>
      <c r="C234" s="4">
        <v>7.713</v>
      </c>
      <c r="D234" s="12">
        <v>46102.08706381945</v>
      </c>
    </row>
    <row r="235" ht="22.5" customHeight="1">
      <c r="B235" s="4" t="s">
        <v>15</v>
      </c>
      <c r="C235" s="4">
        <v>7.727</v>
      </c>
      <c r="D235" s="12">
        <v>46102.1090609375</v>
      </c>
    </row>
    <row r="236" ht="22.5" customHeight="1">
      <c r="B236" s="4" t="s">
        <v>15</v>
      </c>
      <c r="C236" s="4">
        <v>7.681</v>
      </c>
      <c r="D236" s="12">
        <v>46102.13105577546</v>
      </c>
    </row>
    <row r="237" ht="22.5" customHeight="1">
      <c r="B237" s="4" t="s">
        <v>15</v>
      </c>
      <c r="C237" s="4">
        <v>7.756</v>
      </c>
      <c r="D237" s="12">
        <v>46102.15304722222</v>
      </c>
    </row>
    <row r="238" ht="22.5" customHeight="1">
      <c r="B238" s="4" t="s">
        <v>15</v>
      </c>
      <c r="C238" s="4">
        <v>7.777</v>
      </c>
      <c r="D238" s="12">
        <v>46102.175037395835</v>
      </c>
    </row>
    <row r="239" ht="22.5" customHeight="1">
      <c r="B239" s="4" t="s">
        <v>15</v>
      </c>
      <c r="C239" s="4">
        <v>7.781</v>
      </c>
      <c r="D239" s="12">
        <v>46102.197026863425</v>
      </c>
    </row>
    <row r="240" ht="22.5" customHeight="1">
      <c r="B240" s="4" t="s">
        <v>15</v>
      </c>
      <c r="C240" s="4">
        <v>7.727</v>
      </c>
      <c r="D240" s="12">
        <v>46102.2190184375</v>
      </c>
    </row>
    <row r="241" ht="22.5" customHeight="1">
      <c r="B241" s="4" t="s">
        <v>15</v>
      </c>
      <c r="C241" s="4">
        <v>7.738</v>
      </c>
      <c r="D241" s="12">
        <v>46102.24102228009</v>
      </c>
    </row>
    <row r="242" ht="22.5" customHeight="1">
      <c r="B242" s="4" t="s">
        <v>15</v>
      </c>
      <c r="C242" s="4">
        <v>7.706</v>
      </c>
      <c r="D242" s="12">
        <v>46102.26300775463</v>
      </c>
    </row>
    <row r="243" ht="22.5" customHeight="1">
      <c r="B243" s="4" t="s">
        <v>15</v>
      </c>
      <c r="C243" s="4">
        <v>7.695</v>
      </c>
      <c r="D243" s="12">
        <v>46102.28499988426</v>
      </c>
    </row>
    <row r="244" ht="22.5" customHeight="1">
      <c r="B244" s="4" t="s">
        <v>16</v>
      </c>
      <c r="C244" s="4">
        <v>457.0</v>
      </c>
      <c r="D244" s="12">
        <v>46100.763996875</v>
      </c>
    </row>
    <row r="245" ht="22.5" customHeight="1">
      <c r="B245" s="4" t="s">
        <v>16</v>
      </c>
      <c r="C245" s="4">
        <v>456.0</v>
      </c>
      <c r="D245" s="12">
        <v>46100.76920741898</v>
      </c>
    </row>
    <row r="246" ht="22.5" customHeight="1">
      <c r="B246" s="4" t="s">
        <v>16</v>
      </c>
      <c r="C246" s="4">
        <v>457.0</v>
      </c>
      <c r="D246" s="12">
        <v>46100.770576979165</v>
      </c>
    </row>
    <row r="247" ht="22.5" customHeight="1">
      <c r="B247" s="4" t="s">
        <v>16</v>
      </c>
      <c r="C247" s="4">
        <v>456.0</v>
      </c>
      <c r="D247" s="12">
        <v>46100.77194707176</v>
      </c>
    </row>
    <row r="248" ht="22.5" customHeight="1">
      <c r="B248" s="4" t="s">
        <v>16</v>
      </c>
      <c r="C248" s="4">
        <v>455.0</v>
      </c>
      <c r="D248" s="12">
        <v>46100.780169907404</v>
      </c>
    </row>
    <row r="249" ht="22.5" customHeight="1">
      <c r="B249" s="4" t="s">
        <v>16</v>
      </c>
      <c r="C249" s="4">
        <v>456.0</v>
      </c>
      <c r="D249" s="12">
        <v>46100.78496425926</v>
      </c>
    </row>
    <row r="250" ht="22.5" customHeight="1">
      <c r="B250" s="4" t="s">
        <v>16</v>
      </c>
      <c r="C250" s="4">
        <v>455.0</v>
      </c>
      <c r="D250" s="12">
        <v>46100.786335219906</v>
      </c>
    </row>
    <row r="251" ht="22.5" customHeight="1">
      <c r="B251" s="4" t="s">
        <v>16</v>
      </c>
      <c r="C251" s="4">
        <v>456.0</v>
      </c>
      <c r="D251" s="12">
        <v>46100.78701789352</v>
      </c>
    </row>
    <row r="252" ht="22.5" customHeight="1">
      <c r="B252" s="4" t="s">
        <v>16</v>
      </c>
      <c r="C252" s="4">
        <v>455.0</v>
      </c>
      <c r="D252" s="12">
        <v>46100.78770453704</v>
      </c>
    </row>
    <row r="253" ht="22.5" customHeight="1">
      <c r="B253" s="4" t="s">
        <v>16</v>
      </c>
      <c r="C253" s="4">
        <v>456.0</v>
      </c>
      <c r="D253" s="12">
        <v>46100.80619791667</v>
      </c>
    </row>
    <row r="254" ht="22.5" customHeight="1">
      <c r="B254" s="4" t="s">
        <v>16</v>
      </c>
      <c r="C254" s="4">
        <v>455.0</v>
      </c>
      <c r="D254" s="12">
        <v>46100.80688181713</v>
      </c>
    </row>
    <row r="255" ht="22.5" customHeight="1">
      <c r="B255" s="4" t="s">
        <v>16</v>
      </c>
      <c r="C255" s="4">
        <v>456.0</v>
      </c>
      <c r="D255" s="12">
        <v>46100.808251793984</v>
      </c>
    </row>
    <row r="256" ht="22.5" customHeight="1">
      <c r="B256" s="4" t="s">
        <v>16</v>
      </c>
      <c r="C256" s="4">
        <v>455.0</v>
      </c>
      <c r="D256" s="12">
        <v>46100.81373210648</v>
      </c>
    </row>
    <row r="257" ht="22.5" customHeight="1">
      <c r="B257" s="4" t="s">
        <v>16</v>
      </c>
      <c r="C257" s="4">
        <v>456.0</v>
      </c>
      <c r="D257" s="12">
        <v>46100.81441828704</v>
      </c>
    </row>
    <row r="258" ht="22.5" customHeight="1">
      <c r="B258" s="4" t="s">
        <v>16</v>
      </c>
      <c r="C258" s="4">
        <v>455.0</v>
      </c>
      <c r="D258" s="12">
        <v>46100.82880054398</v>
      </c>
    </row>
    <row r="259" ht="22.5" customHeight="1">
      <c r="B259" s="4" t="s">
        <v>16</v>
      </c>
      <c r="C259" s="4">
        <v>456.0</v>
      </c>
      <c r="D259" s="12">
        <v>46100.8294846875</v>
      </c>
    </row>
    <row r="260" ht="22.5" customHeight="1">
      <c r="B260" s="4" t="s">
        <v>16</v>
      </c>
      <c r="C260" s="4">
        <v>455.0</v>
      </c>
      <c r="D260" s="12">
        <v>46100.830170671295</v>
      </c>
    </row>
    <row r="261" ht="22.5" customHeight="1">
      <c r="B261" s="4" t="s">
        <v>16</v>
      </c>
      <c r="C261" s="4">
        <v>456.0</v>
      </c>
      <c r="D261" s="12">
        <v>46100.83223453704</v>
      </c>
    </row>
    <row r="262" ht="22.5" customHeight="1">
      <c r="B262" s="4" t="s">
        <v>16</v>
      </c>
      <c r="C262" s="4">
        <v>454.0</v>
      </c>
      <c r="D262" s="12">
        <v>46100.833595104166</v>
      </c>
    </row>
    <row r="263" ht="22.5" customHeight="1">
      <c r="B263" s="4" t="s">
        <v>16</v>
      </c>
      <c r="C263" s="4">
        <v>456.0</v>
      </c>
      <c r="D263" s="12">
        <v>46100.83428350694</v>
      </c>
    </row>
    <row r="264" ht="22.5" customHeight="1">
      <c r="B264" s="4" t="s">
        <v>16</v>
      </c>
      <c r="C264" s="4">
        <v>455.0</v>
      </c>
      <c r="D264" s="12">
        <v>46100.83633480324</v>
      </c>
    </row>
    <row r="265" ht="22.5" customHeight="1">
      <c r="B265" s="4" t="s">
        <v>16</v>
      </c>
      <c r="C265" s="4">
        <v>456.0</v>
      </c>
      <c r="D265" s="12">
        <v>46100.84181275463</v>
      </c>
    </row>
    <row r="266" ht="22.5" customHeight="1">
      <c r="B266" s="4" t="s">
        <v>16</v>
      </c>
      <c r="C266" s="4">
        <v>454.0</v>
      </c>
      <c r="D266" s="12">
        <v>46100.845237939815</v>
      </c>
    </row>
    <row r="267" ht="22.5" customHeight="1">
      <c r="B267" s="4" t="s">
        <v>16</v>
      </c>
      <c r="C267" s="4">
        <v>456.0</v>
      </c>
      <c r="D267" s="12">
        <v>46100.84592298611</v>
      </c>
    </row>
    <row r="268" ht="22.5" customHeight="1">
      <c r="B268" s="4" t="s">
        <v>16</v>
      </c>
      <c r="C268" s="4">
        <v>455.0</v>
      </c>
      <c r="D268" s="12">
        <v>46100.846611030094</v>
      </c>
    </row>
    <row r="269" ht="22.5" customHeight="1">
      <c r="B269" s="4" t="s">
        <v>16</v>
      </c>
      <c r="C269" s="4">
        <v>456.0</v>
      </c>
      <c r="D269" s="12">
        <v>46100.847978287034</v>
      </c>
    </row>
    <row r="270" ht="22.5" customHeight="1">
      <c r="B270" s="4" t="s">
        <v>16</v>
      </c>
      <c r="C270" s="4">
        <v>455.0</v>
      </c>
      <c r="D270" s="12">
        <v>46100.849349780096</v>
      </c>
    </row>
    <row r="271" ht="22.5" customHeight="1">
      <c r="B271" s="4" t="s">
        <v>16</v>
      </c>
      <c r="C271" s="4">
        <v>456.0</v>
      </c>
      <c r="D271" s="12">
        <v>46100.850032083334</v>
      </c>
    </row>
    <row r="272" ht="22.5" customHeight="1">
      <c r="B272" s="4" t="s">
        <v>16</v>
      </c>
      <c r="C272" s="4">
        <v>455.0</v>
      </c>
      <c r="D272" s="12">
        <v>46100.85071712963</v>
      </c>
    </row>
    <row r="273" ht="22.5" customHeight="1">
      <c r="B273" s="4" t="s">
        <v>16</v>
      </c>
      <c r="C273" s="4">
        <v>454.0</v>
      </c>
      <c r="D273" s="12">
        <v>46100.851402546294</v>
      </c>
    </row>
    <row r="274" ht="22.5" customHeight="1">
      <c r="B274" s="4" t="s">
        <v>16</v>
      </c>
      <c r="C274" s="4">
        <v>455.0</v>
      </c>
      <c r="D274" s="12">
        <v>46100.85208715278</v>
      </c>
    </row>
    <row r="275" ht="22.5" customHeight="1">
      <c r="B275" s="4" t="s">
        <v>16</v>
      </c>
      <c r="C275" s="4">
        <v>454.0</v>
      </c>
      <c r="D275" s="12">
        <v>46100.85345767361</v>
      </c>
    </row>
    <row r="276" ht="22.5" customHeight="1">
      <c r="B276" s="4" t="s">
        <v>16</v>
      </c>
      <c r="C276" s="4">
        <v>455.0</v>
      </c>
      <c r="D276" s="12">
        <v>46100.87126627315</v>
      </c>
    </row>
    <row r="277" ht="22.5" customHeight="1">
      <c r="B277" s="4" t="s">
        <v>16</v>
      </c>
      <c r="C277" s="4">
        <v>454.0</v>
      </c>
      <c r="D277" s="12">
        <v>46100.87742532408</v>
      </c>
    </row>
    <row r="278" ht="22.5" customHeight="1">
      <c r="B278" s="4" t="s">
        <v>16</v>
      </c>
      <c r="C278" s="4">
        <v>455.0</v>
      </c>
      <c r="D278" s="12">
        <v>46100.878109641206</v>
      </c>
    </row>
    <row r="279" ht="22.5" customHeight="1">
      <c r="B279" s="4" t="s">
        <v>16</v>
      </c>
      <c r="C279" s="4">
        <v>454.0</v>
      </c>
      <c r="D279" s="12">
        <v>46100.87879662037</v>
      </c>
    </row>
    <row r="280" ht="22.5" customHeight="1">
      <c r="B280" s="4" t="s">
        <v>16</v>
      </c>
      <c r="C280" s="4">
        <v>455.0</v>
      </c>
      <c r="D280" s="12">
        <v>46100.87947851852</v>
      </c>
    </row>
    <row r="281" ht="22.5" customHeight="1">
      <c r="B281" s="4" t="s">
        <v>16</v>
      </c>
      <c r="C281" s="4">
        <v>454.0</v>
      </c>
      <c r="D281" s="12">
        <v>46100.882908506945</v>
      </c>
    </row>
    <row r="282" ht="22.5" customHeight="1">
      <c r="B282" s="4" t="s">
        <v>16</v>
      </c>
      <c r="C282" s="4">
        <v>455.0</v>
      </c>
      <c r="D282" s="12">
        <v>46100.88358849537</v>
      </c>
    </row>
    <row r="283" ht="22.5" customHeight="1">
      <c r="B283" s="4" t="s">
        <v>16</v>
      </c>
      <c r="C283" s="4">
        <v>454.0</v>
      </c>
      <c r="D283" s="12">
        <v>46100.88427739583</v>
      </c>
    </row>
    <row r="284" ht="22.5" customHeight="1">
      <c r="B284" s="4" t="s">
        <v>16</v>
      </c>
      <c r="C284" s="4">
        <v>453.0</v>
      </c>
      <c r="D284" s="12">
        <v>46100.88838181713</v>
      </c>
    </row>
    <row r="285" ht="22.5" customHeight="1">
      <c r="B285" s="4" t="s">
        <v>16</v>
      </c>
      <c r="C285" s="4">
        <v>454.0</v>
      </c>
      <c r="D285" s="12">
        <v>46100.889066331016</v>
      </c>
    </row>
    <row r="286" ht="22.5" customHeight="1">
      <c r="B286" s="4" t="s">
        <v>16</v>
      </c>
      <c r="C286" s="4">
        <v>453.0</v>
      </c>
      <c r="D286" s="12">
        <v>46100.90207726852</v>
      </c>
    </row>
    <row r="287" ht="22.5" customHeight="1">
      <c r="B287" s="4" t="s">
        <v>16</v>
      </c>
      <c r="C287" s="4">
        <v>454.0</v>
      </c>
      <c r="D287" s="12">
        <v>46100.902763935184</v>
      </c>
    </row>
    <row r="288" ht="22.5" customHeight="1">
      <c r="B288" s="4" t="s">
        <v>16</v>
      </c>
      <c r="C288" s="4">
        <v>455.0</v>
      </c>
      <c r="D288" s="12">
        <v>46100.90482452546</v>
      </c>
    </row>
    <row r="289" ht="22.5" customHeight="1">
      <c r="B289" s="4" t="s">
        <v>16</v>
      </c>
      <c r="C289" s="4">
        <v>456.0</v>
      </c>
      <c r="D289" s="12">
        <v>46100.906188726854</v>
      </c>
    </row>
    <row r="290" ht="22.5" customHeight="1">
      <c r="B290" s="4" t="s">
        <v>16</v>
      </c>
      <c r="C290" s="4" t="s">
        <v>9</v>
      </c>
      <c r="D290" s="12">
        <v>46100.91177403935</v>
      </c>
    </row>
    <row r="291" ht="22.5" customHeight="1">
      <c r="B291" s="4" t="s">
        <v>16</v>
      </c>
      <c r="C291" s="4">
        <v>455.0</v>
      </c>
      <c r="D291" s="12">
        <v>46100.920811805554</v>
      </c>
    </row>
    <row r="292" ht="22.5" customHeight="1">
      <c r="B292" s="4" t="s">
        <v>16</v>
      </c>
      <c r="C292" s="4">
        <v>456.0</v>
      </c>
      <c r="D292" s="12">
        <v>46100.935485671296</v>
      </c>
    </row>
    <row r="293" ht="22.5" customHeight="1">
      <c r="B293" s="4" t="s">
        <v>16</v>
      </c>
      <c r="C293" s="4">
        <v>455.0</v>
      </c>
      <c r="D293" s="12">
        <v>46100.94282902778</v>
      </c>
    </row>
    <row r="294" ht="22.5" customHeight="1">
      <c r="B294" s="4" t="s">
        <v>16</v>
      </c>
      <c r="C294" s="4">
        <v>454.0</v>
      </c>
      <c r="D294" s="12">
        <v>46100.95015953704</v>
      </c>
    </row>
    <row r="295" ht="22.5" customHeight="1">
      <c r="B295" s="4" t="s">
        <v>16</v>
      </c>
      <c r="C295" s="4">
        <v>453.0</v>
      </c>
      <c r="D295" s="12">
        <v>46100.986840833335</v>
      </c>
    </row>
    <row r="296" ht="22.5" customHeight="1">
      <c r="B296" s="4" t="s">
        <v>16</v>
      </c>
      <c r="C296" s="4">
        <v>452.0</v>
      </c>
      <c r="D296" s="12">
        <v>46101.06019834491</v>
      </c>
    </row>
    <row r="297" ht="22.5" customHeight="1">
      <c r="B297" s="4" t="s">
        <v>16</v>
      </c>
      <c r="C297" s="4">
        <v>451.0</v>
      </c>
      <c r="D297" s="12">
        <v>46101.07485942129</v>
      </c>
    </row>
    <row r="298" ht="22.5" customHeight="1">
      <c r="B298" s="4" t="s">
        <v>16</v>
      </c>
      <c r="C298" s="4">
        <v>452.0</v>
      </c>
      <c r="D298" s="12">
        <v>46101.09686553241</v>
      </c>
    </row>
    <row r="299" ht="22.5" customHeight="1">
      <c r="B299" s="4" t="s">
        <v>16</v>
      </c>
      <c r="C299" s="4">
        <v>451.0</v>
      </c>
      <c r="D299" s="12">
        <v>46101.118855775465</v>
      </c>
    </row>
    <row r="300" ht="22.5" customHeight="1">
      <c r="B300" s="4" t="s">
        <v>16</v>
      </c>
      <c r="C300" s="4">
        <v>450.0</v>
      </c>
      <c r="D300" s="12">
        <v>46101.126193055556</v>
      </c>
    </row>
    <row r="301" ht="22.5" customHeight="1">
      <c r="B301" s="4" t="s">
        <v>16</v>
      </c>
      <c r="C301" s="4">
        <v>451.0</v>
      </c>
      <c r="D301" s="12">
        <v>46101.13352018518</v>
      </c>
    </row>
    <row r="302" ht="22.5" customHeight="1">
      <c r="B302" s="4" t="s">
        <v>16</v>
      </c>
      <c r="C302" s="4">
        <v>452.0</v>
      </c>
      <c r="D302" s="12">
        <v>46101.14085497685</v>
      </c>
    </row>
    <row r="303" ht="22.5" customHeight="1">
      <c r="B303" s="4" t="s">
        <v>16</v>
      </c>
      <c r="C303" s="4">
        <v>451.0</v>
      </c>
      <c r="D303" s="12">
        <v>46101.148184212965</v>
      </c>
    </row>
    <row r="304" ht="22.5" customHeight="1">
      <c r="B304" s="4" t="s">
        <v>16</v>
      </c>
      <c r="C304" s="4">
        <v>450.0</v>
      </c>
      <c r="D304" s="12">
        <v>46101.16284875</v>
      </c>
    </row>
    <row r="305" ht="22.5" customHeight="1">
      <c r="B305" s="4" t="s">
        <v>16</v>
      </c>
      <c r="C305" s="4">
        <v>467.0</v>
      </c>
      <c r="D305" s="12">
        <v>46101.170180092595</v>
      </c>
    </row>
    <row r="306" ht="22.5" customHeight="1">
      <c r="B306" s="4" t="s">
        <v>16</v>
      </c>
      <c r="C306" s="4">
        <v>452.0</v>
      </c>
      <c r="D306" s="12">
        <v>46101.17752732639</v>
      </c>
    </row>
    <row r="307" ht="22.5" customHeight="1">
      <c r="B307" s="4" t="s">
        <v>16</v>
      </c>
      <c r="C307" s="4">
        <v>451.0</v>
      </c>
      <c r="D307" s="12">
        <v>46101.199504108794</v>
      </c>
    </row>
    <row r="308" ht="22.5" customHeight="1">
      <c r="B308" s="4" t="s">
        <v>16</v>
      </c>
      <c r="C308" s="4">
        <v>452.0</v>
      </c>
      <c r="D308" s="12">
        <v>46101.20683701389</v>
      </c>
    </row>
    <row r="309" ht="22.5" customHeight="1">
      <c r="B309" s="4" t="s">
        <v>16</v>
      </c>
      <c r="C309" s="4">
        <v>458.0</v>
      </c>
      <c r="D309" s="12">
        <v>46101.23615837963</v>
      </c>
    </row>
    <row r="310" ht="22.5" customHeight="1">
      <c r="B310" s="4" t="s">
        <v>16</v>
      </c>
      <c r="C310" s="4">
        <v>454.0</v>
      </c>
      <c r="D310" s="12">
        <v>46101.243486631945</v>
      </c>
    </row>
    <row r="311" ht="22.5" customHeight="1">
      <c r="B311" s="4" t="s">
        <v>16</v>
      </c>
      <c r="C311" s="4">
        <v>455.0</v>
      </c>
      <c r="D311" s="12">
        <v>46101.25081622685</v>
      </c>
    </row>
    <row r="312" ht="22.5" customHeight="1">
      <c r="B312" s="4" t="s">
        <v>16</v>
      </c>
      <c r="C312" s="4">
        <v>456.0</v>
      </c>
      <c r="D312" s="12">
        <v>46101.27280565972</v>
      </c>
    </row>
    <row r="313" ht="22.5" customHeight="1">
      <c r="B313" s="4" t="s">
        <v>16</v>
      </c>
      <c r="C313" s="4">
        <v>457.0</v>
      </c>
      <c r="D313" s="12">
        <v>46101.29479465278</v>
      </c>
    </row>
    <row r="314" ht="22.5" customHeight="1">
      <c r="B314" s="4" t="s">
        <v>16</v>
      </c>
      <c r="C314" s="4">
        <v>456.0</v>
      </c>
      <c r="D314" s="12">
        <v>46101.32411961805</v>
      </c>
    </row>
    <row r="315" ht="22.5" customHeight="1">
      <c r="B315" s="4" t="s">
        <v>16</v>
      </c>
      <c r="C315" s="4">
        <v>457.0</v>
      </c>
      <c r="D315" s="12">
        <v>46101.33144877315</v>
      </c>
    </row>
    <row r="316" ht="22.5" customHeight="1">
      <c r="B316" s="4" t="s">
        <v>16</v>
      </c>
      <c r="C316" s="4">
        <v>456.0</v>
      </c>
      <c r="D316" s="12">
        <v>46101.338780474536</v>
      </c>
    </row>
    <row r="317" ht="22.5" customHeight="1">
      <c r="B317" s="4" t="s">
        <v>16</v>
      </c>
      <c r="C317" s="4">
        <v>457.0</v>
      </c>
      <c r="D317" s="12">
        <v>46101.34611491898</v>
      </c>
    </row>
    <row r="318" ht="22.5" customHeight="1">
      <c r="B318" s="4" t="s">
        <v>16</v>
      </c>
      <c r="C318" s="4">
        <v>456.0</v>
      </c>
      <c r="D318" s="12">
        <v>46101.36077983796</v>
      </c>
    </row>
    <row r="319" ht="22.5" customHeight="1">
      <c r="B319" s="4" t="s">
        <v>16</v>
      </c>
      <c r="C319" s="4">
        <v>457.0</v>
      </c>
      <c r="D319" s="12">
        <v>46101.38278049768</v>
      </c>
    </row>
    <row r="320" ht="22.5" customHeight="1">
      <c r="B320" s="4" t="s">
        <v>16</v>
      </c>
      <c r="C320" s="4">
        <v>469.0</v>
      </c>
      <c r="D320" s="12">
        <v>46101.40477908565</v>
      </c>
    </row>
    <row r="321" ht="22.5" customHeight="1">
      <c r="B321" s="4" t="s">
        <v>16</v>
      </c>
      <c r="C321" s="4">
        <v>492.0</v>
      </c>
      <c r="D321" s="12">
        <v>46101.41211164352</v>
      </c>
    </row>
    <row r="322" ht="22.5" customHeight="1">
      <c r="B322" s="4" t="s">
        <v>16</v>
      </c>
      <c r="C322" s="4">
        <v>499.0</v>
      </c>
      <c r="D322" s="12">
        <v>46101.41944673611</v>
      </c>
    </row>
    <row r="323" ht="22.5" customHeight="1">
      <c r="B323" s="4" t="s">
        <v>16</v>
      </c>
      <c r="C323" s="4">
        <v>502.0</v>
      </c>
      <c r="D323" s="12">
        <v>46101.42678342592</v>
      </c>
    </row>
    <row r="324" ht="22.5" customHeight="1">
      <c r="B324" s="4" t="s">
        <v>16</v>
      </c>
      <c r="C324" s="4">
        <v>504.0</v>
      </c>
      <c r="D324" s="12">
        <v>46101.43411474537</v>
      </c>
    </row>
    <row r="325" ht="22.5" customHeight="1">
      <c r="B325" s="4" t="s">
        <v>16</v>
      </c>
      <c r="C325" s="4">
        <v>505.0</v>
      </c>
      <c r="D325" s="12">
        <v>46101.441450983795</v>
      </c>
    </row>
    <row r="326" ht="22.5" customHeight="1">
      <c r="B326" s="4" t="s">
        <v>16</v>
      </c>
      <c r="C326" s="4">
        <v>507.0</v>
      </c>
      <c r="D326" s="12">
        <v>46101.45612390046</v>
      </c>
    </row>
    <row r="327" ht="22.5" customHeight="1">
      <c r="B327" s="4" t="s">
        <v>16</v>
      </c>
      <c r="C327" s="4">
        <v>506.0</v>
      </c>
      <c r="D327" s="12">
        <v>46101.463463541666</v>
      </c>
    </row>
    <row r="328" ht="22.5" customHeight="1">
      <c r="B328" s="4" t="s">
        <v>16</v>
      </c>
      <c r="C328" s="4">
        <v>505.0</v>
      </c>
      <c r="D328" s="12">
        <v>46101.478134895835</v>
      </c>
    </row>
    <row r="329" ht="22.5" customHeight="1">
      <c r="B329" s="4" t="s">
        <v>16</v>
      </c>
      <c r="C329" s="4">
        <v>504.0</v>
      </c>
      <c r="D329" s="12">
        <v>46101.55150166667</v>
      </c>
    </row>
    <row r="330" ht="22.5" customHeight="1">
      <c r="B330" s="4" t="s">
        <v>16</v>
      </c>
      <c r="C330" s="4">
        <v>506.0</v>
      </c>
      <c r="D330" s="12">
        <v>46101.55883584491</v>
      </c>
    </row>
    <row r="331" ht="22.5" customHeight="1">
      <c r="B331" s="4" t="s">
        <v>16</v>
      </c>
      <c r="C331" s="4">
        <v>513.0</v>
      </c>
      <c r="D331" s="12">
        <v>46101.56617369213</v>
      </c>
    </row>
    <row r="332" ht="22.5" customHeight="1">
      <c r="B332" s="4" t="s">
        <v>16</v>
      </c>
      <c r="C332" s="4">
        <v>514.0</v>
      </c>
      <c r="D332" s="12">
        <v>46101.57351070602</v>
      </c>
    </row>
    <row r="333" ht="22.5" customHeight="1">
      <c r="B333" s="4" t="s">
        <v>16</v>
      </c>
      <c r="C333" s="4">
        <v>513.0</v>
      </c>
      <c r="D333" s="12">
        <v>46101.580852893516</v>
      </c>
    </row>
    <row r="334" ht="22.5" customHeight="1">
      <c r="B334" s="4" t="s">
        <v>16</v>
      </c>
      <c r="C334" s="4">
        <v>512.0</v>
      </c>
      <c r="D334" s="12">
        <v>46101.5881869213</v>
      </c>
    </row>
    <row r="335" ht="22.5" customHeight="1">
      <c r="B335" s="4" t="s">
        <v>16</v>
      </c>
      <c r="C335" s="4">
        <v>513.0</v>
      </c>
      <c r="D335" s="12">
        <v>46101.595523344906</v>
      </c>
    </row>
    <row r="336" ht="22.5" customHeight="1">
      <c r="B336" s="4" t="s">
        <v>16</v>
      </c>
      <c r="C336" s="4">
        <v>512.0</v>
      </c>
      <c r="D336" s="12">
        <v>46101.60285887731</v>
      </c>
    </row>
    <row r="337" ht="22.5" customHeight="1">
      <c r="B337" s="4" t="s">
        <v>16</v>
      </c>
      <c r="C337" s="4">
        <v>513.0</v>
      </c>
      <c r="D337" s="12">
        <v>46101.61019936343</v>
      </c>
    </row>
    <row r="338" ht="22.5" customHeight="1">
      <c r="B338" s="4" t="s">
        <v>16</v>
      </c>
      <c r="C338" s="4">
        <v>512.0</v>
      </c>
      <c r="D338" s="12">
        <v>46101.61754925926</v>
      </c>
    </row>
    <row r="339" ht="22.5" customHeight="1">
      <c r="B339" s="4" t="s">
        <v>16</v>
      </c>
      <c r="C339" s="4">
        <v>504.0</v>
      </c>
      <c r="D339" s="12">
        <v>46101.6395475463</v>
      </c>
    </row>
    <row r="340" ht="22.5" customHeight="1">
      <c r="B340" s="4" t="s">
        <v>16</v>
      </c>
      <c r="C340" s="4">
        <v>503.0</v>
      </c>
      <c r="D340" s="12">
        <v>46101.646889247684</v>
      </c>
    </row>
    <row r="341" ht="22.5" customHeight="1">
      <c r="B341" s="4" t="s">
        <v>16</v>
      </c>
      <c r="C341" s="4">
        <v>504.0</v>
      </c>
      <c r="D341" s="12">
        <v>46101.65422729166</v>
      </c>
    </row>
    <row r="342" ht="22.5" customHeight="1">
      <c r="B342" s="4" t="s">
        <v>16</v>
      </c>
      <c r="C342" s="4">
        <v>509.0</v>
      </c>
      <c r="D342" s="12">
        <v>46101.66156556713</v>
      </c>
    </row>
    <row r="343" ht="22.5" customHeight="1">
      <c r="B343" s="4" t="s">
        <v>16</v>
      </c>
      <c r="C343" s="4">
        <v>517.0</v>
      </c>
      <c r="D343" s="12">
        <v>46101.66890539352</v>
      </c>
    </row>
    <row r="344" ht="22.5" customHeight="1">
      <c r="B344" s="4" t="s">
        <v>16</v>
      </c>
      <c r="C344" s="4">
        <v>519.0</v>
      </c>
      <c r="D344" s="12">
        <v>46101.67624530093</v>
      </c>
    </row>
    <row r="345" ht="22.5" customHeight="1">
      <c r="B345" s="4" t="s">
        <v>16</v>
      </c>
      <c r="C345" s="4">
        <v>518.0</v>
      </c>
      <c r="D345" s="12">
        <v>46101.68358391204</v>
      </c>
    </row>
    <row r="346" ht="22.5" customHeight="1">
      <c r="B346" s="4" t="s">
        <v>16</v>
      </c>
      <c r="C346" s="4">
        <v>517.0</v>
      </c>
      <c r="D346" s="12">
        <v>46101.6909250463</v>
      </c>
    </row>
    <row r="347" ht="22.5" customHeight="1">
      <c r="B347" s="4" t="s">
        <v>16</v>
      </c>
      <c r="C347" s="4">
        <v>518.0</v>
      </c>
      <c r="D347" s="12">
        <v>46101.705607083335</v>
      </c>
    </row>
    <row r="348" ht="22.5" customHeight="1">
      <c r="B348" s="4" t="s">
        <v>16</v>
      </c>
      <c r="C348" s="4">
        <v>522.0</v>
      </c>
      <c r="D348" s="12">
        <v>46101.712941122685</v>
      </c>
    </row>
    <row r="349" ht="22.5" customHeight="1">
      <c r="B349" s="4" t="s">
        <v>16</v>
      </c>
      <c r="C349" s="4">
        <v>521.0</v>
      </c>
      <c r="D349" s="12">
        <v>46101.727616145836</v>
      </c>
    </row>
    <row r="350" ht="22.5" customHeight="1">
      <c r="B350" s="4" t="s">
        <v>16</v>
      </c>
      <c r="C350" s="4">
        <v>519.0</v>
      </c>
      <c r="D350" s="12">
        <v>46101.7349512037</v>
      </c>
    </row>
    <row r="351" ht="22.5" customHeight="1">
      <c r="B351" s="4" t="s">
        <v>16</v>
      </c>
      <c r="C351" s="4">
        <v>520.0</v>
      </c>
      <c r="D351" s="12">
        <v>46101.75696020833</v>
      </c>
    </row>
    <row r="352" ht="22.5" customHeight="1">
      <c r="B352" s="4" t="s">
        <v>16</v>
      </c>
      <c r="C352" s="4">
        <v>521.0</v>
      </c>
      <c r="D352" s="12">
        <v>46101.85233234954</v>
      </c>
    </row>
    <row r="353" ht="22.5" customHeight="1">
      <c r="B353" s="4" t="s">
        <v>16</v>
      </c>
      <c r="C353" s="4">
        <v>522.0</v>
      </c>
      <c r="D353" s="12">
        <v>46101.85966760416</v>
      </c>
    </row>
    <row r="354" ht="22.5" customHeight="1">
      <c r="B354" s="4" t="s">
        <v>16</v>
      </c>
      <c r="C354" s="4">
        <v>517.0</v>
      </c>
      <c r="D354" s="12">
        <v>46101.86700398148</v>
      </c>
    </row>
    <row r="355" ht="22.5" customHeight="1">
      <c r="B355" s="4" t="s">
        <v>16</v>
      </c>
      <c r="C355" s="4">
        <v>519.0</v>
      </c>
      <c r="D355" s="12">
        <v>46101.87434138889</v>
      </c>
    </row>
    <row r="356" ht="22.5" customHeight="1">
      <c r="B356" s="4" t="s">
        <v>16</v>
      </c>
      <c r="C356" s="4">
        <v>518.0</v>
      </c>
      <c r="D356" s="12">
        <v>46101.881678819445</v>
      </c>
    </row>
    <row r="357" ht="22.5" customHeight="1">
      <c r="B357" s="4" t="s">
        <v>16</v>
      </c>
      <c r="C357" s="4">
        <v>517.0</v>
      </c>
      <c r="D357" s="12">
        <v>46101.918361909724</v>
      </c>
    </row>
    <row r="358" ht="22.5" customHeight="1">
      <c r="B358" s="4" t="s">
        <v>16</v>
      </c>
      <c r="C358" s="4">
        <v>518.0</v>
      </c>
      <c r="D358" s="12">
        <v>46101.925703877314</v>
      </c>
    </row>
    <row r="359" ht="22.5" customHeight="1">
      <c r="B359" s="4" t="s">
        <v>16</v>
      </c>
      <c r="C359" s="4">
        <v>521.0</v>
      </c>
      <c r="D359" s="12">
        <v>46101.933033078705</v>
      </c>
    </row>
    <row r="360" ht="22.5" customHeight="1">
      <c r="B360" s="4" t="s">
        <v>16</v>
      </c>
      <c r="C360" s="4">
        <v>522.0</v>
      </c>
      <c r="D360" s="12">
        <v>46101.940369537035</v>
      </c>
    </row>
    <row r="361" ht="22.5" customHeight="1">
      <c r="B361" s="4" t="s">
        <v>16</v>
      </c>
      <c r="C361" s="4">
        <v>521.0</v>
      </c>
      <c r="D361" s="12">
        <v>46101.95503849537</v>
      </c>
    </row>
    <row r="362" ht="22.5" customHeight="1">
      <c r="B362" s="4" t="s">
        <v>16</v>
      </c>
      <c r="C362" s="4">
        <v>522.0</v>
      </c>
      <c r="D362" s="12">
        <v>46101.96971251157</v>
      </c>
    </row>
    <row r="363" ht="22.5" customHeight="1">
      <c r="B363" s="4" t="s">
        <v>16</v>
      </c>
      <c r="C363" s="4">
        <v>519.0</v>
      </c>
      <c r="D363" s="12">
        <v>46101.99172052083</v>
      </c>
    </row>
    <row r="364" ht="22.5" customHeight="1">
      <c r="B364" s="4" t="s">
        <v>16</v>
      </c>
      <c r="C364" s="4">
        <v>520.0</v>
      </c>
      <c r="D364" s="12">
        <v>46101.99905777778</v>
      </c>
    </row>
    <row r="365" ht="22.5" customHeight="1">
      <c r="B365" s="4" t="s">
        <v>16</v>
      </c>
      <c r="C365" s="4">
        <v>519.0</v>
      </c>
      <c r="D365" s="12">
        <v>46102.006396296296</v>
      </c>
    </row>
    <row r="366" ht="22.5" customHeight="1">
      <c r="B366" s="4" t="s">
        <v>16</v>
      </c>
      <c r="C366" s="4">
        <v>517.0</v>
      </c>
      <c r="D366" s="12">
        <v>46102.0137271412</v>
      </c>
    </row>
    <row r="367" ht="22.5" customHeight="1">
      <c r="B367" s="4" t="s">
        <v>16</v>
      </c>
      <c r="C367" s="4">
        <v>522.0</v>
      </c>
      <c r="D367" s="12">
        <v>46102.0210618287</v>
      </c>
    </row>
    <row r="368" ht="22.5" customHeight="1">
      <c r="B368" s="4" t="s">
        <v>16</v>
      </c>
      <c r="C368" s="4">
        <v>517.0</v>
      </c>
      <c r="D368" s="12">
        <v>46102.02840688657</v>
      </c>
    </row>
    <row r="369" ht="22.5" customHeight="1">
      <c r="B369" s="4" t="s">
        <v>16</v>
      </c>
      <c r="C369" s="4">
        <v>516.0</v>
      </c>
      <c r="D369" s="12">
        <v>46102.035730902775</v>
      </c>
    </row>
    <row r="370" ht="22.5" customHeight="1">
      <c r="B370" s="4" t="s">
        <v>16</v>
      </c>
      <c r="C370" s="4">
        <v>517.0</v>
      </c>
      <c r="D370" s="12">
        <v>46102.04306847222</v>
      </c>
    </row>
    <row r="371" ht="22.5" customHeight="1">
      <c r="B371" s="4" t="s">
        <v>16</v>
      </c>
      <c r="C371" s="4">
        <v>516.0</v>
      </c>
      <c r="D371" s="12">
        <v>46102.06506707176</v>
      </c>
    </row>
    <row r="372" ht="22.5" customHeight="1">
      <c r="B372" s="4" t="s">
        <v>16</v>
      </c>
      <c r="C372" s="4">
        <v>517.0</v>
      </c>
      <c r="D372" s="12">
        <v>46102.1163925</v>
      </c>
    </row>
    <row r="373" ht="22.5" customHeight="1">
      <c r="B373" s="4" t="s">
        <v>16</v>
      </c>
      <c r="C373" s="4">
        <v>516.0</v>
      </c>
      <c r="D373" s="12">
        <v>46102.12372309028</v>
      </c>
    </row>
    <row r="374" ht="22.5" customHeight="1">
      <c r="B374" s="4" t="s">
        <v>16</v>
      </c>
      <c r="C374" s="4">
        <v>515.0</v>
      </c>
      <c r="D374" s="12">
        <v>46102.13838844907</v>
      </c>
    </row>
    <row r="375" ht="22.5" customHeight="1">
      <c r="B375" s="4" t="s">
        <v>16</v>
      </c>
      <c r="C375" s="4">
        <v>516.0</v>
      </c>
      <c r="D375" s="12">
        <v>46102.1457165625</v>
      </c>
    </row>
    <row r="376" ht="22.5" customHeight="1">
      <c r="B376" s="4" t="s">
        <v>16</v>
      </c>
      <c r="C376" s="4">
        <v>515.0</v>
      </c>
      <c r="D376" s="12">
        <v>46102.16037961806</v>
      </c>
    </row>
    <row r="377" ht="22.5" customHeight="1">
      <c r="B377" s="4" t="s">
        <v>16</v>
      </c>
      <c r="C377" s="4">
        <v>514.0</v>
      </c>
      <c r="D377" s="12">
        <v>46102.20435736111</v>
      </c>
    </row>
    <row r="378" ht="22.5" customHeight="1">
      <c r="B378" s="4" t="s">
        <v>16</v>
      </c>
      <c r="C378" s="4">
        <v>515.0</v>
      </c>
      <c r="D378" s="12">
        <v>46102.226348599535</v>
      </c>
    </row>
    <row r="379" ht="22.5" customHeight="1">
      <c r="B379" s="4" t="s">
        <v>16</v>
      </c>
      <c r="C379" s="4">
        <v>514.0</v>
      </c>
      <c r="D379" s="12">
        <v>46102.23367782407</v>
      </c>
    </row>
    <row r="380" ht="22.5" customHeight="1">
      <c r="B380" s="4" t="s">
        <v>16</v>
      </c>
      <c r="C380" s="4">
        <v>515.0</v>
      </c>
      <c r="D380" s="12">
        <v>46102.24102228009</v>
      </c>
    </row>
    <row r="381" ht="22.5" customHeight="1">
      <c r="B381" s="4" t="s">
        <v>16</v>
      </c>
      <c r="C381" s="4">
        <v>514.0</v>
      </c>
      <c r="D381" s="12">
        <v>46102.27766733796</v>
      </c>
    </row>
    <row r="382" ht="22.5" customHeight="1">
      <c r="B382" s="4" t="s">
        <v>17</v>
      </c>
      <c r="C382" s="4">
        <v>20.24</v>
      </c>
      <c r="D382" s="12">
        <v>46100.76399685185</v>
      </c>
    </row>
    <row r="383" ht="22.5" customHeight="1">
      <c r="B383" s="4" t="s">
        <v>17</v>
      </c>
      <c r="C383" s="4">
        <v>20.2</v>
      </c>
      <c r="D383" s="12">
        <v>46100.76783929398</v>
      </c>
    </row>
    <row r="384" ht="22.5" customHeight="1">
      <c r="B384" s="4" t="s">
        <v>17</v>
      </c>
      <c r="C384" s="4">
        <v>20.24</v>
      </c>
      <c r="D384" s="12">
        <v>46100.76852082176</v>
      </c>
    </row>
    <row r="385" ht="22.5" customHeight="1">
      <c r="B385" s="4" t="s">
        <v>17</v>
      </c>
      <c r="C385" s="4">
        <v>20.2</v>
      </c>
      <c r="D385" s="12">
        <v>46100.76989229167</v>
      </c>
    </row>
    <row r="386" ht="22.5" customHeight="1">
      <c r="B386" s="4" t="s">
        <v>17</v>
      </c>
      <c r="C386" s="4">
        <v>20.24</v>
      </c>
      <c r="D386" s="12">
        <v>46100.77126207176</v>
      </c>
    </row>
    <row r="387" ht="22.5" customHeight="1">
      <c r="B387" s="4" t="s">
        <v>17</v>
      </c>
      <c r="C387" s="4">
        <v>20.2</v>
      </c>
      <c r="D387" s="12">
        <v>46100.77263146991</v>
      </c>
    </row>
    <row r="388" ht="22.5" customHeight="1">
      <c r="B388" s="4" t="s">
        <v>17</v>
      </c>
      <c r="C388" s="4">
        <v>20.18</v>
      </c>
      <c r="D388" s="12">
        <v>46100.77811474537</v>
      </c>
    </row>
    <row r="389" ht="22.5" customHeight="1">
      <c r="B389" s="4" t="s">
        <v>17</v>
      </c>
      <c r="C389" s="4">
        <v>20.2</v>
      </c>
      <c r="D389" s="12">
        <v>46100.77948483796</v>
      </c>
    </row>
    <row r="390" ht="22.5" customHeight="1">
      <c r="B390" s="4" t="s">
        <v>17</v>
      </c>
      <c r="C390" s="4">
        <v>20.18</v>
      </c>
      <c r="D390" s="12">
        <v>46100.7808540625</v>
      </c>
    </row>
    <row r="391" ht="22.5" customHeight="1">
      <c r="B391" s="4" t="s">
        <v>17</v>
      </c>
      <c r="C391" s="4">
        <v>20.16</v>
      </c>
      <c r="D391" s="12">
        <v>46100.78496424769</v>
      </c>
    </row>
    <row r="392" ht="22.5" customHeight="1">
      <c r="B392" s="4" t="s">
        <v>17</v>
      </c>
      <c r="C392" s="4">
        <v>20.12</v>
      </c>
      <c r="D392" s="12">
        <v>46100.79386829861</v>
      </c>
    </row>
    <row r="393" ht="22.5" customHeight="1">
      <c r="B393" s="4" t="s">
        <v>17</v>
      </c>
      <c r="C393" s="4">
        <v>20.16</v>
      </c>
      <c r="D393" s="12">
        <v>46100.79455346065</v>
      </c>
    </row>
    <row r="394" ht="22.5" customHeight="1">
      <c r="B394" s="4" t="s">
        <v>17</v>
      </c>
      <c r="C394" s="4">
        <v>20.12</v>
      </c>
      <c r="D394" s="12">
        <v>46100.79523836805</v>
      </c>
    </row>
    <row r="395" ht="22.5" customHeight="1">
      <c r="B395" s="4" t="s">
        <v>17</v>
      </c>
      <c r="C395" s="4">
        <v>20.1</v>
      </c>
      <c r="D395" s="12">
        <v>46100.79797792824</v>
      </c>
    </row>
    <row r="396" ht="22.5" customHeight="1">
      <c r="B396" s="4" t="s">
        <v>17</v>
      </c>
      <c r="C396" s="4">
        <v>20.08</v>
      </c>
      <c r="D396" s="12">
        <v>46100.800725787034</v>
      </c>
    </row>
    <row r="397" ht="22.5" customHeight="1">
      <c r="B397" s="4" t="s">
        <v>17</v>
      </c>
      <c r="C397" s="4">
        <v>20.1</v>
      </c>
      <c r="D397" s="12">
        <v>46100.801404907405</v>
      </c>
    </row>
    <row r="398" ht="22.5" customHeight="1">
      <c r="B398" s="4" t="s">
        <v>17</v>
      </c>
      <c r="C398" s="4">
        <v>20.08</v>
      </c>
      <c r="D398" s="12">
        <v>46100.80209053241</v>
      </c>
    </row>
    <row r="399" ht="22.5" customHeight="1">
      <c r="B399" s="4" t="s">
        <v>17</v>
      </c>
      <c r="C399" s="4">
        <v>20.1</v>
      </c>
      <c r="D399" s="12">
        <v>46100.80277552083</v>
      </c>
    </row>
    <row r="400" ht="22.5" customHeight="1">
      <c r="B400" s="4" t="s">
        <v>17</v>
      </c>
      <c r="C400" s="4">
        <v>20.08</v>
      </c>
      <c r="D400" s="12">
        <v>46100.80346001157</v>
      </c>
    </row>
    <row r="401" ht="22.5" customHeight="1">
      <c r="B401" s="4" t="s">
        <v>17</v>
      </c>
      <c r="C401" s="4">
        <v>20.04</v>
      </c>
      <c r="D401" s="12">
        <v>46100.80619790509</v>
      </c>
    </row>
    <row r="402" ht="22.5" customHeight="1">
      <c r="B402" s="4" t="s">
        <v>17</v>
      </c>
      <c r="C402" s="4">
        <v>20.08</v>
      </c>
      <c r="D402" s="12">
        <v>46100.806881805554</v>
      </c>
    </row>
    <row r="403" ht="22.5" customHeight="1">
      <c r="B403" s="4" t="s">
        <v>17</v>
      </c>
      <c r="C403" s="4">
        <v>20.04</v>
      </c>
      <c r="D403" s="12">
        <v>46100.80825178241</v>
      </c>
    </row>
    <row r="404" ht="22.5" customHeight="1">
      <c r="B404" s="4" t="s">
        <v>17</v>
      </c>
      <c r="C404" s="4">
        <v>20.02</v>
      </c>
      <c r="D404" s="12">
        <v>46100.81441827546</v>
      </c>
    </row>
    <row r="405" ht="22.5" customHeight="1">
      <c r="B405" s="4" t="s">
        <v>17</v>
      </c>
      <c r="C405" s="4">
        <v>20.0</v>
      </c>
      <c r="D405" s="12">
        <v>46100.81784859954</v>
      </c>
    </row>
    <row r="406" ht="22.5" customHeight="1">
      <c r="B406" s="4" t="s">
        <v>17</v>
      </c>
      <c r="C406" s="4">
        <v>19.96</v>
      </c>
      <c r="D406" s="12">
        <v>46100.822635752316</v>
      </c>
    </row>
    <row r="407" ht="22.5" customHeight="1">
      <c r="B407" s="4" t="s">
        <v>17</v>
      </c>
      <c r="C407" s="4">
        <v>19.94</v>
      </c>
      <c r="D407" s="12">
        <v>46100.82743106481</v>
      </c>
    </row>
    <row r="408" ht="22.5" customHeight="1">
      <c r="B408" s="4" t="s">
        <v>17</v>
      </c>
      <c r="C408" s="4">
        <v>19.96</v>
      </c>
      <c r="D408" s="12">
        <v>46100.82880054398</v>
      </c>
    </row>
    <row r="409" ht="22.5" customHeight="1">
      <c r="B409" s="4" t="s">
        <v>17</v>
      </c>
      <c r="C409" s="4">
        <v>19.94</v>
      </c>
      <c r="D409" s="12">
        <v>46100.82948467592</v>
      </c>
    </row>
    <row r="410" ht="22.5" customHeight="1">
      <c r="B410" s="4" t="s">
        <v>17</v>
      </c>
      <c r="C410" s="4">
        <v>19.92</v>
      </c>
      <c r="D410" s="12">
        <v>46100.83565035879</v>
      </c>
    </row>
    <row r="411" ht="22.5" customHeight="1">
      <c r="B411" s="4" t="s">
        <v>17</v>
      </c>
      <c r="C411" s="4">
        <v>19.89</v>
      </c>
      <c r="D411" s="12">
        <v>46100.83770609953</v>
      </c>
    </row>
    <row r="412" ht="22.5" customHeight="1">
      <c r="B412" s="4" t="s">
        <v>17</v>
      </c>
      <c r="C412" s="4">
        <v>19.86</v>
      </c>
      <c r="D412" s="12">
        <v>46100.83976016204</v>
      </c>
    </row>
    <row r="413" ht="22.5" customHeight="1">
      <c r="B413" s="4" t="s">
        <v>17</v>
      </c>
      <c r="C413" s="4">
        <v>19.84</v>
      </c>
      <c r="D413" s="12">
        <v>46100.841812743056</v>
      </c>
    </row>
    <row r="414" ht="22.5" customHeight="1">
      <c r="B414" s="4" t="s">
        <v>17</v>
      </c>
      <c r="C414" s="4">
        <v>19.86</v>
      </c>
      <c r="D414" s="12">
        <v>46100.842503796295</v>
      </c>
    </row>
    <row r="415" ht="22.5" customHeight="1">
      <c r="B415" s="4" t="s">
        <v>17</v>
      </c>
      <c r="C415" s="4">
        <v>19.84</v>
      </c>
      <c r="D415" s="12">
        <v>46100.84318539352</v>
      </c>
    </row>
    <row r="416" ht="22.5" customHeight="1">
      <c r="B416" s="4" t="s">
        <v>17</v>
      </c>
      <c r="C416" s="4">
        <v>19.81</v>
      </c>
      <c r="D416" s="12">
        <v>46100.849349780096</v>
      </c>
    </row>
    <row r="417" ht="22.5" customHeight="1">
      <c r="B417" s="4" t="s">
        <v>17</v>
      </c>
      <c r="C417" s="4">
        <v>19.78</v>
      </c>
      <c r="D417" s="12">
        <v>46100.854826111114</v>
      </c>
    </row>
    <row r="418" ht="22.5" customHeight="1">
      <c r="B418" s="4" t="s">
        <v>17</v>
      </c>
      <c r="C418" s="4">
        <v>19.76</v>
      </c>
      <c r="D418" s="12">
        <v>46100.85962041667</v>
      </c>
    </row>
    <row r="419" ht="22.5" customHeight="1">
      <c r="B419" s="4" t="s">
        <v>17</v>
      </c>
      <c r="C419" s="4">
        <v>19.73</v>
      </c>
      <c r="D419" s="12">
        <v>46100.86441577546</v>
      </c>
    </row>
    <row r="420" ht="22.5" customHeight="1">
      <c r="B420" s="4" t="s">
        <v>17</v>
      </c>
      <c r="C420" s="4">
        <v>19.76</v>
      </c>
      <c r="D420" s="12">
        <v>46100.86510092593</v>
      </c>
    </row>
    <row r="421" ht="22.5" customHeight="1">
      <c r="B421" s="4" t="s">
        <v>17</v>
      </c>
      <c r="C421" s="4">
        <v>19.73</v>
      </c>
      <c r="D421" s="12">
        <v>46100.865785625</v>
      </c>
    </row>
    <row r="422" ht="22.5" customHeight="1">
      <c r="B422" s="4" t="s">
        <v>17</v>
      </c>
      <c r="C422" s="4">
        <v>19.7</v>
      </c>
      <c r="D422" s="12">
        <v>46100.87126627315</v>
      </c>
    </row>
    <row r="423" ht="22.5" customHeight="1">
      <c r="B423" s="4" t="s">
        <v>17</v>
      </c>
      <c r="C423" s="4">
        <v>19.68</v>
      </c>
      <c r="D423" s="12">
        <v>46100.87468759259</v>
      </c>
    </row>
    <row r="424" ht="22.5" customHeight="1">
      <c r="B424" s="4" t="s">
        <v>17</v>
      </c>
      <c r="C424" s="4">
        <v>19.65</v>
      </c>
      <c r="D424" s="12">
        <v>46100.87879662037</v>
      </c>
    </row>
    <row r="425" ht="22.5" customHeight="1">
      <c r="B425" s="4" t="s">
        <v>17</v>
      </c>
      <c r="C425" s="4">
        <v>19.62</v>
      </c>
      <c r="D425" s="12">
        <v>46100.882908506945</v>
      </c>
    </row>
    <row r="426" ht="22.5" customHeight="1">
      <c r="B426" s="4" t="s">
        <v>17</v>
      </c>
      <c r="C426" s="4">
        <v>19.6</v>
      </c>
      <c r="D426" s="12">
        <v>46100.88975045139</v>
      </c>
    </row>
    <row r="427" ht="22.5" customHeight="1">
      <c r="B427" s="4" t="s">
        <v>17</v>
      </c>
      <c r="C427" s="4">
        <v>19.62</v>
      </c>
      <c r="D427" s="12">
        <v>46100.89043642361</v>
      </c>
    </row>
    <row r="428" ht="22.5" customHeight="1">
      <c r="B428" s="4" t="s">
        <v>17</v>
      </c>
      <c r="C428" s="4">
        <v>19.6</v>
      </c>
      <c r="D428" s="12">
        <v>46100.89112851852</v>
      </c>
    </row>
    <row r="429" ht="22.5" customHeight="1">
      <c r="B429" s="4" t="s">
        <v>17</v>
      </c>
      <c r="C429" s="4">
        <v>19.57</v>
      </c>
      <c r="D429" s="12">
        <v>46100.89386269676</v>
      </c>
    </row>
    <row r="430" ht="22.5" customHeight="1">
      <c r="B430" s="4" t="s">
        <v>17</v>
      </c>
      <c r="C430" s="4">
        <v>19.54</v>
      </c>
      <c r="D430" s="12">
        <v>46100.89933984954</v>
      </c>
    </row>
    <row r="431" ht="22.5" customHeight="1">
      <c r="B431" s="4" t="s">
        <v>17</v>
      </c>
      <c r="C431" s="4">
        <v>19.52</v>
      </c>
      <c r="D431" s="12">
        <v>46100.905501423615</v>
      </c>
    </row>
    <row r="432" ht="22.5" customHeight="1">
      <c r="B432" s="4" t="s">
        <v>17</v>
      </c>
      <c r="C432" s="4">
        <v>19.54</v>
      </c>
      <c r="D432" s="12">
        <v>46100.90618871528</v>
      </c>
    </row>
    <row r="433" ht="22.5" customHeight="1">
      <c r="B433" s="4" t="s">
        <v>17</v>
      </c>
      <c r="C433" s="4" t="s">
        <v>9</v>
      </c>
      <c r="D433" s="12">
        <v>46100.91177403935</v>
      </c>
    </row>
    <row r="434" ht="22.5" customHeight="1">
      <c r="B434" s="4" t="s">
        <v>17</v>
      </c>
      <c r="C434" s="4">
        <v>19.49</v>
      </c>
      <c r="D434" s="12">
        <v>46100.92081179398</v>
      </c>
    </row>
    <row r="435" ht="22.5" customHeight="1">
      <c r="B435" s="4" t="s">
        <v>17</v>
      </c>
      <c r="C435" s="4">
        <v>19.52</v>
      </c>
      <c r="D435" s="12">
        <v>46100.95015952546</v>
      </c>
    </row>
    <row r="436" ht="22.5" customHeight="1">
      <c r="B436" s="4" t="s">
        <v>17</v>
      </c>
      <c r="C436" s="4">
        <v>19.54</v>
      </c>
      <c r="D436" s="12">
        <v>46100.97216734954</v>
      </c>
    </row>
    <row r="437" ht="22.5" customHeight="1">
      <c r="B437" s="4" t="s">
        <v>17</v>
      </c>
      <c r="C437" s="4">
        <v>19.57</v>
      </c>
      <c r="D437" s="12">
        <v>46100.986840833335</v>
      </c>
    </row>
    <row r="438" ht="22.5" customHeight="1">
      <c r="B438" s="4" t="s">
        <v>17</v>
      </c>
      <c r="C438" s="4">
        <v>19.54</v>
      </c>
      <c r="D438" s="12">
        <v>46101.00151149306</v>
      </c>
    </row>
    <row r="439" ht="22.5" customHeight="1">
      <c r="B439" s="4" t="s">
        <v>17</v>
      </c>
      <c r="C439" s="4">
        <v>19.57</v>
      </c>
      <c r="D439" s="12">
        <v>46101.00884873843</v>
      </c>
    </row>
    <row r="440" ht="22.5" customHeight="1">
      <c r="B440" s="4" t="s">
        <v>17</v>
      </c>
      <c r="C440" s="4">
        <v>19.54</v>
      </c>
      <c r="D440" s="12">
        <v>46101.01618733796</v>
      </c>
    </row>
    <row r="441" ht="22.5" customHeight="1">
      <c r="B441" s="4" t="s">
        <v>17</v>
      </c>
      <c r="C441" s="4">
        <v>19.52</v>
      </c>
      <c r="D441" s="12">
        <v>46101.0308528125</v>
      </c>
    </row>
    <row r="442" ht="22.5" customHeight="1">
      <c r="B442" s="4" t="s">
        <v>17</v>
      </c>
      <c r="C442" s="4">
        <v>19.46</v>
      </c>
      <c r="D442" s="12">
        <v>46101.04552341435</v>
      </c>
    </row>
    <row r="443" ht="22.5" customHeight="1">
      <c r="B443" s="4" t="s">
        <v>17</v>
      </c>
      <c r="C443" s="4">
        <v>19.43</v>
      </c>
      <c r="D443" s="12">
        <v>46101.05285821759</v>
      </c>
    </row>
    <row r="444" ht="22.5" customHeight="1">
      <c r="B444" s="4" t="s">
        <v>17</v>
      </c>
      <c r="C444" s="4">
        <v>19.41</v>
      </c>
      <c r="D444" s="12">
        <v>46101.06019833333</v>
      </c>
    </row>
    <row r="445" ht="22.5" customHeight="1">
      <c r="B445" s="4" t="s">
        <v>17</v>
      </c>
      <c r="C445" s="4">
        <v>19.35</v>
      </c>
      <c r="D445" s="12">
        <v>46101.06752380787</v>
      </c>
    </row>
    <row r="446" ht="22.5" customHeight="1">
      <c r="B446" s="4" t="s">
        <v>17</v>
      </c>
      <c r="C446" s="4">
        <v>19.33</v>
      </c>
      <c r="D446" s="12">
        <v>46101.07485942129</v>
      </c>
    </row>
    <row r="447" ht="22.5" customHeight="1">
      <c r="B447" s="4" t="s">
        <v>17</v>
      </c>
      <c r="C447" s="4">
        <v>19.29</v>
      </c>
      <c r="D447" s="12">
        <v>46101.08219185185</v>
      </c>
    </row>
    <row r="448" ht="22.5" customHeight="1">
      <c r="B448" s="4" t="s">
        <v>17</v>
      </c>
      <c r="C448" s="4">
        <v>19.25</v>
      </c>
      <c r="D448" s="12">
        <v>46101.08952446759</v>
      </c>
    </row>
    <row r="449" ht="22.5" customHeight="1">
      <c r="B449" s="4" t="s">
        <v>17</v>
      </c>
      <c r="C449" s="4">
        <v>19.19</v>
      </c>
      <c r="D449" s="12">
        <v>46101.09686553241</v>
      </c>
    </row>
    <row r="450" ht="22.5" customHeight="1">
      <c r="B450" s="4" t="s">
        <v>17</v>
      </c>
      <c r="C450" s="4">
        <v>19.17</v>
      </c>
      <c r="D450" s="12">
        <v>46101.10419113426</v>
      </c>
    </row>
    <row r="451" ht="22.5" customHeight="1">
      <c r="B451" s="4" t="s">
        <v>17</v>
      </c>
      <c r="C451" s="4">
        <v>19.11</v>
      </c>
      <c r="D451" s="12">
        <v>46101.111522893516</v>
      </c>
    </row>
    <row r="452" ht="22.5" customHeight="1">
      <c r="B452" s="4" t="s">
        <v>17</v>
      </c>
      <c r="C452" s="4">
        <v>19.09</v>
      </c>
      <c r="D452" s="12">
        <v>46101.118855775465</v>
      </c>
    </row>
    <row r="453" ht="22.5" customHeight="1">
      <c r="B453" s="4" t="s">
        <v>17</v>
      </c>
      <c r="C453" s="4">
        <v>19.03</v>
      </c>
      <c r="D453" s="12">
        <v>46101.126193055556</v>
      </c>
    </row>
    <row r="454" ht="22.5" customHeight="1">
      <c r="B454" s="4" t="s">
        <v>17</v>
      </c>
      <c r="C454" s="4">
        <v>18.94</v>
      </c>
      <c r="D454" s="12">
        <v>46101.13352018518</v>
      </c>
    </row>
    <row r="455" ht="22.5" customHeight="1">
      <c r="B455" s="4" t="s">
        <v>17</v>
      </c>
      <c r="C455" s="4">
        <v>18.9</v>
      </c>
      <c r="D455" s="12">
        <v>46101.14085497685</v>
      </c>
    </row>
    <row r="456" ht="22.5" customHeight="1">
      <c r="B456" s="4" t="s">
        <v>17</v>
      </c>
      <c r="C456" s="4">
        <v>18.86</v>
      </c>
      <c r="D456" s="12">
        <v>46101.148184212965</v>
      </c>
    </row>
    <row r="457" ht="22.5" customHeight="1">
      <c r="B457" s="4" t="s">
        <v>17</v>
      </c>
      <c r="C457" s="4">
        <v>18.82</v>
      </c>
      <c r="D457" s="12">
        <v>46101.15551846065</v>
      </c>
    </row>
    <row r="458" ht="22.5" customHeight="1">
      <c r="B458" s="4" t="s">
        <v>17</v>
      </c>
      <c r="C458" s="4">
        <v>18.77</v>
      </c>
      <c r="D458" s="12">
        <v>46101.16284875</v>
      </c>
    </row>
    <row r="459" ht="22.5" customHeight="1">
      <c r="B459" s="4" t="s">
        <v>17</v>
      </c>
      <c r="C459" s="4">
        <v>18.7</v>
      </c>
      <c r="D459" s="12">
        <v>46101.170180092595</v>
      </c>
    </row>
    <row r="460" ht="22.5" customHeight="1">
      <c r="B460" s="4" t="s">
        <v>17</v>
      </c>
      <c r="C460" s="4">
        <v>18.66</v>
      </c>
      <c r="D460" s="12">
        <v>46101.177527314816</v>
      </c>
    </row>
    <row r="461" ht="22.5" customHeight="1">
      <c r="B461" s="4" t="s">
        <v>17</v>
      </c>
      <c r="C461" s="4">
        <v>18.62</v>
      </c>
      <c r="D461" s="12">
        <v>46101.18484267361</v>
      </c>
    </row>
    <row r="462" ht="22.5" customHeight="1">
      <c r="B462" s="4" t="s">
        <v>17</v>
      </c>
      <c r="C462" s="4">
        <v>18.54</v>
      </c>
      <c r="D462" s="12">
        <v>46101.19217364583</v>
      </c>
    </row>
    <row r="463" ht="22.5" customHeight="1">
      <c r="B463" s="4" t="s">
        <v>17</v>
      </c>
      <c r="C463" s="4">
        <v>18.52</v>
      </c>
      <c r="D463" s="12">
        <v>46101.199504108794</v>
      </c>
    </row>
    <row r="464" ht="22.5" customHeight="1">
      <c r="B464" s="4" t="s">
        <v>17</v>
      </c>
      <c r="C464" s="4">
        <v>18.46</v>
      </c>
      <c r="D464" s="12">
        <v>46101.20683700231</v>
      </c>
    </row>
    <row r="465" ht="22.5" customHeight="1">
      <c r="B465" s="4" t="s">
        <v>17</v>
      </c>
      <c r="C465" s="4">
        <v>18.44</v>
      </c>
      <c r="D465" s="12">
        <v>46101.214164826386</v>
      </c>
    </row>
    <row r="466" ht="22.5" customHeight="1">
      <c r="B466" s="4" t="s">
        <v>17</v>
      </c>
      <c r="C466" s="4">
        <v>18.37</v>
      </c>
      <c r="D466" s="12">
        <v>46101.22149671296</v>
      </c>
    </row>
    <row r="467" ht="22.5" customHeight="1">
      <c r="B467" s="4" t="s">
        <v>17</v>
      </c>
      <c r="C467" s="4">
        <v>18.33</v>
      </c>
      <c r="D467" s="12">
        <v>46101.22882686343</v>
      </c>
    </row>
    <row r="468" ht="22.5" customHeight="1">
      <c r="B468" s="4" t="s">
        <v>17</v>
      </c>
      <c r="C468" s="4">
        <v>18.27</v>
      </c>
      <c r="D468" s="12">
        <v>46101.23615837963</v>
      </c>
    </row>
    <row r="469" ht="22.5" customHeight="1">
      <c r="B469" s="4" t="s">
        <v>17</v>
      </c>
      <c r="C469" s="4">
        <v>18.25</v>
      </c>
      <c r="D469" s="12">
        <v>46101.243486631945</v>
      </c>
    </row>
    <row r="470" ht="22.5" customHeight="1">
      <c r="B470" s="4" t="s">
        <v>17</v>
      </c>
      <c r="C470" s="4">
        <v>18.21</v>
      </c>
      <c r="D470" s="12">
        <v>46101.25081622685</v>
      </c>
    </row>
    <row r="471" ht="22.5" customHeight="1">
      <c r="B471" s="4" t="s">
        <v>17</v>
      </c>
      <c r="C471" s="4">
        <v>18.14</v>
      </c>
      <c r="D471" s="12">
        <v>46101.25815202546</v>
      </c>
    </row>
    <row r="472" ht="22.5" customHeight="1">
      <c r="B472" s="4" t="s">
        <v>17</v>
      </c>
      <c r="C472" s="4">
        <v>18.1</v>
      </c>
      <c r="D472" s="12">
        <v>46101.265475555556</v>
      </c>
    </row>
    <row r="473" ht="22.5" customHeight="1">
      <c r="B473" s="4" t="s">
        <v>17</v>
      </c>
      <c r="C473" s="4">
        <v>18.06</v>
      </c>
      <c r="D473" s="12">
        <v>46101.27280565972</v>
      </c>
    </row>
    <row r="474" ht="22.5" customHeight="1">
      <c r="B474" s="4" t="s">
        <v>17</v>
      </c>
      <c r="C474" s="4">
        <v>18.02</v>
      </c>
      <c r="D474" s="12">
        <v>46101.28013731482</v>
      </c>
    </row>
    <row r="475" ht="22.5" customHeight="1">
      <c r="B475" s="4" t="s">
        <v>17</v>
      </c>
      <c r="C475" s="4">
        <v>18.0</v>
      </c>
      <c r="D475" s="12">
        <v>46101.28747116898</v>
      </c>
    </row>
    <row r="476" ht="22.5" customHeight="1">
      <c r="B476" s="4" t="s">
        <v>17</v>
      </c>
      <c r="C476" s="4">
        <v>17.96</v>
      </c>
      <c r="D476" s="12">
        <v>46101.29479465278</v>
      </c>
    </row>
    <row r="477" ht="22.5" customHeight="1">
      <c r="B477" s="4" t="s">
        <v>17</v>
      </c>
      <c r="C477" s="4">
        <v>17.94</v>
      </c>
      <c r="D477" s="12">
        <v>46101.30212599537</v>
      </c>
    </row>
    <row r="478" ht="22.5" customHeight="1">
      <c r="B478" s="4" t="s">
        <v>17</v>
      </c>
      <c r="C478" s="4">
        <v>18.0</v>
      </c>
      <c r="D478" s="12">
        <v>46101.338780474536</v>
      </c>
    </row>
    <row r="479" ht="22.5" customHeight="1">
      <c r="B479" s="4" t="s">
        <v>17</v>
      </c>
      <c r="C479" s="4">
        <v>18.02</v>
      </c>
      <c r="D479" s="12">
        <v>46101.35344372685</v>
      </c>
    </row>
    <row r="480" ht="22.5" customHeight="1">
      <c r="B480" s="4" t="s">
        <v>17</v>
      </c>
      <c r="C480" s="4">
        <v>18.08</v>
      </c>
      <c r="D480" s="12">
        <v>46101.36077982639</v>
      </c>
    </row>
    <row r="481" ht="22.5" customHeight="1">
      <c r="B481" s="4" t="s">
        <v>17</v>
      </c>
      <c r="C481" s="4">
        <v>18.1</v>
      </c>
      <c r="D481" s="12">
        <v>46101.368117384256</v>
      </c>
    </row>
    <row r="482" ht="22.5" customHeight="1">
      <c r="B482" s="4" t="s">
        <v>17</v>
      </c>
      <c r="C482" s="4">
        <v>18.14</v>
      </c>
      <c r="D482" s="12">
        <v>46101.37544202546</v>
      </c>
    </row>
    <row r="483" ht="22.5" customHeight="1">
      <c r="B483" s="4" t="s">
        <v>17</v>
      </c>
      <c r="C483" s="4">
        <v>18.21</v>
      </c>
      <c r="D483" s="12">
        <v>46101.38278049768</v>
      </c>
    </row>
    <row r="484" ht="22.5" customHeight="1">
      <c r="B484" s="4" t="s">
        <v>17</v>
      </c>
      <c r="C484" s="4">
        <v>18.25</v>
      </c>
      <c r="D484" s="12">
        <v>46101.390112141205</v>
      </c>
    </row>
    <row r="485" ht="22.5" customHeight="1">
      <c r="B485" s="4" t="s">
        <v>17</v>
      </c>
      <c r="C485" s="4">
        <v>18.29</v>
      </c>
      <c r="D485" s="12">
        <v>46101.39744483796</v>
      </c>
    </row>
    <row r="486" ht="22.5" customHeight="1">
      <c r="B486" s="4" t="s">
        <v>17</v>
      </c>
      <c r="C486" s="4">
        <v>18.35</v>
      </c>
      <c r="D486" s="12">
        <v>46101.40477907407</v>
      </c>
    </row>
    <row r="487" ht="22.5" customHeight="1">
      <c r="B487" s="4" t="s">
        <v>17</v>
      </c>
      <c r="C487" s="4">
        <v>18.41</v>
      </c>
      <c r="D487" s="12">
        <v>46101.412111631944</v>
      </c>
    </row>
    <row r="488" ht="22.5" customHeight="1">
      <c r="B488" s="4" t="s">
        <v>17</v>
      </c>
      <c r="C488" s="4">
        <v>18.49</v>
      </c>
      <c r="D488" s="12">
        <v>46101.41944673611</v>
      </c>
    </row>
    <row r="489" ht="22.5" customHeight="1">
      <c r="B489" s="4" t="s">
        <v>17</v>
      </c>
      <c r="C489" s="4">
        <v>18.52</v>
      </c>
      <c r="D489" s="12">
        <v>46101.426783414354</v>
      </c>
    </row>
    <row r="490" ht="22.5" customHeight="1">
      <c r="B490" s="4" t="s">
        <v>17</v>
      </c>
      <c r="C490" s="4">
        <v>18.58</v>
      </c>
      <c r="D490" s="12">
        <v>46101.43411474537</v>
      </c>
    </row>
    <row r="491" ht="22.5" customHeight="1">
      <c r="B491" s="4" t="s">
        <v>17</v>
      </c>
      <c r="C491" s="4">
        <v>18.66</v>
      </c>
      <c r="D491" s="12">
        <v>46101.44145097222</v>
      </c>
    </row>
    <row r="492" ht="22.5" customHeight="1">
      <c r="B492" s="4" t="s">
        <v>17</v>
      </c>
      <c r="C492" s="4">
        <v>18.68</v>
      </c>
      <c r="D492" s="12">
        <v>46101.448787291665</v>
      </c>
    </row>
    <row r="493" ht="22.5" customHeight="1">
      <c r="B493" s="4" t="s">
        <v>17</v>
      </c>
      <c r="C493" s="4">
        <v>18.77</v>
      </c>
      <c r="D493" s="12">
        <v>46101.45612390046</v>
      </c>
    </row>
    <row r="494" ht="22.5" customHeight="1">
      <c r="B494" s="4" t="s">
        <v>17</v>
      </c>
      <c r="C494" s="4">
        <v>18.85</v>
      </c>
      <c r="D494" s="12">
        <v>46101.463463541666</v>
      </c>
    </row>
    <row r="495" ht="22.5" customHeight="1">
      <c r="B495" s="4" t="s">
        <v>17</v>
      </c>
      <c r="C495" s="4">
        <v>18.93</v>
      </c>
      <c r="D495" s="12">
        <v>46101.47079975694</v>
      </c>
    </row>
    <row r="496" ht="22.5" customHeight="1">
      <c r="B496" s="4" t="s">
        <v>17</v>
      </c>
      <c r="C496" s="4">
        <v>19.03</v>
      </c>
      <c r="D496" s="12">
        <v>46101.478134895835</v>
      </c>
    </row>
    <row r="497" ht="22.5" customHeight="1">
      <c r="B497" s="4" t="s">
        <v>17</v>
      </c>
      <c r="C497" s="4">
        <v>19.11</v>
      </c>
      <c r="D497" s="12">
        <v>46101.48547358796</v>
      </c>
    </row>
    <row r="498" ht="22.5" customHeight="1">
      <c r="B498" s="4" t="s">
        <v>17</v>
      </c>
      <c r="C498" s="4">
        <v>19.17</v>
      </c>
      <c r="D498" s="12">
        <v>46101.492809027775</v>
      </c>
    </row>
    <row r="499" ht="22.5" customHeight="1">
      <c r="B499" s="4" t="s">
        <v>17</v>
      </c>
      <c r="C499" s="4">
        <v>19.21</v>
      </c>
      <c r="D499" s="12">
        <v>46101.50015097222</v>
      </c>
    </row>
    <row r="500" ht="22.5" customHeight="1">
      <c r="B500" s="4" t="s">
        <v>17</v>
      </c>
      <c r="C500" s="4">
        <v>19.29</v>
      </c>
      <c r="D500" s="12">
        <v>46101.507480416665</v>
      </c>
    </row>
    <row r="501" ht="22.5" customHeight="1">
      <c r="B501" s="4" t="s">
        <v>17</v>
      </c>
      <c r="C501" s="4">
        <v>19.33</v>
      </c>
      <c r="D501" s="12">
        <v>46101.514815636576</v>
      </c>
    </row>
    <row r="502" ht="22.5" customHeight="1">
      <c r="B502" s="4" t="s">
        <v>17</v>
      </c>
      <c r="C502" s="4">
        <v>19.41</v>
      </c>
      <c r="D502" s="12">
        <v>46101.52215290509</v>
      </c>
    </row>
    <row r="503" ht="22.5" customHeight="1">
      <c r="B503" s="4" t="s">
        <v>17</v>
      </c>
      <c r="C503" s="4">
        <v>19.43</v>
      </c>
      <c r="D503" s="12">
        <v>46101.52949277778</v>
      </c>
    </row>
    <row r="504" ht="22.5" customHeight="1">
      <c r="B504" s="4" t="s">
        <v>17</v>
      </c>
      <c r="C504" s="4">
        <v>19.49</v>
      </c>
      <c r="D504" s="12">
        <v>46101.53682666667</v>
      </c>
    </row>
    <row r="505" ht="22.5" customHeight="1">
      <c r="B505" s="4" t="s">
        <v>17</v>
      </c>
      <c r="C505" s="4">
        <v>19.54</v>
      </c>
      <c r="D505" s="12">
        <v>46101.54416297454</v>
      </c>
    </row>
    <row r="506" ht="22.5" customHeight="1">
      <c r="B506" s="4" t="s">
        <v>17</v>
      </c>
      <c r="C506" s="4">
        <v>19.57</v>
      </c>
      <c r="D506" s="12">
        <v>46101.55150166667</v>
      </c>
    </row>
    <row r="507" ht="22.5" customHeight="1">
      <c r="B507" s="4" t="s">
        <v>17</v>
      </c>
      <c r="C507" s="4">
        <v>19.62</v>
      </c>
      <c r="D507" s="12">
        <v>46101.55883583333</v>
      </c>
    </row>
    <row r="508" ht="22.5" customHeight="1">
      <c r="B508" s="4" t="s">
        <v>17</v>
      </c>
      <c r="C508" s="4">
        <v>19.65</v>
      </c>
      <c r="D508" s="12">
        <v>46101.566173680556</v>
      </c>
    </row>
    <row r="509" ht="22.5" customHeight="1">
      <c r="B509" s="4" t="s">
        <v>17</v>
      </c>
      <c r="C509" s="4">
        <v>19.7</v>
      </c>
      <c r="D509" s="12">
        <v>46101.57351070602</v>
      </c>
    </row>
    <row r="510" ht="22.5" customHeight="1">
      <c r="B510" s="4" t="s">
        <v>17</v>
      </c>
      <c r="C510" s="4">
        <v>19.73</v>
      </c>
      <c r="D510" s="12">
        <v>46101.58085288195</v>
      </c>
    </row>
    <row r="511" ht="22.5" customHeight="1">
      <c r="B511" s="4" t="s">
        <v>17</v>
      </c>
      <c r="C511" s="4">
        <v>19.76</v>
      </c>
      <c r="D511" s="12">
        <v>46101.58818690972</v>
      </c>
    </row>
    <row r="512" ht="22.5" customHeight="1">
      <c r="B512" s="4" t="s">
        <v>17</v>
      </c>
      <c r="C512" s="4">
        <v>19.81</v>
      </c>
      <c r="D512" s="12">
        <v>46101.59552333333</v>
      </c>
    </row>
    <row r="513" ht="22.5" customHeight="1">
      <c r="B513" s="4" t="s">
        <v>17</v>
      </c>
      <c r="C513" s="4">
        <v>19.84</v>
      </c>
      <c r="D513" s="12">
        <v>46101.60285887731</v>
      </c>
    </row>
    <row r="514" ht="22.5" customHeight="1">
      <c r="B514" s="4" t="s">
        <v>17</v>
      </c>
      <c r="C514" s="4">
        <v>19.89</v>
      </c>
      <c r="D514" s="12">
        <v>46101.61019935185</v>
      </c>
    </row>
    <row r="515" ht="22.5" customHeight="1">
      <c r="B515" s="4" t="s">
        <v>17</v>
      </c>
      <c r="C515" s="4">
        <v>19.94</v>
      </c>
      <c r="D515" s="12">
        <v>46101.61754924768</v>
      </c>
    </row>
    <row r="516" ht="22.5" customHeight="1">
      <c r="B516" s="4" t="s">
        <v>17</v>
      </c>
      <c r="C516" s="4">
        <v>19.96</v>
      </c>
      <c r="D516" s="12">
        <v>46101.62487258102</v>
      </c>
    </row>
    <row r="517" ht="22.5" customHeight="1">
      <c r="B517" s="4" t="s">
        <v>17</v>
      </c>
      <c r="C517" s="4">
        <v>20.0</v>
      </c>
      <c r="D517" s="12">
        <v>46101.632210868054</v>
      </c>
    </row>
    <row r="518" ht="22.5" customHeight="1">
      <c r="B518" s="4" t="s">
        <v>17</v>
      </c>
      <c r="C518" s="4">
        <v>20.02</v>
      </c>
      <c r="D518" s="12">
        <v>46101.6395475463</v>
      </c>
    </row>
    <row r="519" ht="22.5" customHeight="1">
      <c r="B519" s="4" t="s">
        <v>17</v>
      </c>
      <c r="C519" s="4">
        <v>20.04</v>
      </c>
      <c r="D519" s="12">
        <v>46101.64688923611</v>
      </c>
    </row>
    <row r="520" ht="22.5" customHeight="1">
      <c r="B520" s="4" t="s">
        <v>17</v>
      </c>
      <c r="C520" s="4">
        <v>20.08</v>
      </c>
      <c r="D520" s="12">
        <v>46101.654227280094</v>
      </c>
    </row>
    <row r="521" ht="22.5" customHeight="1">
      <c r="B521" s="4" t="s">
        <v>17</v>
      </c>
      <c r="C521" s="4">
        <v>20.12</v>
      </c>
      <c r="D521" s="12">
        <v>46101.66156555556</v>
      </c>
    </row>
    <row r="522" ht="22.5" customHeight="1">
      <c r="B522" s="4" t="s">
        <v>17</v>
      </c>
      <c r="C522" s="4">
        <v>20.16</v>
      </c>
      <c r="D522" s="12">
        <v>46101.66890539352</v>
      </c>
    </row>
    <row r="523" ht="22.5" customHeight="1">
      <c r="B523" s="4" t="s">
        <v>17</v>
      </c>
      <c r="C523" s="4">
        <v>20.2</v>
      </c>
      <c r="D523" s="12">
        <v>46101.67624530093</v>
      </c>
    </row>
    <row r="524" ht="22.5" customHeight="1">
      <c r="B524" s="4" t="s">
        <v>17</v>
      </c>
      <c r="C524" s="4">
        <v>20.26</v>
      </c>
      <c r="D524" s="12">
        <v>46101.68358390046</v>
      </c>
    </row>
    <row r="525" ht="22.5" customHeight="1">
      <c r="B525" s="4" t="s">
        <v>17</v>
      </c>
      <c r="C525" s="4">
        <v>20.32</v>
      </c>
      <c r="D525" s="12">
        <v>46101.69826607639</v>
      </c>
    </row>
    <row r="526" ht="22.5" customHeight="1">
      <c r="B526" s="4" t="s">
        <v>17</v>
      </c>
      <c r="C526" s="4">
        <v>20.34</v>
      </c>
      <c r="D526" s="12">
        <v>46101.705607083335</v>
      </c>
    </row>
    <row r="527" ht="22.5" customHeight="1">
      <c r="B527" s="4" t="s">
        <v>17</v>
      </c>
      <c r="C527" s="4">
        <v>20.32</v>
      </c>
      <c r="D527" s="12">
        <v>46101.72761613426</v>
      </c>
    </row>
    <row r="528" ht="22.5" customHeight="1">
      <c r="B528" s="4" t="s">
        <v>17</v>
      </c>
      <c r="C528" s="4">
        <v>20.28</v>
      </c>
      <c r="D528" s="12">
        <v>46101.73495119213</v>
      </c>
    </row>
    <row r="529" ht="22.5" customHeight="1">
      <c r="B529" s="4" t="s">
        <v>17</v>
      </c>
      <c r="C529" s="4">
        <v>20.26</v>
      </c>
      <c r="D529" s="12">
        <v>46101.74228875</v>
      </c>
    </row>
    <row r="530" ht="22.5" customHeight="1">
      <c r="B530" s="4" t="s">
        <v>17</v>
      </c>
      <c r="C530" s="4">
        <v>20.24</v>
      </c>
      <c r="D530" s="12">
        <v>46101.749625648146</v>
      </c>
    </row>
    <row r="531" ht="22.5" customHeight="1">
      <c r="B531" s="4" t="s">
        <v>17</v>
      </c>
      <c r="C531" s="4">
        <v>20.18</v>
      </c>
      <c r="D531" s="12">
        <v>46101.75696019676</v>
      </c>
    </row>
    <row r="532" ht="22.5" customHeight="1">
      <c r="B532" s="4" t="s">
        <v>17</v>
      </c>
      <c r="C532" s="4">
        <v>20.16</v>
      </c>
      <c r="D532" s="12">
        <v>46101.76430386574</v>
      </c>
    </row>
    <row r="533" ht="22.5" customHeight="1">
      <c r="B533" s="4" t="s">
        <v>17</v>
      </c>
      <c r="C533" s="4">
        <v>20.12</v>
      </c>
      <c r="D533" s="12">
        <v>46101.77163398148</v>
      </c>
    </row>
    <row r="534" ht="22.5" customHeight="1">
      <c r="B534" s="4" t="s">
        <v>17</v>
      </c>
      <c r="C534" s="4">
        <v>20.08</v>
      </c>
      <c r="D534" s="12">
        <v>46101.7789703125</v>
      </c>
    </row>
    <row r="535" ht="22.5" customHeight="1">
      <c r="B535" s="4" t="s">
        <v>17</v>
      </c>
      <c r="C535" s="4">
        <v>20.04</v>
      </c>
      <c r="D535" s="12">
        <v>46101.78630565972</v>
      </c>
    </row>
    <row r="536" ht="22.5" customHeight="1">
      <c r="B536" s="4" t="s">
        <v>17</v>
      </c>
      <c r="C536" s="4">
        <v>20.02</v>
      </c>
      <c r="D536" s="12">
        <v>46101.800979733795</v>
      </c>
    </row>
    <row r="537" ht="22.5" customHeight="1">
      <c r="B537" s="4" t="s">
        <v>17</v>
      </c>
      <c r="C537" s="4">
        <v>19.96</v>
      </c>
      <c r="D537" s="12">
        <v>46101.808331099535</v>
      </c>
    </row>
    <row r="538" ht="22.5" customHeight="1">
      <c r="B538" s="4" t="s">
        <v>17</v>
      </c>
      <c r="C538" s="4">
        <v>19.94</v>
      </c>
      <c r="D538" s="12">
        <v>46101.82298755787</v>
      </c>
    </row>
    <row r="539" ht="22.5" customHeight="1">
      <c r="B539" s="4" t="s">
        <v>17</v>
      </c>
      <c r="C539" s="4">
        <v>19.92</v>
      </c>
      <c r="D539" s="12">
        <v>46101.83766221065</v>
      </c>
    </row>
    <row r="540" ht="22.5" customHeight="1">
      <c r="B540" s="4" t="s">
        <v>17</v>
      </c>
      <c r="C540" s="4">
        <v>19.89</v>
      </c>
      <c r="D540" s="12">
        <v>46101.84499846065</v>
      </c>
    </row>
    <row r="541" ht="22.5" customHeight="1">
      <c r="B541" s="4" t="s">
        <v>17</v>
      </c>
      <c r="C541" s="4">
        <v>19.86</v>
      </c>
      <c r="D541" s="12">
        <v>46101.85233234954</v>
      </c>
    </row>
    <row r="542" ht="22.5" customHeight="1">
      <c r="B542" s="4" t="s">
        <v>17</v>
      </c>
      <c r="C542" s="4">
        <v>19.84</v>
      </c>
      <c r="D542" s="12">
        <v>46101.86700396991</v>
      </c>
    </row>
    <row r="543" ht="22.5" customHeight="1">
      <c r="B543" s="4" t="s">
        <v>17</v>
      </c>
      <c r="C543" s="4">
        <v>19.86</v>
      </c>
      <c r="D543" s="12">
        <v>46101.87434138889</v>
      </c>
    </row>
    <row r="544" ht="22.5" customHeight="1">
      <c r="B544" s="4" t="s">
        <v>17</v>
      </c>
      <c r="C544" s="4">
        <v>19.84</v>
      </c>
      <c r="D544" s="12">
        <v>46101.88901284722</v>
      </c>
    </row>
    <row r="545" ht="22.5" customHeight="1">
      <c r="B545" s="4" t="s">
        <v>17</v>
      </c>
      <c r="C545" s="4">
        <v>19.86</v>
      </c>
      <c r="D545" s="12">
        <v>46101.89635152778</v>
      </c>
    </row>
    <row r="546" ht="22.5" customHeight="1">
      <c r="B546" s="4" t="s">
        <v>17</v>
      </c>
      <c r="C546" s="4">
        <v>19.84</v>
      </c>
      <c r="D546" s="12">
        <v>46101.918361909724</v>
      </c>
    </row>
    <row r="547" ht="22.5" customHeight="1">
      <c r="B547" s="4" t="s">
        <v>17</v>
      </c>
      <c r="C547" s="4">
        <v>19.86</v>
      </c>
      <c r="D547" s="12">
        <v>46101.99172052083</v>
      </c>
    </row>
    <row r="548" ht="22.5" customHeight="1">
      <c r="B548" s="4" t="s">
        <v>17</v>
      </c>
      <c r="C548" s="4">
        <v>19.84</v>
      </c>
      <c r="D548" s="12">
        <v>46102.00639628472</v>
      </c>
    </row>
    <row r="549" ht="22.5" customHeight="1">
      <c r="B549" s="4" t="s">
        <v>17</v>
      </c>
      <c r="C549" s="4">
        <v>19.81</v>
      </c>
      <c r="D549" s="12">
        <v>46102.0137271412</v>
      </c>
    </row>
    <row r="550" ht="22.5" customHeight="1">
      <c r="B550" s="4" t="s">
        <v>17</v>
      </c>
      <c r="C550" s="4">
        <v>19.78</v>
      </c>
      <c r="D550" s="12">
        <v>46102.0210618287</v>
      </c>
    </row>
    <row r="551" ht="22.5" customHeight="1">
      <c r="B551" s="4" t="s">
        <v>17</v>
      </c>
      <c r="C551" s="4">
        <v>19.73</v>
      </c>
      <c r="D551" s="12">
        <v>46102.02840688657</v>
      </c>
    </row>
    <row r="552" ht="22.5" customHeight="1">
      <c r="B552" s="4" t="s">
        <v>17</v>
      </c>
      <c r="C552" s="4">
        <v>19.7</v>
      </c>
      <c r="D552" s="12">
        <v>46102.035730902775</v>
      </c>
    </row>
    <row r="553" ht="22.5" customHeight="1">
      <c r="B553" s="4" t="s">
        <v>17</v>
      </c>
      <c r="C553" s="4">
        <v>19.65</v>
      </c>
      <c r="D553" s="12">
        <v>46102.04306846065</v>
      </c>
    </row>
    <row r="554" ht="22.5" customHeight="1">
      <c r="B554" s="4" t="s">
        <v>17</v>
      </c>
      <c r="C554" s="4">
        <v>19.6</v>
      </c>
      <c r="D554" s="12">
        <v>46102.05039923611</v>
      </c>
    </row>
    <row r="555" ht="22.5" customHeight="1">
      <c r="B555" s="4" t="s">
        <v>17</v>
      </c>
      <c r="C555" s="4">
        <v>19.54</v>
      </c>
      <c r="D555" s="12">
        <v>46102.05773431713</v>
      </c>
    </row>
    <row r="556" ht="22.5" customHeight="1">
      <c r="B556" s="4" t="s">
        <v>17</v>
      </c>
      <c r="C556" s="4">
        <v>19.52</v>
      </c>
      <c r="D556" s="12">
        <v>46102.06506707176</v>
      </c>
    </row>
    <row r="557" ht="22.5" customHeight="1">
      <c r="B557" s="4" t="s">
        <v>17</v>
      </c>
      <c r="C557" s="4">
        <v>19.41</v>
      </c>
      <c r="D557" s="12">
        <v>46102.07239947917</v>
      </c>
    </row>
    <row r="558" ht="22.5" customHeight="1">
      <c r="B558" s="4" t="s">
        <v>17</v>
      </c>
      <c r="C558" s="4">
        <v>19.35</v>
      </c>
      <c r="D558" s="12">
        <v>46102.07973121528</v>
      </c>
    </row>
    <row r="559" ht="22.5" customHeight="1">
      <c r="B559" s="4" t="s">
        <v>17</v>
      </c>
      <c r="C559" s="4">
        <v>19.29</v>
      </c>
      <c r="D559" s="12">
        <v>46102.08706381945</v>
      </c>
    </row>
    <row r="560" ht="22.5" customHeight="1">
      <c r="B560" s="4" t="s">
        <v>17</v>
      </c>
      <c r="C560" s="4">
        <v>19.21</v>
      </c>
      <c r="D560" s="12">
        <v>46102.09439896991</v>
      </c>
    </row>
    <row r="561" ht="22.5" customHeight="1">
      <c r="B561" s="4" t="s">
        <v>17</v>
      </c>
      <c r="C561" s="4">
        <v>19.17</v>
      </c>
      <c r="D561" s="12">
        <v>46102.101729409726</v>
      </c>
    </row>
    <row r="562" ht="22.5" customHeight="1">
      <c r="B562" s="4" t="s">
        <v>17</v>
      </c>
      <c r="C562" s="4">
        <v>19.11</v>
      </c>
      <c r="D562" s="12">
        <v>46102.109060925926</v>
      </c>
    </row>
    <row r="563" ht="22.5" customHeight="1">
      <c r="B563" s="4" t="s">
        <v>17</v>
      </c>
      <c r="C563" s="4">
        <v>19.03</v>
      </c>
      <c r="D563" s="12">
        <v>46102.116392488424</v>
      </c>
    </row>
    <row r="564" ht="22.5" customHeight="1">
      <c r="B564" s="4" t="s">
        <v>17</v>
      </c>
      <c r="C564" s="4">
        <v>18.98</v>
      </c>
      <c r="D564" s="12">
        <v>46102.1237230787</v>
      </c>
    </row>
    <row r="565" ht="22.5" customHeight="1">
      <c r="B565" s="4" t="s">
        <v>17</v>
      </c>
      <c r="C565" s="4">
        <v>18.9</v>
      </c>
      <c r="D565" s="12">
        <v>46102.13105577546</v>
      </c>
    </row>
    <row r="566" ht="22.5" customHeight="1">
      <c r="B566" s="4" t="s">
        <v>17</v>
      </c>
      <c r="C566" s="4">
        <v>18.82</v>
      </c>
      <c r="D566" s="12">
        <v>46102.1383884375</v>
      </c>
    </row>
    <row r="567" ht="22.5" customHeight="1">
      <c r="B567" s="4" t="s">
        <v>17</v>
      </c>
      <c r="C567" s="4">
        <v>18.77</v>
      </c>
      <c r="D567" s="12">
        <v>46102.1457165625</v>
      </c>
    </row>
    <row r="568" ht="22.5" customHeight="1">
      <c r="B568" s="4" t="s">
        <v>17</v>
      </c>
      <c r="C568" s="4">
        <v>18.68</v>
      </c>
      <c r="D568" s="12">
        <v>46102.15304722222</v>
      </c>
    </row>
    <row r="569" ht="22.5" customHeight="1">
      <c r="B569" s="4" t="s">
        <v>17</v>
      </c>
      <c r="C569" s="4">
        <v>18.66</v>
      </c>
      <c r="D569" s="12">
        <v>46102.16037960648</v>
      </c>
    </row>
    <row r="570" ht="22.5" customHeight="1">
      <c r="B570" s="4" t="s">
        <v>17</v>
      </c>
      <c r="C570" s="4">
        <v>18.54</v>
      </c>
      <c r="D570" s="12">
        <v>46102.16770769676</v>
      </c>
    </row>
    <row r="571" ht="22.5" customHeight="1">
      <c r="B571" s="4" t="s">
        <v>17</v>
      </c>
      <c r="C571" s="4">
        <v>18.52</v>
      </c>
      <c r="D571" s="12">
        <v>46102.175037395835</v>
      </c>
    </row>
    <row r="572" ht="22.5" customHeight="1">
      <c r="B572" s="4" t="s">
        <v>17</v>
      </c>
      <c r="C572" s="4">
        <v>18.44</v>
      </c>
      <c r="D572" s="12">
        <v>46102.182369814815</v>
      </c>
    </row>
    <row r="573" ht="22.5" customHeight="1">
      <c r="B573" s="4" t="s">
        <v>17</v>
      </c>
      <c r="C573" s="4">
        <v>18.35</v>
      </c>
      <c r="D573" s="12">
        <v>46102.189697650465</v>
      </c>
    </row>
    <row r="574" ht="22.5" customHeight="1">
      <c r="B574" s="4" t="s">
        <v>17</v>
      </c>
      <c r="C574" s="4">
        <v>18.29</v>
      </c>
      <c r="D574" s="12">
        <v>46102.19702685185</v>
      </c>
    </row>
    <row r="575" ht="22.5" customHeight="1">
      <c r="B575" s="4" t="s">
        <v>17</v>
      </c>
      <c r="C575" s="4">
        <v>18.27</v>
      </c>
      <c r="D575" s="12">
        <v>46102.20435734954</v>
      </c>
    </row>
    <row r="576" ht="22.5" customHeight="1">
      <c r="B576" s="4" t="s">
        <v>17</v>
      </c>
      <c r="C576" s="4">
        <v>18.25</v>
      </c>
      <c r="D576" s="12">
        <v>46102.21168704861</v>
      </c>
    </row>
    <row r="577" ht="22.5" customHeight="1">
      <c r="B577" s="4" t="s">
        <v>17</v>
      </c>
      <c r="C577" s="4">
        <v>18.21</v>
      </c>
      <c r="D577" s="12">
        <v>46102.21901842592</v>
      </c>
    </row>
    <row r="578" ht="22.5" customHeight="1">
      <c r="B578" s="4" t="s">
        <v>17</v>
      </c>
      <c r="C578" s="4">
        <v>18.17</v>
      </c>
      <c r="D578" s="12">
        <v>46102.22634858796</v>
      </c>
    </row>
    <row r="579" ht="22.5" customHeight="1">
      <c r="B579" s="4" t="s">
        <v>17</v>
      </c>
      <c r="C579" s="4">
        <v>18.14</v>
      </c>
      <c r="D579" s="12">
        <v>46102.24102228009</v>
      </c>
    </row>
    <row r="580" ht="22.5" customHeight="1">
      <c r="B580" s="4" t="s">
        <v>17</v>
      </c>
      <c r="C580" s="4">
        <v>18.17</v>
      </c>
      <c r="D580" s="12">
        <v>46102.255672858795</v>
      </c>
    </row>
    <row r="581" ht="22.5" customHeight="1">
      <c r="B581" s="4" t="s">
        <v>17</v>
      </c>
      <c r="C581" s="4">
        <v>18.21</v>
      </c>
      <c r="D581" s="12">
        <v>46102.270334409724</v>
      </c>
    </row>
    <row r="582" ht="22.5" customHeight="1">
      <c r="B582" s="4" t="s">
        <v>17</v>
      </c>
      <c r="C582" s="4">
        <v>18.25</v>
      </c>
      <c r="D582" s="12">
        <v>46102.28499988426</v>
      </c>
    </row>
    <row r="583" ht="22.5" customHeight="1">
      <c r="B583" s="4" t="s">
        <v>17</v>
      </c>
      <c r="C583" s="4">
        <v>18.27</v>
      </c>
      <c r="D583" s="12">
        <v>46102.29233542824</v>
      </c>
    </row>
    <row r="584" ht="22.5" customHeight="1">
      <c r="B584" s="4" t="s">
        <v>17</v>
      </c>
      <c r="C584" s="4">
        <v>18.29</v>
      </c>
      <c r="D584" s="12">
        <v>46102.2996646875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88"/>
  </cols>
  <sheetData>
    <row r="4">
      <c r="B4" s="3" t="s">
        <v>18</v>
      </c>
      <c r="C4" s="3">
        <v>900.0</v>
      </c>
    </row>
    <row r="5">
      <c r="B5" s="3" t="s">
        <v>19</v>
      </c>
      <c r="C5" s="3">
        <v>0.05</v>
      </c>
    </row>
    <row r="9" ht="22.5" customHeight="1">
      <c r="B9" s="1" t="s">
        <v>20</v>
      </c>
      <c r="C9" s="1" t="s">
        <v>21</v>
      </c>
      <c r="D9" s="13" t="s">
        <v>22</v>
      </c>
    </row>
    <row r="10" ht="22.5" customHeight="1">
      <c r="B10" s="4">
        <v>0.0</v>
      </c>
      <c r="C10" s="14">
        <v>6.26183486238533</v>
      </c>
      <c r="D10" s="14">
        <f t="shared" ref="D10:D18" si="1">(C$4 * C$5 + B10) / (C$4 + B10) *100</f>
        <v>5</v>
      </c>
    </row>
    <row r="11" ht="22.5" customHeight="1">
      <c r="B11" s="4">
        <v>10.0</v>
      </c>
      <c r="C11" s="14">
        <v>5.531428571428571</v>
      </c>
      <c r="D11" s="14">
        <f t="shared" si="1"/>
        <v>6.043956044</v>
      </c>
    </row>
    <row r="12" ht="22.5" customHeight="1">
      <c r="B12" s="4">
        <v>20.0</v>
      </c>
      <c r="C12" s="14">
        <v>7.1221138211382105</v>
      </c>
      <c r="D12" s="14">
        <f t="shared" si="1"/>
        <v>7.065217391</v>
      </c>
    </row>
    <row r="13" ht="22.5" customHeight="1">
      <c r="B13" s="4">
        <v>32.0</v>
      </c>
      <c r="C13" s="14">
        <v>10.274131944444445</v>
      </c>
      <c r="D13" s="14">
        <f t="shared" si="1"/>
        <v>8.261802575</v>
      </c>
    </row>
    <row r="14" ht="22.5" customHeight="1">
      <c r="B14" s="4">
        <v>43.0</v>
      </c>
      <c r="C14" s="14">
        <v>11.965199999999998</v>
      </c>
      <c r="D14" s="14">
        <f t="shared" si="1"/>
        <v>9.331919406</v>
      </c>
    </row>
    <row r="15" ht="22.5" customHeight="1">
      <c r="B15" s="4">
        <v>43.0</v>
      </c>
      <c r="C15" s="14">
        <v>12.320737704918026</v>
      </c>
      <c r="D15" s="14">
        <f t="shared" si="1"/>
        <v>9.331919406</v>
      </c>
    </row>
    <row r="16" ht="22.5" customHeight="1">
      <c r="B16" s="4">
        <v>54.0</v>
      </c>
      <c r="C16" s="14">
        <v>13.135</v>
      </c>
      <c r="D16" s="14">
        <f t="shared" si="1"/>
        <v>10.37735849</v>
      </c>
    </row>
    <row r="17" ht="22.5" customHeight="1">
      <c r="B17" s="4">
        <v>54.0</v>
      </c>
      <c r="C17" s="14">
        <v>13.740416666666668</v>
      </c>
      <c r="D17" s="14">
        <f t="shared" si="1"/>
        <v>10.37735849</v>
      </c>
    </row>
    <row r="18" ht="22.5" customHeight="1">
      <c r="B18" s="4">
        <v>66.0</v>
      </c>
      <c r="C18" s="14">
        <v>15.396037735849061</v>
      </c>
      <c r="D18" s="14">
        <f t="shared" si="1"/>
        <v>11.49068323</v>
      </c>
    </row>
  </sheetData>
  <dataValidations>
    <dataValidation type="custom" allowBlank="1" showDropDown="1" sqref="C10:D18">
      <formula1>AND(ISNUMBER(C10),(NOT(OR(NOT(ISERROR(DATEVALUE(C10))), AND(ISNUMBER(C10), LEFT(CELL("format", C10))="D")))))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3" t="s">
        <v>23</v>
      </c>
      <c r="C2" s="3"/>
      <c r="D2" s="3"/>
      <c r="E2" s="3"/>
    </row>
    <row r="3">
      <c r="B3" s="3" t="s">
        <v>24</v>
      </c>
      <c r="C3" s="3" t="s">
        <v>25</v>
      </c>
      <c r="D3" s="3"/>
      <c r="E3" s="3"/>
    </row>
    <row r="4">
      <c r="B4" s="3">
        <v>3.0</v>
      </c>
      <c r="C4" s="3">
        <v>92.3</v>
      </c>
      <c r="D4" s="3"/>
      <c r="E4" s="3"/>
    </row>
    <row r="5">
      <c r="B5" s="3" t="s">
        <v>26</v>
      </c>
      <c r="C5" s="3"/>
      <c r="D5" s="3"/>
      <c r="E5" s="3"/>
    </row>
    <row r="6">
      <c r="B6" s="3" t="s">
        <v>27</v>
      </c>
      <c r="C6" s="3"/>
      <c r="D6" s="3"/>
      <c r="E6" s="3"/>
    </row>
    <row r="7">
      <c r="B7" s="3" t="s">
        <v>23</v>
      </c>
      <c r="C7" s="3"/>
      <c r="D7" s="3"/>
      <c r="E7" s="3"/>
    </row>
    <row r="8">
      <c r="B8" s="3" t="s">
        <v>24</v>
      </c>
      <c r="C8" s="3" t="s">
        <v>25</v>
      </c>
      <c r="D8" s="3"/>
      <c r="E8" s="3"/>
    </row>
    <row r="9">
      <c r="B9" s="3" t="s">
        <v>23</v>
      </c>
      <c r="C9" s="3"/>
      <c r="D9" s="3"/>
      <c r="E9" s="3"/>
    </row>
    <row r="10">
      <c r="B10" s="3" t="s">
        <v>24</v>
      </c>
      <c r="C10" s="3" t="s">
        <v>25</v>
      </c>
      <c r="D10" s="3"/>
      <c r="E10" s="3"/>
      <c r="F10" s="3" t="s">
        <v>28</v>
      </c>
      <c r="G10" s="3" t="s">
        <v>29</v>
      </c>
      <c r="H10" s="3" t="s">
        <v>30</v>
      </c>
    </row>
    <row r="11">
      <c r="B11" s="3" t="s">
        <v>26</v>
      </c>
      <c r="C11" s="3"/>
      <c r="D11" s="3"/>
      <c r="E11" s="3"/>
      <c r="F11" s="3">
        <v>7.2</v>
      </c>
      <c r="G11" s="15">
        <f t="shared" ref="G11:G12" si="1">F11/$H$11 * 1000</f>
        <v>120.5321508</v>
      </c>
      <c r="H11" s="15">
        <f>1/(1/220+1/82)</f>
        <v>59.73509934</v>
      </c>
    </row>
    <row r="12">
      <c r="B12" s="3" t="s">
        <v>27</v>
      </c>
      <c r="C12" s="3"/>
      <c r="D12" s="3"/>
      <c r="E12" s="3"/>
      <c r="F12" s="3">
        <v>6.0</v>
      </c>
      <c r="G12" s="15">
        <f t="shared" si="1"/>
        <v>100.443459</v>
      </c>
      <c r="H12" s="15"/>
    </row>
    <row r="13">
      <c r="B13" s="3" t="s">
        <v>23</v>
      </c>
      <c r="C13" s="3"/>
      <c r="D13" s="3"/>
      <c r="E13" s="3"/>
    </row>
    <row r="14">
      <c r="B14" s="3" t="s">
        <v>24</v>
      </c>
      <c r="C14" s="3" t="s">
        <v>25</v>
      </c>
      <c r="D14" s="3"/>
      <c r="E14" s="3"/>
    </row>
    <row r="15">
      <c r="B15" s="3">
        <v>3.0</v>
      </c>
      <c r="C15" s="3">
        <v>91.1</v>
      </c>
      <c r="D15" s="3"/>
      <c r="E15" s="3"/>
      <c r="F15" s="16" t="s">
        <v>31</v>
      </c>
    </row>
    <row r="16">
      <c r="B16" s="3">
        <v>20004.0</v>
      </c>
      <c r="C16" s="3">
        <v>93.1</v>
      </c>
      <c r="D16" s="3"/>
      <c r="E16" s="3"/>
      <c r="F16" s="16" t="s">
        <v>32</v>
      </c>
      <c r="G16" s="3" t="s">
        <v>33</v>
      </c>
      <c r="H16" s="3" t="s">
        <v>34</v>
      </c>
      <c r="I16" s="3" t="s">
        <v>35</v>
      </c>
    </row>
    <row r="17">
      <c r="B17" s="3">
        <v>40006.0</v>
      </c>
      <c r="C17" s="3">
        <v>93.2</v>
      </c>
      <c r="D17" s="3"/>
      <c r="E17" s="3"/>
      <c r="F17" s="3" t="s">
        <v>36</v>
      </c>
      <c r="G17" s="7">
        <f>5 + 24 / 60</f>
        <v>5.4</v>
      </c>
      <c r="H17" s="3">
        <v>93.0</v>
      </c>
      <c r="I17" s="15">
        <f>G17*H17</f>
        <v>502.2</v>
      </c>
    </row>
    <row r="18">
      <c r="B18" s="3">
        <v>60008.0</v>
      </c>
      <c r="C18" s="3">
        <v>93.3</v>
      </c>
      <c r="D18" s="3"/>
      <c r="E18" s="3"/>
    </row>
    <row r="19">
      <c r="B19" s="3">
        <v>80010.0</v>
      </c>
      <c r="C19" s="3">
        <v>93.2</v>
      </c>
      <c r="D19" s="3"/>
      <c r="E19" s="3"/>
      <c r="F19" s="3" t="s">
        <v>37</v>
      </c>
      <c r="G19" s="3" t="s">
        <v>38</v>
      </c>
      <c r="H19" s="3" t="s">
        <v>39</v>
      </c>
      <c r="I19" s="3" t="s">
        <v>35</v>
      </c>
    </row>
    <row r="20">
      <c r="B20" s="3">
        <v>100011.0</v>
      </c>
      <c r="C20" s="3">
        <v>93.2</v>
      </c>
      <c r="D20" s="3"/>
      <c r="E20" s="3"/>
      <c r="G20" s="3">
        <v>15.0</v>
      </c>
    </row>
    <row r="21">
      <c r="B21" s="3">
        <v>120012.0</v>
      </c>
      <c r="C21" s="3">
        <v>93.2</v>
      </c>
      <c r="D21" s="3"/>
      <c r="E21" s="3"/>
      <c r="G21" s="3">
        <v>760.0</v>
      </c>
      <c r="H21" s="7">
        <f t="array" ref="H21">AVERAGE(INDEX(C:C, G20):INDEX(C:C, G21))</f>
        <v>91.88297587</v>
      </c>
      <c r="I21" s="15">
        <f t="array" ref="I21">(INDEX(B:B, G21) - INDEX(B:B, G20)) / 1000 / 3600</f>
        <v>4.139268889</v>
      </c>
    </row>
    <row r="22">
      <c r="B22" s="3">
        <v>140014.0</v>
      </c>
      <c r="C22" s="3">
        <v>93.2</v>
      </c>
      <c r="D22" s="3"/>
      <c r="E22" s="3"/>
      <c r="G22" s="3">
        <v>761.0</v>
      </c>
    </row>
    <row r="23">
      <c r="B23" s="3">
        <v>160016.0</v>
      </c>
      <c r="C23" s="3">
        <v>93.2</v>
      </c>
      <c r="D23" s="3"/>
      <c r="E23" s="3"/>
      <c r="G23" s="3">
        <v>869.0</v>
      </c>
      <c r="H23" s="7">
        <f t="array" ref="H23">AVERAGE(INDEX(C:C, G22):INDEX(C:C, G23))</f>
        <v>120.7284404</v>
      </c>
      <c r="I23" s="15">
        <f t="array" ref="I23">(INDEX(B:B, G23) - INDEX(B:B, G22)) / 1000 / 3600</f>
        <v>0.6000577778</v>
      </c>
    </row>
    <row r="24">
      <c r="B24" s="3">
        <v>180018.0</v>
      </c>
      <c r="C24" s="3">
        <v>93.2</v>
      </c>
      <c r="D24" s="3"/>
      <c r="E24" s="3"/>
    </row>
    <row r="25">
      <c r="B25" s="3">
        <v>200019.0</v>
      </c>
      <c r="C25" s="3">
        <v>93.2</v>
      </c>
      <c r="D25" s="3"/>
      <c r="E25" s="3"/>
      <c r="G25" s="3" t="s">
        <v>40</v>
      </c>
      <c r="I25" s="15">
        <f>SUMPRODUCT(H20:H23, I20:I23)</f>
        <v>452.7723831</v>
      </c>
    </row>
    <row r="26">
      <c r="B26" s="3">
        <v>220021.0</v>
      </c>
      <c r="C26" s="3">
        <v>93.1</v>
      </c>
      <c r="D26" s="3"/>
      <c r="E26" s="3"/>
      <c r="G26" s="3" t="s">
        <v>41</v>
      </c>
      <c r="I26" s="15">
        <f>sum(I25,I17)</f>
        <v>954.9723831</v>
      </c>
    </row>
    <row r="27">
      <c r="B27" s="3">
        <v>240023.0</v>
      </c>
      <c r="C27" s="3">
        <v>93.2</v>
      </c>
      <c r="D27" s="3"/>
      <c r="E27" s="3"/>
      <c r="F27" s="16" t="s">
        <v>42</v>
      </c>
    </row>
    <row r="28">
      <c r="B28" s="3">
        <v>260025.0</v>
      </c>
      <c r="C28" s="3">
        <v>93.2</v>
      </c>
      <c r="D28" s="3"/>
      <c r="E28" s="3"/>
      <c r="F28" s="3" t="s">
        <v>37</v>
      </c>
      <c r="G28" s="3" t="s">
        <v>38</v>
      </c>
      <c r="H28" s="3" t="s">
        <v>39</v>
      </c>
      <c r="I28" s="3" t="s">
        <v>35</v>
      </c>
    </row>
    <row r="29">
      <c r="B29" s="3">
        <v>280027.0</v>
      </c>
      <c r="C29" s="3">
        <v>93.1</v>
      </c>
      <c r="D29" s="3"/>
      <c r="E29" s="3"/>
      <c r="G29" s="3">
        <v>881.0</v>
      </c>
    </row>
    <row r="30">
      <c r="B30" s="3">
        <v>300028.0</v>
      </c>
      <c r="C30" s="3">
        <v>93.2</v>
      </c>
      <c r="D30" s="3"/>
      <c r="E30" s="3"/>
      <c r="G30" s="3">
        <v>2078.0</v>
      </c>
      <c r="H30" s="7">
        <f t="array" ref="H30">AVERAGE(INDEX(D:D, G29):INDEX(D:D, G30))</f>
        <v>134.4179466</v>
      </c>
      <c r="I30" s="15">
        <f t="array" ref="I30">(INDEX(B:B, G30) - INDEX(B:B, G29)) / 1000 / 3600</f>
        <v>6.650953333</v>
      </c>
    </row>
    <row r="31">
      <c r="B31" s="3">
        <v>320030.0</v>
      </c>
      <c r="C31" s="3">
        <v>93.1</v>
      </c>
      <c r="D31" s="3"/>
      <c r="E31" s="3"/>
      <c r="G31" s="3">
        <v>2079.0</v>
      </c>
      <c r="I31" s="15"/>
    </row>
    <row r="32">
      <c r="B32" s="3">
        <v>340032.0</v>
      </c>
      <c r="C32" s="3">
        <v>93.1</v>
      </c>
      <c r="D32" s="3"/>
      <c r="E32" s="3"/>
      <c r="G32" s="3">
        <v>2244.0</v>
      </c>
      <c r="H32" s="7">
        <f t="array" ref="H32">AVERAGE(INDEX(D:D, G31):INDEX(D:D, G32))</f>
        <v>127.9210843</v>
      </c>
      <c r="I32" s="15">
        <f t="array" ref="I32">(INDEX(B:B, G32) - INDEX(B:B, G31)) / 1000 / 3600</f>
        <v>0.9167958333</v>
      </c>
    </row>
    <row r="33">
      <c r="B33" s="3">
        <v>360034.0</v>
      </c>
      <c r="C33" s="3">
        <v>93.2</v>
      </c>
      <c r="D33" s="3"/>
      <c r="E33" s="3"/>
    </row>
    <row r="34">
      <c r="B34" s="3">
        <v>380036.0</v>
      </c>
      <c r="C34" s="3">
        <v>93.2</v>
      </c>
      <c r="D34" s="3"/>
      <c r="E34" s="3"/>
      <c r="G34" s="3" t="s">
        <v>40</v>
      </c>
      <c r="I34" s="15">
        <f>SUMPRODUCT(H29:H32, I29:I32)</f>
        <v>1011.285007</v>
      </c>
    </row>
    <row r="35">
      <c r="B35" s="3">
        <v>400037.0</v>
      </c>
      <c r="C35" s="3">
        <v>93.1</v>
      </c>
      <c r="D35" s="3"/>
      <c r="E35" s="3"/>
    </row>
    <row r="36">
      <c r="B36" s="3">
        <v>420039.0</v>
      </c>
      <c r="C36" s="3">
        <v>93.2</v>
      </c>
      <c r="D36" s="3"/>
      <c r="E36" s="3"/>
    </row>
    <row r="37">
      <c r="B37" s="3">
        <v>440041.0</v>
      </c>
      <c r="C37" s="3">
        <v>93.2</v>
      </c>
      <c r="D37" s="3"/>
      <c r="E37" s="3"/>
    </row>
    <row r="38">
      <c r="B38" s="3">
        <v>460043.0</v>
      </c>
      <c r="C38" s="3">
        <v>93.2</v>
      </c>
      <c r="D38" s="3"/>
      <c r="E38" s="3"/>
    </row>
    <row r="39">
      <c r="B39" s="3">
        <v>480045.0</v>
      </c>
      <c r="C39" s="3">
        <v>93.2</v>
      </c>
      <c r="D39" s="3"/>
      <c r="E39" s="3"/>
    </row>
    <row r="40">
      <c r="B40" s="3">
        <v>500046.0</v>
      </c>
      <c r="C40" s="3">
        <v>93.2</v>
      </c>
      <c r="D40" s="3"/>
      <c r="E40" s="3"/>
    </row>
    <row r="41">
      <c r="B41" s="3">
        <v>520048.0</v>
      </c>
      <c r="C41" s="3">
        <v>93.1</v>
      </c>
      <c r="D41" s="3"/>
      <c r="E41" s="3"/>
    </row>
    <row r="42">
      <c r="B42" s="3">
        <v>540050.0</v>
      </c>
      <c r="C42" s="3">
        <v>93.1</v>
      </c>
      <c r="D42" s="3"/>
      <c r="E42" s="3"/>
    </row>
    <row r="43">
      <c r="B43" s="3">
        <v>560052.0</v>
      </c>
      <c r="C43" s="3">
        <v>93.2</v>
      </c>
      <c r="D43" s="3"/>
      <c r="E43" s="3"/>
    </row>
    <row r="44">
      <c r="B44" s="3">
        <v>580054.0</v>
      </c>
      <c r="C44" s="3">
        <v>93.1</v>
      </c>
      <c r="D44" s="3"/>
      <c r="E44" s="3"/>
    </row>
    <row r="45">
      <c r="B45" s="3">
        <v>600055.0</v>
      </c>
      <c r="C45" s="3">
        <v>93.2</v>
      </c>
      <c r="D45" s="3"/>
      <c r="E45" s="3"/>
    </row>
    <row r="46">
      <c r="B46" s="3">
        <v>620057.0</v>
      </c>
      <c r="C46" s="3">
        <v>93.1</v>
      </c>
      <c r="D46" s="3"/>
      <c r="E46" s="3"/>
    </row>
    <row r="47">
      <c r="B47" s="3">
        <v>640059.0</v>
      </c>
      <c r="C47" s="3">
        <v>93.1</v>
      </c>
      <c r="D47" s="3"/>
      <c r="E47" s="3"/>
    </row>
    <row r="48">
      <c r="B48" s="3">
        <v>660061.0</v>
      </c>
      <c r="C48" s="3">
        <v>93.1</v>
      </c>
      <c r="D48" s="3"/>
      <c r="E48" s="3"/>
    </row>
    <row r="49">
      <c r="B49" s="3">
        <v>680062.0</v>
      </c>
      <c r="C49" s="3">
        <v>93.1</v>
      </c>
      <c r="D49" s="3"/>
      <c r="E49" s="3"/>
    </row>
    <row r="50">
      <c r="B50" s="3">
        <v>700064.0</v>
      </c>
      <c r="C50" s="3">
        <v>93.1</v>
      </c>
      <c r="D50" s="3"/>
      <c r="E50" s="3"/>
    </row>
    <row r="51">
      <c r="B51" s="3">
        <v>720066.0</v>
      </c>
      <c r="C51" s="3">
        <v>93.1</v>
      </c>
      <c r="D51" s="3"/>
      <c r="E51" s="3"/>
    </row>
    <row r="52">
      <c r="B52" s="3">
        <v>740068.0</v>
      </c>
      <c r="C52" s="3">
        <v>93.0</v>
      </c>
      <c r="D52" s="3"/>
      <c r="E52" s="3"/>
    </row>
    <row r="53">
      <c r="B53" s="3">
        <v>760070.0</v>
      </c>
      <c r="C53" s="3">
        <v>93.1</v>
      </c>
      <c r="D53" s="3"/>
      <c r="E53" s="3"/>
    </row>
    <row r="54">
      <c r="B54" s="3">
        <v>780071.0</v>
      </c>
      <c r="C54" s="3">
        <v>93.0</v>
      </c>
      <c r="D54" s="3"/>
      <c r="E54" s="3"/>
    </row>
    <row r="55">
      <c r="B55" s="3">
        <v>800073.0</v>
      </c>
      <c r="C55" s="3">
        <v>93.1</v>
      </c>
      <c r="D55" s="3"/>
      <c r="E55" s="3"/>
    </row>
    <row r="56">
      <c r="B56" s="3">
        <v>820075.0</v>
      </c>
      <c r="C56" s="3">
        <v>93.0</v>
      </c>
      <c r="D56" s="3"/>
      <c r="E56" s="3"/>
    </row>
    <row r="57">
      <c r="B57" s="3">
        <v>840077.0</v>
      </c>
      <c r="C57" s="3">
        <v>93.0</v>
      </c>
      <c r="D57" s="3"/>
      <c r="E57" s="3"/>
    </row>
    <row r="58">
      <c r="B58" s="3">
        <v>860079.0</v>
      </c>
      <c r="C58" s="3">
        <v>93.0</v>
      </c>
      <c r="D58" s="3"/>
      <c r="E58" s="3"/>
    </row>
    <row r="59">
      <c r="B59" s="3">
        <v>880080.0</v>
      </c>
      <c r="C59" s="3">
        <v>93.1</v>
      </c>
      <c r="D59" s="3"/>
      <c r="E59" s="3"/>
    </row>
    <row r="60">
      <c r="B60" s="3">
        <v>900082.0</v>
      </c>
      <c r="C60" s="3">
        <v>93.1</v>
      </c>
      <c r="D60" s="3"/>
      <c r="E60" s="3"/>
    </row>
    <row r="61">
      <c r="B61" s="3">
        <v>920084.0</v>
      </c>
      <c r="C61" s="3">
        <v>93.1</v>
      </c>
      <c r="D61" s="3"/>
      <c r="E61" s="3"/>
    </row>
    <row r="62">
      <c r="B62" s="3">
        <v>940086.0</v>
      </c>
      <c r="C62" s="3">
        <v>93.1</v>
      </c>
      <c r="D62" s="3"/>
      <c r="E62" s="3"/>
    </row>
    <row r="63">
      <c r="B63" s="3">
        <v>960088.0</v>
      </c>
      <c r="C63" s="3">
        <v>93.1</v>
      </c>
      <c r="D63" s="3"/>
      <c r="E63" s="3"/>
    </row>
    <row r="64">
      <c r="B64" s="3">
        <v>980089.0</v>
      </c>
      <c r="C64" s="3">
        <v>93.0</v>
      </c>
      <c r="D64" s="3"/>
      <c r="E64" s="3"/>
    </row>
    <row r="65">
      <c r="B65" s="3">
        <v>1000091.0</v>
      </c>
      <c r="C65" s="3">
        <v>93.1</v>
      </c>
      <c r="D65" s="3"/>
      <c r="E65" s="3"/>
    </row>
    <row r="66">
      <c r="B66" s="3">
        <v>1020093.0</v>
      </c>
      <c r="C66" s="3">
        <v>93.1</v>
      </c>
      <c r="D66" s="3"/>
      <c r="E66" s="3"/>
    </row>
    <row r="67">
      <c r="B67" s="3">
        <v>1040095.0</v>
      </c>
      <c r="C67" s="3">
        <v>93.0</v>
      </c>
      <c r="D67" s="3"/>
      <c r="E67" s="3"/>
    </row>
    <row r="68">
      <c r="B68" s="3">
        <v>1060097.0</v>
      </c>
      <c r="C68" s="3">
        <v>93.0</v>
      </c>
      <c r="D68" s="3"/>
      <c r="E68" s="3"/>
    </row>
    <row r="69">
      <c r="B69" s="3">
        <v>1080098.0</v>
      </c>
      <c r="C69" s="3">
        <v>93.0</v>
      </c>
      <c r="D69" s="3"/>
      <c r="E69" s="3"/>
    </row>
    <row r="70">
      <c r="B70" s="3">
        <v>1100100.0</v>
      </c>
      <c r="C70" s="3">
        <v>93.0</v>
      </c>
      <c r="D70" s="3"/>
      <c r="E70" s="3"/>
    </row>
    <row r="71">
      <c r="B71" s="3">
        <v>1120102.0</v>
      </c>
      <c r="C71" s="3">
        <v>93.1</v>
      </c>
      <c r="D71" s="3"/>
      <c r="E71" s="3"/>
    </row>
    <row r="72">
      <c r="B72" s="3">
        <v>1140104.0</v>
      </c>
      <c r="C72" s="3">
        <v>93.0</v>
      </c>
      <c r="D72" s="3"/>
      <c r="E72" s="3"/>
    </row>
    <row r="73">
      <c r="B73" s="3">
        <v>1160105.0</v>
      </c>
      <c r="C73" s="3">
        <v>93.1</v>
      </c>
      <c r="D73" s="3"/>
      <c r="E73" s="3"/>
    </row>
    <row r="74">
      <c r="B74" s="3">
        <v>1180107.0</v>
      </c>
      <c r="C74" s="3">
        <v>93.0</v>
      </c>
      <c r="D74" s="3"/>
      <c r="E74" s="3"/>
    </row>
    <row r="75">
      <c r="B75" s="3">
        <v>1200109.0</v>
      </c>
      <c r="C75" s="3">
        <v>93.0</v>
      </c>
      <c r="D75" s="3"/>
      <c r="E75" s="3"/>
    </row>
    <row r="76">
      <c r="B76" s="3">
        <v>1220111.0</v>
      </c>
      <c r="C76" s="3">
        <v>93.0</v>
      </c>
      <c r="D76" s="3"/>
      <c r="E76" s="3"/>
    </row>
    <row r="77">
      <c r="B77" s="3">
        <v>1240113.0</v>
      </c>
      <c r="C77" s="3">
        <v>93.0</v>
      </c>
      <c r="D77" s="3"/>
      <c r="E77" s="3"/>
    </row>
    <row r="78">
      <c r="B78" s="3">
        <v>1260114.0</v>
      </c>
      <c r="C78" s="3">
        <v>93.0</v>
      </c>
      <c r="D78" s="3"/>
      <c r="E78" s="3"/>
    </row>
    <row r="79">
      <c r="B79" s="3">
        <v>1280116.0</v>
      </c>
      <c r="C79" s="3">
        <v>93.0</v>
      </c>
      <c r="D79" s="3"/>
      <c r="E79" s="3"/>
    </row>
    <row r="80">
      <c r="B80" s="3">
        <v>1300118.0</v>
      </c>
      <c r="C80" s="3">
        <v>93.0</v>
      </c>
      <c r="D80" s="3"/>
      <c r="E80" s="3"/>
    </row>
    <row r="81">
      <c r="B81" s="3">
        <v>1320121.0</v>
      </c>
      <c r="C81" s="3">
        <v>93.0</v>
      </c>
      <c r="D81" s="3"/>
      <c r="E81" s="3"/>
    </row>
    <row r="82">
      <c r="B82" s="3">
        <v>1340123.0</v>
      </c>
      <c r="C82" s="3">
        <v>93.0</v>
      </c>
      <c r="D82" s="3"/>
      <c r="E82" s="3"/>
    </row>
    <row r="83">
      <c r="B83" s="3">
        <v>1360124.0</v>
      </c>
      <c r="C83" s="3">
        <v>93.0</v>
      </c>
      <c r="D83" s="3"/>
      <c r="E83" s="3"/>
    </row>
    <row r="84">
      <c r="B84" s="3">
        <v>1380126.0</v>
      </c>
      <c r="C84" s="3">
        <v>93.0</v>
      </c>
      <c r="D84" s="3"/>
      <c r="E84" s="3"/>
    </row>
    <row r="85">
      <c r="B85" s="3">
        <v>1400128.0</v>
      </c>
      <c r="C85" s="3">
        <v>93.0</v>
      </c>
      <c r="D85" s="3"/>
      <c r="E85" s="3"/>
    </row>
    <row r="86">
      <c r="B86" s="3">
        <v>1420130.0</v>
      </c>
      <c r="C86" s="3">
        <v>93.0</v>
      </c>
      <c r="D86" s="3"/>
      <c r="E86" s="3"/>
    </row>
    <row r="87">
      <c r="B87" s="3">
        <v>1440132.0</v>
      </c>
      <c r="C87" s="3">
        <v>93.0</v>
      </c>
      <c r="D87" s="3"/>
      <c r="E87" s="3"/>
    </row>
    <row r="88">
      <c r="B88" s="3">
        <v>1460133.0</v>
      </c>
      <c r="C88" s="3">
        <v>93.0</v>
      </c>
      <c r="D88" s="3"/>
      <c r="E88" s="3"/>
    </row>
    <row r="89">
      <c r="B89" s="3">
        <v>1480135.0</v>
      </c>
      <c r="C89" s="3">
        <v>93.0</v>
      </c>
      <c r="D89" s="3"/>
      <c r="E89" s="3"/>
    </row>
    <row r="90">
      <c r="B90" s="3">
        <v>1500137.0</v>
      </c>
      <c r="C90" s="3">
        <v>93.0</v>
      </c>
      <c r="D90" s="3"/>
      <c r="E90" s="3"/>
    </row>
    <row r="91">
      <c r="B91" s="3">
        <v>1520139.0</v>
      </c>
      <c r="C91" s="3">
        <v>93.0</v>
      </c>
      <c r="D91" s="3"/>
      <c r="E91" s="3"/>
    </row>
    <row r="92">
      <c r="B92" s="3">
        <v>1540141.0</v>
      </c>
      <c r="C92" s="3">
        <v>93.0</v>
      </c>
      <c r="D92" s="3"/>
      <c r="E92" s="3"/>
    </row>
    <row r="93">
      <c r="B93" s="3">
        <v>1560142.0</v>
      </c>
      <c r="C93" s="3">
        <v>92.9</v>
      </c>
      <c r="D93" s="3"/>
      <c r="E93" s="3"/>
    </row>
    <row r="94">
      <c r="B94" s="3">
        <v>1580144.0</v>
      </c>
      <c r="C94" s="3">
        <v>92.9</v>
      </c>
      <c r="D94" s="3"/>
      <c r="E94" s="3"/>
    </row>
    <row r="95">
      <c r="B95" s="3">
        <v>1600146.0</v>
      </c>
      <c r="C95" s="3">
        <v>93.0</v>
      </c>
      <c r="D95" s="3"/>
      <c r="E95" s="3"/>
    </row>
    <row r="96">
      <c r="B96" s="3">
        <v>1620148.0</v>
      </c>
      <c r="C96" s="3">
        <v>93.0</v>
      </c>
      <c r="D96" s="3"/>
      <c r="E96" s="3"/>
    </row>
    <row r="97">
      <c r="B97" s="3">
        <v>1640150.0</v>
      </c>
      <c r="C97" s="3">
        <v>92.9</v>
      </c>
      <c r="D97" s="3"/>
      <c r="E97" s="3"/>
    </row>
    <row r="98">
      <c r="B98" s="3">
        <v>1660151.0</v>
      </c>
      <c r="C98" s="3">
        <v>92.9</v>
      </c>
      <c r="D98" s="3"/>
      <c r="E98" s="3"/>
    </row>
    <row r="99">
      <c r="B99" s="3">
        <v>1680153.0</v>
      </c>
      <c r="C99" s="3">
        <v>93.0</v>
      </c>
      <c r="D99" s="3"/>
      <c r="E99" s="3"/>
    </row>
    <row r="100">
      <c r="B100" s="3">
        <v>1700155.0</v>
      </c>
      <c r="C100" s="3">
        <v>92.9</v>
      </c>
      <c r="D100" s="3"/>
      <c r="E100" s="3"/>
    </row>
    <row r="101">
      <c r="B101" s="3">
        <v>1720157.0</v>
      </c>
      <c r="C101" s="3">
        <v>92.9</v>
      </c>
      <c r="D101" s="3"/>
      <c r="E101" s="3"/>
    </row>
    <row r="102">
      <c r="B102" s="3">
        <v>1740158.0</v>
      </c>
      <c r="C102" s="3">
        <v>93.0</v>
      </c>
      <c r="D102" s="3"/>
      <c r="E102" s="3"/>
    </row>
    <row r="103">
      <c r="B103" s="3">
        <v>1760160.0</v>
      </c>
      <c r="C103" s="3">
        <v>92.9</v>
      </c>
      <c r="D103" s="3"/>
      <c r="E103" s="3"/>
    </row>
    <row r="104">
      <c r="B104" s="3">
        <v>1780162.0</v>
      </c>
      <c r="C104" s="3">
        <v>92.9</v>
      </c>
      <c r="D104" s="3"/>
      <c r="E104" s="3"/>
    </row>
    <row r="105">
      <c r="B105" s="3">
        <v>1800164.0</v>
      </c>
      <c r="C105" s="3">
        <v>92.9</v>
      </c>
      <c r="D105" s="3"/>
      <c r="E105" s="3"/>
    </row>
    <row r="106">
      <c r="B106" s="3">
        <v>1820166.0</v>
      </c>
      <c r="C106" s="3">
        <v>92.9</v>
      </c>
      <c r="D106" s="3"/>
      <c r="E106" s="3"/>
    </row>
    <row r="107">
      <c r="B107" s="3">
        <v>1840167.0</v>
      </c>
      <c r="C107" s="3">
        <v>92.8</v>
      </c>
      <c r="D107" s="3"/>
      <c r="E107" s="3"/>
    </row>
    <row r="108">
      <c r="B108" s="3">
        <v>1860169.0</v>
      </c>
      <c r="C108" s="3">
        <v>92.9</v>
      </c>
      <c r="D108" s="3"/>
      <c r="E108" s="3"/>
    </row>
    <row r="109">
      <c r="B109" s="3">
        <v>1880171.0</v>
      </c>
      <c r="C109" s="3">
        <v>92.9</v>
      </c>
      <c r="D109" s="3"/>
      <c r="E109" s="3"/>
    </row>
    <row r="110">
      <c r="B110" s="3">
        <v>1900173.0</v>
      </c>
      <c r="C110" s="3">
        <v>92.9</v>
      </c>
      <c r="D110" s="3"/>
      <c r="E110" s="3"/>
    </row>
    <row r="111">
      <c r="B111" s="3">
        <v>1920175.0</v>
      </c>
      <c r="C111" s="3">
        <v>92.9</v>
      </c>
      <c r="D111" s="3"/>
      <c r="E111" s="3"/>
    </row>
    <row r="112">
      <c r="B112" s="3">
        <v>1940176.0</v>
      </c>
      <c r="C112" s="3">
        <v>92.9</v>
      </c>
      <c r="D112" s="3"/>
      <c r="E112" s="3"/>
    </row>
    <row r="113">
      <c r="B113" s="3">
        <v>1960178.0</v>
      </c>
      <c r="C113" s="3">
        <v>92.9</v>
      </c>
      <c r="D113" s="3"/>
      <c r="E113" s="3"/>
    </row>
    <row r="114">
      <c r="B114" s="3">
        <v>1980180.0</v>
      </c>
      <c r="C114" s="3">
        <v>92.9</v>
      </c>
      <c r="D114" s="3"/>
      <c r="E114" s="3"/>
    </row>
    <row r="115">
      <c r="B115" s="3">
        <v>2000183.0</v>
      </c>
      <c r="C115" s="3">
        <v>92.9</v>
      </c>
      <c r="D115" s="3"/>
      <c r="E115" s="3"/>
    </row>
    <row r="116">
      <c r="B116" s="3">
        <v>2020185.0</v>
      </c>
      <c r="C116" s="3">
        <v>92.9</v>
      </c>
      <c r="D116" s="3"/>
      <c r="E116" s="3"/>
    </row>
    <row r="117">
      <c r="B117" s="3">
        <v>2040186.0</v>
      </c>
      <c r="C117" s="3">
        <v>92.8</v>
      </c>
      <c r="D117" s="3"/>
      <c r="E117" s="3"/>
    </row>
    <row r="118">
      <c r="B118" s="3">
        <v>2060188.0</v>
      </c>
      <c r="C118" s="3">
        <v>92.9</v>
      </c>
      <c r="D118" s="3"/>
      <c r="E118" s="3"/>
    </row>
    <row r="119">
      <c r="B119" s="3">
        <v>2080190.0</v>
      </c>
      <c r="C119" s="3">
        <v>92.9</v>
      </c>
      <c r="D119" s="3"/>
      <c r="E119" s="3"/>
    </row>
    <row r="120">
      <c r="B120" s="3">
        <v>2100192.0</v>
      </c>
      <c r="C120" s="3">
        <v>92.9</v>
      </c>
      <c r="D120" s="3"/>
      <c r="E120" s="3"/>
    </row>
    <row r="121">
      <c r="B121" s="3">
        <v>2120194.0</v>
      </c>
      <c r="C121" s="3">
        <v>92.9</v>
      </c>
      <c r="D121" s="3"/>
      <c r="E121" s="3"/>
    </row>
    <row r="122">
      <c r="B122" s="3">
        <v>2140195.0</v>
      </c>
      <c r="C122" s="3">
        <v>92.9</v>
      </c>
      <c r="D122" s="3"/>
      <c r="E122" s="3"/>
    </row>
    <row r="123">
      <c r="B123" s="3">
        <v>2160197.0</v>
      </c>
      <c r="C123" s="3">
        <v>92.9</v>
      </c>
      <c r="D123" s="3"/>
      <c r="E123" s="3"/>
    </row>
    <row r="124">
      <c r="B124" s="3">
        <v>2180199.0</v>
      </c>
      <c r="C124" s="3">
        <v>92.9</v>
      </c>
      <c r="D124" s="3"/>
      <c r="E124" s="3"/>
    </row>
    <row r="125">
      <c r="B125" s="3">
        <v>2200201.0</v>
      </c>
      <c r="C125" s="3">
        <v>92.8</v>
      </c>
      <c r="D125" s="3"/>
      <c r="E125" s="3"/>
    </row>
    <row r="126">
      <c r="B126" s="3">
        <v>2220203.0</v>
      </c>
      <c r="C126" s="3">
        <v>92.9</v>
      </c>
      <c r="D126" s="3"/>
      <c r="E126" s="3"/>
    </row>
    <row r="127">
      <c r="B127" s="3">
        <v>2240204.0</v>
      </c>
      <c r="C127" s="3">
        <v>92.9</v>
      </c>
      <c r="D127" s="3"/>
      <c r="E127" s="3"/>
    </row>
    <row r="128">
      <c r="B128" s="3">
        <v>2260206.0</v>
      </c>
      <c r="C128" s="3">
        <v>92.8</v>
      </c>
      <c r="D128" s="3"/>
      <c r="E128" s="3"/>
    </row>
    <row r="129">
      <c r="B129" s="3">
        <v>2280208.0</v>
      </c>
      <c r="C129" s="3">
        <v>92.8</v>
      </c>
      <c r="D129" s="3"/>
      <c r="E129" s="3"/>
    </row>
    <row r="130">
      <c r="B130" s="3">
        <v>2300210.0</v>
      </c>
      <c r="C130" s="3">
        <v>92.9</v>
      </c>
      <c r="D130" s="3"/>
      <c r="E130" s="3"/>
    </row>
    <row r="131">
      <c r="B131" s="3">
        <v>2320211.0</v>
      </c>
      <c r="C131" s="3">
        <v>92.9</v>
      </c>
      <c r="D131" s="3"/>
      <c r="E131" s="3"/>
    </row>
    <row r="132">
      <c r="B132" s="3">
        <v>2340213.0</v>
      </c>
      <c r="C132" s="3">
        <v>92.9</v>
      </c>
      <c r="D132" s="3"/>
      <c r="E132" s="3"/>
    </row>
    <row r="133">
      <c r="B133" s="3">
        <v>2360215.0</v>
      </c>
      <c r="C133" s="3">
        <v>92.9</v>
      </c>
      <c r="D133" s="3"/>
      <c r="E133" s="3"/>
    </row>
    <row r="134">
      <c r="B134" s="3">
        <v>2380217.0</v>
      </c>
      <c r="C134" s="3">
        <v>92.9</v>
      </c>
      <c r="D134" s="3"/>
      <c r="E134" s="3"/>
    </row>
    <row r="135">
      <c r="B135" s="3">
        <v>2400219.0</v>
      </c>
      <c r="C135" s="3">
        <v>92.9</v>
      </c>
      <c r="D135" s="3"/>
      <c r="E135" s="3"/>
    </row>
    <row r="136">
      <c r="B136" s="3">
        <v>2420220.0</v>
      </c>
      <c r="C136" s="3">
        <v>92.9</v>
      </c>
      <c r="D136" s="3"/>
      <c r="E136" s="3"/>
    </row>
    <row r="137">
      <c r="B137" s="3">
        <v>2440222.0</v>
      </c>
      <c r="C137" s="3">
        <v>92.8</v>
      </c>
      <c r="D137" s="3"/>
      <c r="E137" s="3"/>
    </row>
    <row r="138">
      <c r="B138" s="3">
        <v>2460224.0</v>
      </c>
      <c r="C138" s="3">
        <v>92.9</v>
      </c>
      <c r="D138" s="3"/>
      <c r="E138" s="3"/>
    </row>
    <row r="139">
      <c r="B139" s="3">
        <v>2480226.0</v>
      </c>
      <c r="C139" s="3">
        <v>92.8</v>
      </c>
      <c r="D139" s="3"/>
      <c r="E139" s="3"/>
    </row>
    <row r="140">
      <c r="B140" s="3">
        <v>2500228.0</v>
      </c>
      <c r="C140" s="3">
        <v>92.8</v>
      </c>
      <c r="D140" s="3"/>
      <c r="E140" s="3"/>
    </row>
    <row r="141">
      <c r="B141" s="3">
        <v>2520229.0</v>
      </c>
      <c r="C141" s="3">
        <v>92.9</v>
      </c>
      <c r="D141" s="3"/>
      <c r="E141" s="3"/>
    </row>
    <row r="142">
      <c r="B142" s="3">
        <v>2540231.0</v>
      </c>
      <c r="C142" s="3">
        <v>92.9</v>
      </c>
      <c r="D142" s="3"/>
      <c r="E142" s="3"/>
    </row>
    <row r="143">
      <c r="B143" s="3">
        <v>2560233.0</v>
      </c>
      <c r="C143" s="3">
        <v>92.8</v>
      </c>
      <c r="D143" s="3"/>
      <c r="E143" s="3"/>
    </row>
    <row r="144">
      <c r="B144" s="3">
        <v>2580235.0</v>
      </c>
      <c r="C144" s="3">
        <v>92.8</v>
      </c>
      <c r="D144" s="3"/>
      <c r="E144" s="3"/>
    </row>
    <row r="145">
      <c r="B145" s="3">
        <v>2600237.0</v>
      </c>
      <c r="C145" s="3">
        <v>92.8</v>
      </c>
      <c r="D145" s="3"/>
      <c r="E145" s="3"/>
    </row>
    <row r="146">
      <c r="B146" s="3">
        <v>2620238.0</v>
      </c>
      <c r="C146" s="3">
        <v>92.8</v>
      </c>
      <c r="D146" s="3"/>
      <c r="E146" s="3"/>
    </row>
    <row r="147">
      <c r="B147" s="3">
        <v>2640241.0</v>
      </c>
      <c r="C147" s="3">
        <v>92.8</v>
      </c>
      <c r="D147" s="3"/>
      <c r="E147" s="3"/>
    </row>
    <row r="148">
      <c r="B148" s="3">
        <v>2660243.0</v>
      </c>
      <c r="C148" s="3">
        <v>92.8</v>
      </c>
      <c r="D148" s="3"/>
      <c r="E148" s="3"/>
    </row>
    <row r="149">
      <c r="B149" s="3">
        <v>2680245.0</v>
      </c>
      <c r="C149" s="3">
        <v>92.9</v>
      </c>
      <c r="D149" s="3"/>
      <c r="E149" s="3"/>
    </row>
    <row r="150">
      <c r="B150" s="3">
        <v>2700247.0</v>
      </c>
      <c r="C150" s="3">
        <v>92.8</v>
      </c>
      <c r="D150" s="3"/>
      <c r="E150" s="3"/>
    </row>
    <row r="151">
      <c r="B151" s="3">
        <v>2720248.0</v>
      </c>
      <c r="C151" s="3">
        <v>92.8</v>
      </c>
      <c r="D151" s="3"/>
      <c r="E151" s="3"/>
    </row>
    <row r="152">
      <c r="B152" s="3">
        <v>2740250.0</v>
      </c>
      <c r="C152" s="3">
        <v>92.8</v>
      </c>
      <c r="D152" s="3"/>
      <c r="E152" s="3"/>
    </row>
    <row r="153">
      <c r="B153" s="3">
        <v>2760252.0</v>
      </c>
      <c r="C153" s="3">
        <v>92.8</v>
      </c>
      <c r="D153" s="3"/>
      <c r="E153" s="3"/>
    </row>
    <row r="154">
      <c r="B154" s="3">
        <v>2780254.0</v>
      </c>
      <c r="C154" s="3">
        <v>92.7</v>
      </c>
      <c r="D154" s="3"/>
      <c r="E154" s="3"/>
    </row>
    <row r="155">
      <c r="B155" s="3">
        <v>2800256.0</v>
      </c>
      <c r="C155" s="3">
        <v>92.8</v>
      </c>
      <c r="D155" s="3"/>
      <c r="E155" s="3"/>
    </row>
    <row r="156">
      <c r="B156" s="3">
        <v>2820257.0</v>
      </c>
      <c r="C156" s="3">
        <v>92.8</v>
      </c>
      <c r="D156" s="3"/>
      <c r="E156" s="3"/>
    </row>
    <row r="157">
      <c r="B157" s="3">
        <v>2840259.0</v>
      </c>
      <c r="C157" s="3">
        <v>92.8</v>
      </c>
      <c r="D157" s="3"/>
      <c r="E157" s="3"/>
    </row>
    <row r="158">
      <c r="B158" s="3">
        <v>2860261.0</v>
      </c>
      <c r="C158" s="3">
        <v>92.7</v>
      </c>
      <c r="D158" s="3"/>
      <c r="E158" s="3"/>
    </row>
    <row r="159">
      <c r="B159" s="3">
        <v>2880263.0</v>
      </c>
      <c r="C159" s="3">
        <v>92.8</v>
      </c>
      <c r="D159" s="3"/>
      <c r="E159" s="3"/>
    </row>
    <row r="160">
      <c r="B160" s="3">
        <v>2900264.0</v>
      </c>
      <c r="C160" s="3">
        <v>92.8</v>
      </c>
      <c r="D160" s="3"/>
      <c r="E160" s="3"/>
    </row>
    <row r="161">
      <c r="B161" s="3">
        <v>2920266.0</v>
      </c>
      <c r="C161" s="3">
        <v>92.8</v>
      </c>
      <c r="D161" s="3"/>
      <c r="E161" s="3"/>
    </row>
    <row r="162">
      <c r="B162" s="3">
        <v>2940268.0</v>
      </c>
      <c r="C162" s="3">
        <v>92.8</v>
      </c>
      <c r="D162" s="3"/>
      <c r="E162" s="3"/>
    </row>
    <row r="163">
      <c r="B163" s="3">
        <v>2960270.0</v>
      </c>
      <c r="C163" s="3">
        <v>92.7</v>
      </c>
      <c r="D163" s="3"/>
      <c r="E163" s="3"/>
    </row>
    <row r="164">
      <c r="B164" s="3">
        <v>2980272.0</v>
      </c>
      <c r="C164" s="3">
        <v>92.8</v>
      </c>
      <c r="D164" s="3"/>
      <c r="E164" s="3"/>
    </row>
    <row r="165">
      <c r="B165" s="3">
        <v>3000273.0</v>
      </c>
      <c r="C165" s="3">
        <v>92.8</v>
      </c>
      <c r="D165" s="3"/>
      <c r="E165" s="3"/>
    </row>
    <row r="166">
      <c r="B166" s="3">
        <v>3020275.0</v>
      </c>
      <c r="C166" s="3">
        <v>92.8</v>
      </c>
      <c r="D166" s="3"/>
      <c r="E166" s="3"/>
    </row>
    <row r="167">
      <c r="B167" s="3">
        <v>3040277.0</v>
      </c>
      <c r="C167" s="3">
        <v>92.8</v>
      </c>
      <c r="D167" s="3"/>
      <c r="E167" s="3"/>
    </row>
    <row r="168">
      <c r="B168" s="3">
        <v>3060279.0</v>
      </c>
      <c r="C168" s="3">
        <v>92.8</v>
      </c>
      <c r="D168" s="3"/>
      <c r="E168" s="3"/>
    </row>
    <row r="169">
      <c r="B169" s="3">
        <v>3080281.0</v>
      </c>
      <c r="C169" s="3">
        <v>92.8</v>
      </c>
      <c r="D169" s="3"/>
      <c r="E169" s="3"/>
    </row>
    <row r="170">
      <c r="B170" s="3">
        <v>3100282.0</v>
      </c>
      <c r="C170" s="3">
        <v>92.8</v>
      </c>
      <c r="D170" s="3"/>
      <c r="E170" s="3"/>
    </row>
    <row r="171">
      <c r="B171" s="3">
        <v>3120284.0</v>
      </c>
      <c r="C171" s="3">
        <v>92.8</v>
      </c>
      <c r="D171" s="3"/>
      <c r="E171" s="3"/>
    </row>
    <row r="172">
      <c r="B172" s="3">
        <v>3140286.0</v>
      </c>
      <c r="C172" s="3">
        <v>92.8</v>
      </c>
      <c r="D172" s="3"/>
      <c r="E172" s="3"/>
    </row>
    <row r="173">
      <c r="B173" s="3">
        <v>3160288.0</v>
      </c>
      <c r="C173" s="3">
        <v>92.7</v>
      </c>
      <c r="D173" s="3"/>
      <c r="E173" s="3"/>
    </row>
    <row r="174">
      <c r="B174" s="3">
        <v>3180290.0</v>
      </c>
      <c r="C174" s="3">
        <v>92.8</v>
      </c>
      <c r="D174" s="3"/>
      <c r="E174" s="3"/>
    </row>
    <row r="175">
      <c r="B175" s="3">
        <v>3200291.0</v>
      </c>
      <c r="C175" s="3">
        <v>92.7</v>
      </c>
      <c r="D175" s="3"/>
      <c r="E175" s="3"/>
    </row>
    <row r="176">
      <c r="B176" s="3">
        <v>3220293.0</v>
      </c>
      <c r="C176" s="3">
        <v>92.7</v>
      </c>
      <c r="D176" s="3"/>
      <c r="E176" s="3"/>
    </row>
    <row r="177">
      <c r="B177" s="3">
        <v>3240296.0</v>
      </c>
      <c r="C177" s="3">
        <v>92.8</v>
      </c>
      <c r="D177" s="3"/>
      <c r="E177" s="3"/>
    </row>
    <row r="178">
      <c r="B178" s="3">
        <v>3260298.0</v>
      </c>
      <c r="C178" s="3">
        <v>92.8</v>
      </c>
      <c r="D178" s="3"/>
      <c r="E178" s="3"/>
    </row>
    <row r="179">
      <c r="B179" s="3">
        <v>3280300.0</v>
      </c>
      <c r="C179" s="3">
        <v>92.7</v>
      </c>
      <c r="D179" s="3"/>
      <c r="E179" s="3"/>
    </row>
    <row r="180">
      <c r="B180" s="3">
        <v>3300301.0</v>
      </c>
      <c r="C180" s="3">
        <v>92.8</v>
      </c>
      <c r="D180" s="3"/>
      <c r="E180" s="3"/>
    </row>
    <row r="181">
      <c r="B181" s="3">
        <v>3320303.0</v>
      </c>
      <c r="C181" s="3">
        <v>92.7</v>
      </c>
      <c r="D181" s="3"/>
      <c r="E181" s="3"/>
    </row>
    <row r="182">
      <c r="B182" s="3">
        <v>3340305.0</v>
      </c>
      <c r="C182" s="3">
        <v>92.7</v>
      </c>
      <c r="D182" s="3"/>
      <c r="E182" s="3"/>
    </row>
    <row r="183">
      <c r="B183" s="3">
        <v>3360307.0</v>
      </c>
      <c r="C183" s="3">
        <v>92.8</v>
      </c>
      <c r="D183" s="3"/>
      <c r="E183" s="3"/>
    </row>
    <row r="184">
      <c r="B184" s="3">
        <v>3380308.0</v>
      </c>
      <c r="C184" s="3">
        <v>92.7</v>
      </c>
      <c r="D184" s="3"/>
      <c r="E184" s="3"/>
    </row>
    <row r="185">
      <c r="B185" s="3">
        <v>3400310.0</v>
      </c>
      <c r="C185" s="3">
        <v>92.7</v>
      </c>
      <c r="D185" s="3"/>
      <c r="E185" s="3"/>
    </row>
    <row r="186">
      <c r="B186" s="3">
        <v>3420312.0</v>
      </c>
      <c r="C186" s="3">
        <v>92.7</v>
      </c>
      <c r="D186" s="3"/>
      <c r="E186" s="3"/>
    </row>
    <row r="187">
      <c r="B187" s="3">
        <v>3440314.0</v>
      </c>
      <c r="C187" s="3">
        <v>92.7</v>
      </c>
      <c r="D187" s="3"/>
      <c r="E187" s="3"/>
    </row>
    <row r="188">
      <c r="B188" s="3">
        <v>3460316.0</v>
      </c>
      <c r="C188" s="3">
        <v>92.7</v>
      </c>
      <c r="D188" s="3"/>
      <c r="E188" s="3"/>
    </row>
    <row r="189">
      <c r="B189" s="3">
        <v>3480317.0</v>
      </c>
      <c r="C189" s="3">
        <v>92.7</v>
      </c>
      <c r="D189" s="3"/>
      <c r="E189" s="3"/>
    </row>
    <row r="190">
      <c r="B190" s="3">
        <v>3500319.0</v>
      </c>
      <c r="C190" s="3">
        <v>92.7</v>
      </c>
      <c r="D190" s="3"/>
      <c r="E190" s="3"/>
    </row>
    <row r="191">
      <c r="B191" s="3">
        <v>3520321.0</v>
      </c>
      <c r="C191" s="3">
        <v>92.8</v>
      </c>
      <c r="D191" s="3"/>
      <c r="E191" s="3"/>
    </row>
    <row r="192">
      <c r="B192" s="3">
        <v>3540323.0</v>
      </c>
      <c r="C192" s="3">
        <v>92.7</v>
      </c>
      <c r="D192" s="3"/>
      <c r="E192" s="3"/>
    </row>
    <row r="193">
      <c r="B193" s="3">
        <v>3560325.0</v>
      </c>
      <c r="C193" s="3">
        <v>92.7</v>
      </c>
      <c r="D193" s="3"/>
      <c r="E193" s="3"/>
    </row>
    <row r="194">
      <c r="B194" s="3">
        <v>3580326.0</v>
      </c>
      <c r="C194" s="3">
        <v>92.7</v>
      </c>
      <c r="D194" s="3"/>
      <c r="E194" s="3"/>
    </row>
    <row r="195">
      <c r="B195" s="3">
        <v>3600328.0</v>
      </c>
      <c r="C195" s="3">
        <v>92.8</v>
      </c>
      <c r="D195" s="3"/>
      <c r="E195" s="3"/>
    </row>
    <row r="196">
      <c r="B196" s="3">
        <v>3620330.0</v>
      </c>
      <c r="C196" s="3">
        <v>92.7</v>
      </c>
      <c r="D196" s="3"/>
      <c r="E196" s="3"/>
    </row>
    <row r="197">
      <c r="B197" s="3">
        <v>3640332.0</v>
      </c>
      <c r="C197" s="3">
        <v>92.7</v>
      </c>
      <c r="D197" s="3"/>
      <c r="E197" s="3"/>
    </row>
    <row r="198">
      <c r="B198" s="3">
        <v>3660334.0</v>
      </c>
      <c r="C198" s="3">
        <v>92.7</v>
      </c>
      <c r="D198" s="3"/>
      <c r="E198" s="3"/>
    </row>
    <row r="199">
      <c r="B199" s="3">
        <v>3680335.0</v>
      </c>
      <c r="C199" s="3">
        <v>92.7</v>
      </c>
      <c r="D199" s="3"/>
      <c r="E199" s="3"/>
    </row>
    <row r="200">
      <c r="B200" s="3">
        <v>3700337.0</v>
      </c>
      <c r="C200" s="3">
        <v>92.7</v>
      </c>
      <c r="D200" s="3"/>
      <c r="E200" s="3"/>
    </row>
    <row r="201">
      <c r="B201" s="3">
        <v>3720339.0</v>
      </c>
      <c r="C201" s="3">
        <v>92.7</v>
      </c>
      <c r="D201" s="3"/>
      <c r="E201" s="3"/>
    </row>
    <row r="202">
      <c r="B202" s="3">
        <v>3740341.0</v>
      </c>
      <c r="C202" s="3">
        <v>92.7</v>
      </c>
      <c r="D202" s="3"/>
      <c r="E202" s="3"/>
    </row>
    <row r="203">
      <c r="B203" s="3">
        <v>3760343.0</v>
      </c>
      <c r="C203" s="3">
        <v>92.7</v>
      </c>
      <c r="D203" s="3"/>
      <c r="E203" s="3"/>
    </row>
    <row r="204">
      <c r="B204" s="3">
        <v>3780344.0</v>
      </c>
      <c r="C204" s="3">
        <v>92.7</v>
      </c>
      <c r="D204" s="3"/>
      <c r="E204" s="3"/>
    </row>
    <row r="205">
      <c r="B205" s="3">
        <v>3800346.0</v>
      </c>
      <c r="C205" s="3">
        <v>92.6</v>
      </c>
      <c r="D205" s="3"/>
      <c r="E205" s="3"/>
    </row>
    <row r="206">
      <c r="B206" s="3">
        <v>3820348.0</v>
      </c>
      <c r="C206" s="3">
        <v>92.7</v>
      </c>
      <c r="D206" s="3"/>
      <c r="E206" s="3"/>
    </row>
    <row r="207">
      <c r="B207" s="3">
        <v>3840351.0</v>
      </c>
      <c r="C207" s="3">
        <v>92.6</v>
      </c>
      <c r="D207" s="3"/>
      <c r="E207" s="3"/>
    </row>
    <row r="208">
      <c r="B208" s="3">
        <v>3860353.0</v>
      </c>
      <c r="C208" s="3">
        <v>92.6</v>
      </c>
      <c r="D208" s="3"/>
      <c r="E208" s="3"/>
    </row>
    <row r="209">
      <c r="B209" s="3">
        <v>3880354.0</v>
      </c>
      <c r="C209" s="3">
        <v>92.7</v>
      </c>
      <c r="D209" s="3"/>
      <c r="E209" s="3"/>
    </row>
    <row r="210">
      <c r="B210" s="3">
        <v>3900356.0</v>
      </c>
      <c r="C210" s="3">
        <v>92.7</v>
      </c>
      <c r="D210" s="3"/>
      <c r="E210" s="3"/>
    </row>
    <row r="211">
      <c r="B211" s="3">
        <v>3920358.0</v>
      </c>
      <c r="C211" s="3">
        <v>92.7</v>
      </c>
      <c r="D211" s="3"/>
      <c r="E211" s="3"/>
    </row>
    <row r="212">
      <c r="B212" s="3">
        <v>3940360.0</v>
      </c>
      <c r="C212" s="3">
        <v>92.7</v>
      </c>
      <c r="D212" s="3"/>
      <c r="E212" s="3"/>
    </row>
    <row r="213">
      <c r="B213" s="3">
        <v>3960361.0</v>
      </c>
      <c r="C213" s="3">
        <v>92.7</v>
      </c>
      <c r="D213" s="3"/>
      <c r="E213" s="3"/>
    </row>
    <row r="214">
      <c r="B214" s="3">
        <v>3980363.0</v>
      </c>
      <c r="C214" s="3">
        <v>92.6</v>
      </c>
      <c r="D214" s="3"/>
      <c r="E214" s="3"/>
    </row>
    <row r="215">
      <c r="B215" s="3">
        <v>4000365.0</v>
      </c>
      <c r="C215" s="3">
        <v>92.7</v>
      </c>
      <c r="D215" s="3"/>
      <c r="E215" s="3"/>
    </row>
    <row r="216">
      <c r="B216" s="3">
        <v>4020367.0</v>
      </c>
      <c r="C216" s="3">
        <v>92.6</v>
      </c>
      <c r="D216" s="3"/>
      <c r="E216" s="3"/>
    </row>
    <row r="217">
      <c r="B217" s="3">
        <v>4040369.0</v>
      </c>
      <c r="C217" s="3">
        <v>92.7</v>
      </c>
      <c r="D217" s="3"/>
      <c r="E217" s="3"/>
    </row>
    <row r="218">
      <c r="B218" s="3">
        <v>4060370.0</v>
      </c>
      <c r="C218" s="3">
        <v>92.7</v>
      </c>
      <c r="D218" s="3"/>
      <c r="E218" s="3"/>
    </row>
    <row r="219">
      <c r="B219" s="3">
        <v>4080372.0</v>
      </c>
      <c r="C219" s="3">
        <v>92.6</v>
      </c>
      <c r="D219" s="3"/>
      <c r="E219" s="3"/>
    </row>
    <row r="220">
      <c r="B220" s="3">
        <v>4100374.0</v>
      </c>
      <c r="C220" s="3">
        <v>92.7</v>
      </c>
      <c r="D220" s="3"/>
      <c r="E220" s="3"/>
    </row>
    <row r="221">
      <c r="B221" s="3">
        <v>4120376.0</v>
      </c>
      <c r="C221" s="3">
        <v>92.6</v>
      </c>
      <c r="D221" s="3"/>
      <c r="E221" s="3"/>
    </row>
    <row r="222">
      <c r="B222" s="3">
        <v>4140378.0</v>
      </c>
      <c r="C222" s="3">
        <v>92.7</v>
      </c>
      <c r="D222" s="3"/>
      <c r="E222" s="3"/>
    </row>
    <row r="223">
      <c r="B223" s="3">
        <v>4160379.0</v>
      </c>
      <c r="C223" s="3">
        <v>92.6</v>
      </c>
      <c r="D223" s="3"/>
      <c r="E223" s="3"/>
    </row>
    <row r="224">
      <c r="B224" s="3">
        <v>4180381.0</v>
      </c>
      <c r="C224" s="3">
        <v>92.7</v>
      </c>
      <c r="D224" s="3"/>
      <c r="E224" s="3"/>
    </row>
    <row r="225">
      <c r="B225" s="3">
        <v>4200383.0</v>
      </c>
      <c r="C225" s="3">
        <v>92.6</v>
      </c>
      <c r="D225" s="3"/>
      <c r="E225" s="3"/>
    </row>
    <row r="226">
      <c r="B226" s="3">
        <v>4220385.0</v>
      </c>
      <c r="C226" s="3">
        <v>92.6</v>
      </c>
      <c r="D226" s="3"/>
      <c r="E226" s="3"/>
    </row>
    <row r="227">
      <c r="B227" s="3">
        <v>4240387.0</v>
      </c>
      <c r="C227" s="3">
        <v>92.6</v>
      </c>
      <c r="D227" s="3"/>
      <c r="E227" s="3"/>
    </row>
    <row r="228">
      <c r="B228" s="3">
        <v>4260388.0</v>
      </c>
      <c r="C228" s="3">
        <v>92.6</v>
      </c>
      <c r="D228" s="3"/>
      <c r="E228" s="3"/>
    </row>
    <row r="229">
      <c r="B229" s="3">
        <v>4280390.0</v>
      </c>
      <c r="C229" s="3">
        <v>92.6</v>
      </c>
      <c r="D229" s="3"/>
      <c r="E229" s="3"/>
    </row>
    <row r="230">
      <c r="B230" s="3">
        <v>4300392.0</v>
      </c>
      <c r="C230" s="3">
        <v>92.6</v>
      </c>
      <c r="D230" s="3"/>
      <c r="E230" s="3"/>
    </row>
    <row r="231">
      <c r="B231" s="3">
        <v>4320394.0</v>
      </c>
      <c r="C231" s="3">
        <v>92.6</v>
      </c>
      <c r="D231" s="3"/>
      <c r="E231" s="3"/>
    </row>
    <row r="232">
      <c r="B232" s="3">
        <v>4340396.0</v>
      </c>
      <c r="C232" s="3">
        <v>92.6</v>
      </c>
      <c r="D232" s="3"/>
      <c r="E232" s="3"/>
    </row>
    <row r="233">
      <c r="B233" s="3">
        <v>4360397.0</v>
      </c>
      <c r="C233" s="3">
        <v>92.6</v>
      </c>
      <c r="D233" s="3"/>
      <c r="E233" s="3"/>
    </row>
    <row r="234">
      <c r="B234" s="3">
        <v>4380399.0</v>
      </c>
      <c r="C234" s="3">
        <v>92.5</v>
      </c>
      <c r="D234" s="3"/>
      <c r="E234" s="3"/>
    </row>
    <row r="235">
      <c r="B235" s="3">
        <v>4400401.0</v>
      </c>
      <c r="C235" s="3">
        <v>92.6</v>
      </c>
      <c r="D235" s="3"/>
      <c r="E235" s="3"/>
    </row>
    <row r="236">
      <c r="B236" s="3">
        <v>4420403.0</v>
      </c>
      <c r="C236" s="3">
        <v>92.6</v>
      </c>
      <c r="D236" s="3"/>
      <c r="E236" s="3"/>
    </row>
    <row r="237">
      <c r="B237" s="3">
        <v>4440406.0</v>
      </c>
      <c r="C237" s="3">
        <v>92.6</v>
      </c>
      <c r="D237" s="3"/>
      <c r="E237" s="3"/>
    </row>
    <row r="238">
      <c r="B238" s="3">
        <v>4460407.0</v>
      </c>
      <c r="C238" s="3">
        <v>92.6</v>
      </c>
      <c r="D238" s="3"/>
      <c r="E238" s="3"/>
    </row>
    <row r="239">
      <c r="B239" s="3">
        <v>4480409.0</v>
      </c>
      <c r="C239" s="3">
        <v>92.5</v>
      </c>
      <c r="D239" s="3"/>
      <c r="E239" s="3"/>
    </row>
    <row r="240">
      <c r="B240" s="3">
        <v>4500411.0</v>
      </c>
      <c r="C240" s="3">
        <v>92.6</v>
      </c>
      <c r="D240" s="3"/>
      <c r="E240" s="3"/>
    </row>
    <row r="241">
      <c r="B241" s="3">
        <v>4520413.0</v>
      </c>
      <c r="C241" s="3">
        <v>92.6</v>
      </c>
      <c r="D241" s="3"/>
      <c r="E241" s="3"/>
    </row>
    <row r="242">
      <c r="B242" s="3">
        <v>4540414.0</v>
      </c>
      <c r="C242" s="3">
        <v>92.6</v>
      </c>
      <c r="D242" s="3"/>
      <c r="E242" s="3"/>
    </row>
    <row r="243">
      <c r="B243" s="3">
        <v>4560416.0</v>
      </c>
      <c r="C243" s="3">
        <v>92.6</v>
      </c>
      <c r="D243" s="3"/>
      <c r="E243" s="3"/>
    </row>
    <row r="244">
      <c r="B244" s="3">
        <v>4580418.0</v>
      </c>
      <c r="C244" s="3">
        <v>92.6</v>
      </c>
      <c r="D244" s="3"/>
      <c r="E244" s="3"/>
    </row>
    <row r="245">
      <c r="B245" s="3">
        <v>4600420.0</v>
      </c>
      <c r="C245" s="3">
        <v>92.5</v>
      </c>
      <c r="D245" s="3"/>
      <c r="E245" s="3"/>
    </row>
    <row r="246">
      <c r="B246" s="3">
        <v>4620422.0</v>
      </c>
      <c r="C246" s="3">
        <v>92.5</v>
      </c>
      <c r="D246" s="3"/>
      <c r="E246" s="3"/>
    </row>
    <row r="247">
      <c r="B247" s="3">
        <v>4640423.0</v>
      </c>
      <c r="C247" s="3">
        <v>92.5</v>
      </c>
      <c r="D247" s="3"/>
      <c r="E247" s="3"/>
    </row>
    <row r="248">
      <c r="B248" s="3">
        <v>4660425.0</v>
      </c>
      <c r="C248" s="3">
        <v>92.5</v>
      </c>
      <c r="D248" s="3"/>
      <c r="E248" s="3"/>
    </row>
    <row r="249">
      <c r="B249" s="3">
        <v>4680427.0</v>
      </c>
      <c r="C249" s="3">
        <v>92.6</v>
      </c>
      <c r="D249" s="3"/>
      <c r="E249" s="3"/>
    </row>
    <row r="250">
      <c r="B250" s="3">
        <v>4700429.0</v>
      </c>
      <c r="C250" s="3">
        <v>92.5</v>
      </c>
      <c r="D250" s="3"/>
      <c r="E250" s="3"/>
    </row>
    <row r="251">
      <c r="B251" s="3">
        <v>4720431.0</v>
      </c>
      <c r="C251" s="3">
        <v>92.5</v>
      </c>
      <c r="D251" s="3"/>
      <c r="E251" s="3"/>
    </row>
    <row r="252">
      <c r="B252" s="3">
        <v>4740432.0</v>
      </c>
      <c r="C252" s="3">
        <v>92.6</v>
      </c>
      <c r="D252" s="3"/>
      <c r="E252" s="3"/>
    </row>
    <row r="253">
      <c r="B253" s="3">
        <v>4760434.0</v>
      </c>
      <c r="C253" s="3">
        <v>92.5</v>
      </c>
      <c r="D253" s="3"/>
      <c r="E253" s="3"/>
    </row>
    <row r="254">
      <c r="B254" s="3">
        <v>4780436.0</v>
      </c>
      <c r="C254" s="3">
        <v>92.6</v>
      </c>
      <c r="D254" s="3"/>
      <c r="E254" s="3"/>
    </row>
    <row r="255">
      <c r="B255" s="3">
        <v>4800438.0</v>
      </c>
      <c r="C255" s="3">
        <v>92.5</v>
      </c>
      <c r="D255" s="3"/>
      <c r="E255" s="3"/>
    </row>
    <row r="256">
      <c r="B256" s="3">
        <v>4820440.0</v>
      </c>
      <c r="C256" s="3">
        <v>92.5</v>
      </c>
      <c r="D256" s="3"/>
      <c r="E256" s="3"/>
    </row>
    <row r="257">
      <c r="B257" s="3">
        <v>4840441.0</v>
      </c>
      <c r="C257" s="3">
        <v>92.5</v>
      </c>
      <c r="D257" s="3"/>
      <c r="E257" s="3"/>
    </row>
    <row r="258">
      <c r="B258" s="3">
        <v>4860443.0</v>
      </c>
      <c r="C258" s="3">
        <v>92.5</v>
      </c>
      <c r="D258" s="3"/>
      <c r="E258" s="3"/>
    </row>
    <row r="259">
      <c r="B259" s="3">
        <v>4880445.0</v>
      </c>
      <c r="C259" s="3">
        <v>92.6</v>
      </c>
      <c r="D259" s="3"/>
      <c r="E259" s="3"/>
    </row>
    <row r="260">
      <c r="B260" s="3">
        <v>4900447.0</v>
      </c>
      <c r="C260" s="3">
        <v>92.5</v>
      </c>
      <c r="D260" s="3"/>
      <c r="E260" s="3"/>
    </row>
    <row r="261">
      <c r="B261" s="3">
        <v>4920449.0</v>
      </c>
      <c r="C261" s="3">
        <v>92.6</v>
      </c>
      <c r="D261" s="3"/>
      <c r="E261" s="3"/>
    </row>
    <row r="262">
      <c r="B262" s="3">
        <v>4940450.0</v>
      </c>
      <c r="C262" s="3">
        <v>92.5</v>
      </c>
      <c r="D262" s="3"/>
      <c r="E262" s="3"/>
    </row>
    <row r="263">
      <c r="B263" s="3">
        <v>4960452.0</v>
      </c>
      <c r="C263" s="3">
        <v>92.5</v>
      </c>
      <c r="D263" s="3"/>
      <c r="E263" s="3"/>
    </row>
    <row r="264">
      <c r="B264" s="3">
        <v>4980454.0</v>
      </c>
      <c r="C264" s="3">
        <v>92.5</v>
      </c>
      <c r="D264" s="3"/>
      <c r="E264" s="3"/>
    </row>
    <row r="265">
      <c r="B265" s="3">
        <v>5000456.0</v>
      </c>
      <c r="C265" s="3">
        <v>92.4</v>
      </c>
      <c r="D265" s="3"/>
      <c r="E265" s="3"/>
    </row>
    <row r="266">
      <c r="B266" s="3">
        <v>5020457.0</v>
      </c>
      <c r="C266" s="3">
        <v>92.5</v>
      </c>
      <c r="D266" s="3"/>
      <c r="E266" s="3"/>
    </row>
    <row r="267">
      <c r="B267" s="3">
        <v>5040459.0</v>
      </c>
      <c r="C267" s="3">
        <v>92.5</v>
      </c>
      <c r="D267" s="3"/>
      <c r="E267" s="3"/>
    </row>
    <row r="268">
      <c r="B268" s="3">
        <v>5060462.0</v>
      </c>
      <c r="C268" s="3">
        <v>92.5</v>
      </c>
      <c r="D268" s="3"/>
      <c r="E268" s="3"/>
    </row>
    <row r="269">
      <c r="B269" s="3">
        <v>5080464.0</v>
      </c>
      <c r="C269" s="3">
        <v>92.5</v>
      </c>
      <c r="D269" s="3"/>
      <c r="E269" s="3"/>
    </row>
    <row r="270">
      <c r="B270" s="3">
        <v>5100466.0</v>
      </c>
      <c r="C270" s="3">
        <v>92.5</v>
      </c>
      <c r="D270" s="3"/>
      <c r="E270" s="3"/>
    </row>
    <row r="271">
      <c r="B271" s="3">
        <v>5120467.0</v>
      </c>
      <c r="C271" s="3">
        <v>92.5</v>
      </c>
      <c r="D271" s="3"/>
      <c r="E271" s="3"/>
    </row>
    <row r="272">
      <c r="B272" s="3">
        <v>5140469.0</v>
      </c>
      <c r="C272" s="3">
        <v>92.5</v>
      </c>
      <c r="D272" s="3"/>
      <c r="E272" s="3"/>
    </row>
    <row r="273">
      <c r="B273" s="3">
        <v>5160471.0</v>
      </c>
      <c r="C273" s="3">
        <v>92.5</v>
      </c>
      <c r="D273" s="3"/>
      <c r="E273" s="3"/>
    </row>
    <row r="274">
      <c r="B274" s="3">
        <v>5180473.0</v>
      </c>
      <c r="C274" s="3">
        <v>92.5</v>
      </c>
      <c r="D274" s="3"/>
      <c r="E274" s="3"/>
    </row>
    <row r="275">
      <c r="B275" s="3">
        <v>5200475.0</v>
      </c>
      <c r="C275" s="3">
        <v>92.4</v>
      </c>
      <c r="D275" s="3"/>
      <c r="E275" s="3"/>
    </row>
    <row r="276">
      <c r="B276" s="3">
        <v>5220476.0</v>
      </c>
      <c r="C276" s="3">
        <v>92.5</v>
      </c>
      <c r="D276" s="3"/>
      <c r="E276" s="3"/>
    </row>
    <row r="277">
      <c r="B277" s="3">
        <v>5240478.0</v>
      </c>
      <c r="C277" s="3">
        <v>92.5</v>
      </c>
      <c r="D277" s="3"/>
      <c r="E277" s="3"/>
    </row>
    <row r="278">
      <c r="B278" s="3">
        <v>5260480.0</v>
      </c>
      <c r="C278" s="3">
        <v>92.4</v>
      </c>
      <c r="D278" s="3"/>
      <c r="E278" s="3"/>
    </row>
    <row r="279">
      <c r="B279" s="3">
        <v>5280482.0</v>
      </c>
      <c r="C279" s="3">
        <v>92.5</v>
      </c>
      <c r="D279" s="3"/>
      <c r="E279" s="3"/>
    </row>
    <row r="280">
      <c r="B280" s="3">
        <v>5300484.0</v>
      </c>
      <c r="C280" s="3">
        <v>92.4</v>
      </c>
      <c r="D280" s="3"/>
      <c r="E280" s="3"/>
    </row>
    <row r="281">
      <c r="B281" s="3">
        <v>5320485.0</v>
      </c>
      <c r="C281" s="3">
        <v>92.5</v>
      </c>
      <c r="D281" s="3"/>
      <c r="E281" s="3"/>
    </row>
    <row r="282">
      <c r="B282" s="3">
        <v>5340487.0</v>
      </c>
      <c r="C282" s="3">
        <v>92.4</v>
      </c>
      <c r="D282" s="3"/>
      <c r="E282" s="3"/>
    </row>
    <row r="283">
      <c r="B283" s="3">
        <v>5360489.0</v>
      </c>
      <c r="C283" s="3">
        <v>92.4</v>
      </c>
      <c r="D283" s="3"/>
      <c r="E283" s="3"/>
    </row>
    <row r="284">
      <c r="B284" s="3">
        <v>5380491.0</v>
      </c>
      <c r="C284" s="3">
        <v>92.4</v>
      </c>
      <c r="D284" s="3"/>
      <c r="E284" s="3"/>
    </row>
    <row r="285">
      <c r="B285" s="3">
        <v>5400493.0</v>
      </c>
      <c r="C285" s="3">
        <v>92.4</v>
      </c>
      <c r="D285" s="3"/>
      <c r="E285" s="3"/>
    </row>
    <row r="286">
      <c r="B286" s="3">
        <v>5420494.0</v>
      </c>
      <c r="C286" s="3">
        <v>92.4</v>
      </c>
      <c r="D286" s="3"/>
      <c r="E286" s="3"/>
    </row>
    <row r="287">
      <c r="B287" s="3">
        <v>5440496.0</v>
      </c>
      <c r="C287" s="3">
        <v>92.4</v>
      </c>
      <c r="D287" s="3"/>
      <c r="E287" s="3"/>
    </row>
    <row r="288">
      <c r="B288" s="3">
        <v>5460498.0</v>
      </c>
      <c r="C288" s="3">
        <v>92.4</v>
      </c>
      <c r="D288" s="3"/>
      <c r="E288" s="3"/>
    </row>
    <row r="289">
      <c r="B289" s="3">
        <v>5480500.0</v>
      </c>
      <c r="C289" s="3">
        <v>92.4</v>
      </c>
      <c r="D289" s="3"/>
      <c r="E289" s="3"/>
    </row>
    <row r="290">
      <c r="B290" s="3">
        <v>5500502.0</v>
      </c>
      <c r="C290" s="3">
        <v>92.4</v>
      </c>
      <c r="D290" s="3"/>
      <c r="E290" s="3"/>
    </row>
    <row r="291">
      <c r="B291" s="3">
        <v>5520503.0</v>
      </c>
      <c r="C291" s="3">
        <v>92.4</v>
      </c>
      <c r="D291" s="3"/>
      <c r="E291" s="3"/>
    </row>
    <row r="292">
      <c r="B292" s="3">
        <v>5540505.0</v>
      </c>
      <c r="C292" s="3">
        <v>92.4</v>
      </c>
      <c r="D292" s="3"/>
      <c r="E292" s="3"/>
    </row>
    <row r="293">
      <c r="B293" s="3">
        <v>5560507.0</v>
      </c>
      <c r="C293" s="3">
        <v>92.4</v>
      </c>
      <c r="D293" s="3"/>
      <c r="E293" s="3"/>
    </row>
    <row r="294">
      <c r="B294" s="3">
        <v>5580509.0</v>
      </c>
      <c r="C294" s="3">
        <v>92.5</v>
      </c>
      <c r="D294" s="3"/>
      <c r="E294" s="3"/>
    </row>
    <row r="295">
      <c r="B295" s="3">
        <v>5600510.0</v>
      </c>
      <c r="C295" s="3">
        <v>92.4</v>
      </c>
      <c r="D295" s="3"/>
      <c r="E295" s="3"/>
    </row>
    <row r="296">
      <c r="B296" s="3">
        <v>5620512.0</v>
      </c>
      <c r="C296" s="3">
        <v>92.4</v>
      </c>
      <c r="D296" s="3"/>
      <c r="E296" s="3"/>
    </row>
    <row r="297">
      <c r="B297" s="3">
        <v>5640514.0</v>
      </c>
      <c r="C297" s="3">
        <v>92.4</v>
      </c>
      <c r="D297" s="3"/>
      <c r="E297" s="3"/>
    </row>
    <row r="298">
      <c r="B298" s="3">
        <v>5660517.0</v>
      </c>
      <c r="C298" s="3">
        <v>92.4</v>
      </c>
      <c r="D298" s="3"/>
      <c r="E298" s="3"/>
    </row>
    <row r="299">
      <c r="B299" s="3">
        <v>5680519.0</v>
      </c>
      <c r="C299" s="3">
        <v>92.4</v>
      </c>
      <c r="D299" s="3"/>
      <c r="E299" s="3"/>
    </row>
    <row r="300">
      <c r="B300" s="3">
        <v>5700520.0</v>
      </c>
      <c r="C300" s="3">
        <v>92.4</v>
      </c>
      <c r="D300" s="3"/>
      <c r="E300" s="3"/>
    </row>
    <row r="301">
      <c r="B301" s="3">
        <v>5720522.0</v>
      </c>
      <c r="C301" s="3">
        <v>92.3</v>
      </c>
      <c r="D301" s="3"/>
      <c r="E301" s="3"/>
    </row>
    <row r="302">
      <c r="B302" s="3">
        <v>5740524.0</v>
      </c>
      <c r="C302" s="3">
        <v>92.4</v>
      </c>
      <c r="D302" s="3"/>
      <c r="E302" s="3"/>
    </row>
    <row r="303">
      <c r="B303" s="3">
        <v>5760526.0</v>
      </c>
      <c r="C303" s="3">
        <v>92.3</v>
      </c>
      <c r="D303" s="3"/>
      <c r="E303" s="3"/>
    </row>
    <row r="304">
      <c r="B304" s="3">
        <v>5780528.0</v>
      </c>
      <c r="C304" s="3">
        <v>92.3</v>
      </c>
      <c r="D304" s="3"/>
      <c r="E304" s="3"/>
    </row>
    <row r="305">
      <c r="B305" s="3">
        <v>5800529.0</v>
      </c>
      <c r="C305" s="3">
        <v>92.4</v>
      </c>
      <c r="D305" s="3"/>
      <c r="E305" s="3"/>
    </row>
    <row r="306">
      <c r="B306" s="3">
        <v>5820531.0</v>
      </c>
      <c r="C306" s="3">
        <v>92.4</v>
      </c>
      <c r="D306" s="3"/>
      <c r="E306" s="3"/>
    </row>
    <row r="307">
      <c r="B307" s="3">
        <v>5840533.0</v>
      </c>
      <c r="C307" s="3">
        <v>92.4</v>
      </c>
      <c r="D307" s="3"/>
      <c r="E307" s="3"/>
    </row>
    <row r="308">
      <c r="B308" s="3">
        <v>5860535.0</v>
      </c>
      <c r="C308" s="3">
        <v>92.4</v>
      </c>
      <c r="D308" s="3"/>
      <c r="E308" s="3"/>
    </row>
    <row r="309">
      <c r="B309" s="3">
        <v>5880537.0</v>
      </c>
      <c r="C309" s="3">
        <v>92.3</v>
      </c>
      <c r="D309" s="3"/>
      <c r="E309" s="3"/>
    </row>
    <row r="310">
      <c r="B310" s="3">
        <v>5900538.0</v>
      </c>
      <c r="C310" s="3">
        <v>92.3</v>
      </c>
      <c r="D310" s="3"/>
      <c r="E310" s="3"/>
    </row>
    <row r="311">
      <c r="B311" s="3">
        <v>5920540.0</v>
      </c>
      <c r="C311" s="3">
        <v>92.4</v>
      </c>
      <c r="D311" s="3"/>
      <c r="E311" s="3"/>
    </row>
    <row r="312">
      <c r="B312" s="3">
        <v>5940542.0</v>
      </c>
      <c r="C312" s="3">
        <v>92.4</v>
      </c>
      <c r="D312" s="3"/>
      <c r="E312" s="3"/>
    </row>
    <row r="313">
      <c r="B313" s="3">
        <v>5960544.0</v>
      </c>
      <c r="C313" s="3">
        <v>92.4</v>
      </c>
      <c r="D313" s="3"/>
      <c r="E313" s="3"/>
    </row>
    <row r="314">
      <c r="B314" s="3">
        <v>5980546.0</v>
      </c>
      <c r="C314" s="3">
        <v>92.4</v>
      </c>
      <c r="D314" s="3"/>
      <c r="E314" s="3"/>
    </row>
    <row r="315">
      <c r="B315" s="3">
        <v>6000547.0</v>
      </c>
      <c r="C315" s="3">
        <v>92.3</v>
      </c>
      <c r="D315" s="3"/>
      <c r="E315" s="3"/>
    </row>
    <row r="316">
      <c r="B316" s="3">
        <v>6020549.0</v>
      </c>
      <c r="C316" s="3">
        <v>92.3</v>
      </c>
      <c r="D316" s="3"/>
      <c r="E316" s="3"/>
    </row>
    <row r="317">
      <c r="B317" s="3">
        <v>6040551.0</v>
      </c>
      <c r="C317" s="3">
        <v>92.4</v>
      </c>
      <c r="D317" s="3"/>
      <c r="E317" s="3"/>
    </row>
    <row r="318">
      <c r="B318" s="3">
        <v>6060553.0</v>
      </c>
      <c r="C318" s="3">
        <v>92.3</v>
      </c>
      <c r="D318" s="3"/>
      <c r="E318" s="3"/>
    </row>
    <row r="319">
      <c r="B319" s="3">
        <v>6080555.0</v>
      </c>
      <c r="C319" s="3">
        <v>92.3</v>
      </c>
      <c r="D319" s="3"/>
      <c r="E319" s="3"/>
    </row>
    <row r="320">
      <c r="B320" s="3">
        <v>6100556.0</v>
      </c>
      <c r="C320" s="3">
        <v>92.3</v>
      </c>
      <c r="D320" s="3"/>
      <c r="E320" s="3"/>
    </row>
    <row r="321">
      <c r="B321" s="3">
        <v>6120558.0</v>
      </c>
      <c r="C321" s="3">
        <v>92.4</v>
      </c>
      <c r="D321" s="3"/>
      <c r="E321" s="3"/>
    </row>
    <row r="322">
      <c r="B322" s="3">
        <v>6140560.0</v>
      </c>
      <c r="C322" s="3">
        <v>92.3</v>
      </c>
      <c r="D322" s="3"/>
      <c r="E322" s="3"/>
    </row>
    <row r="323">
      <c r="B323" s="3">
        <v>6160562.0</v>
      </c>
      <c r="C323" s="3">
        <v>92.3</v>
      </c>
      <c r="D323" s="3"/>
      <c r="E323" s="3"/>
    </row>
    <row r="324">
      <c r="B324" s="3">
        <v>6180563.0</v>
      </c>
      <c r="C324" s="3">
        <v>92.3</v>
      </c>
      <c r="D324" s="3"/>
      <c r="E324" s="3"/>
    </row>
    <row r="325">
      <c r="B325" s="3">
        <v>6200565.0</v>
      </c>
      <c r="C325" s="3">
        <v>92.3</v>
      </c>
      <c r="D325" s="3"/>
      <c r="E325" s="3"/>
    </row>
    <row r="326">
      <c r="B326" s="3">
        <v>6220567.0</v>
      </c>
      <c r="C326" s="3">
        <v>92.3</v>
      </c>
      <c r="D326" s="3"/>
      <c r="E326" s="3"/>
    </row>
    <row r="327">
      <c r="B327" s="3">
        <v>6240569.0</v>
      </c>
      <c r="C327" s="3">
        <v>92.3</v>
      </c>
      <c r="D327" s="3"/>
      <c r="E327" s="3"/>
    </row>
    <row r="328">
      <c r="B328" s="3">
        <v>6260572.0</v>
      </c>
      <c r="C328" s="3">
        <v>92.3</v>
      </c>
      <c r="D328" s="3"/>
      <c r="E328" s="3"/>
    </row>
    <row r="329">
      <c r="B329" s="3">
        <v>6280573.0</v>
      </c>
      <c r="C329" s="3">
        <v>92.2</v>
      </c>
      <c r="D329" s="3"/>
      <c r="E329" s="3"/>
    </row>
    <row r="330">
      <c r="B330" s="3">
        <v>6300575.0</v>
      </c>
      <c r="C330" s="3">
        <v>92.3</v>
      </c>
      <c r="D330" s="3"/>
      <c r="E330" s="3"/>
    </row>
    <row r="331">
      <c r="B331" s="3">
        <v>6320577.0</v>
      </c>
      <c r="C331" s="3">
        <v>92.2</v>
      </c>
      <c r="D331" s="3"/>
      <c r="E331" s="3"/>
    </row>
    <row r="332">
      <c r="B332" s="3">
        <v>6340579.0</v>
      </c>
      <c r="C332" s="3">
        <v>92.3</v>
      </c>
      <c r="D332" s="3"/>
      <c r="E332" s="3"/>
    </row>
    <row r="333">
      <c r="B333" s="3">
        <v>6360581.0</v>
      </c>
      <c r="C333" s="3">
        <v>92.3</v>
      </c>
      <c r="D333" s="3"/>
      <c r="E333" s="3"/>
    </row>
    <row r="334">
      <c r="B334" s="3">
        <v>6380582.0</v>
      </c>
      <c r="C334" s="3">
        <v>92.2</v>
      </c>
      <c r="D334" s="3"/>
      <c r="E334" s="3"/>
    </row>
    <row r="335">
      <c r="B335" s="3">
        <v>6400584.0</v>
      </c>
      <c r="C335" s="3">
        <v>92.2</v>
      </c>
      <c r="D335" s="3"/>
      <c r="E335" s="3"/>
    </row>
    <row r="336">
      <c r="B336" s="3">
        <v>6420586.0</v>
      </c>
      <c r="C336" s="3">
        <v>92.3</v>
      </c>
      <c r="D336" s="3"/>
      <c r="E336" s="3"/>
    </row>
    <row r="337">
      <c r="B337" s="3">
        <v>6440588.0</v>
      </c>
      <c r="C337" s="3">
        <v>92.3</v>
      </c>
      <c r="D337" s="3"/>
      <c r="E337" s="3"/>
    </row>
    <row r="338">
      <c r="B338" s="3">
        <v>6460590.0</v>
      </c>
      <c r="C338" s="3">
        <v>92.2</v>
      </c>
      <c r="D338" s="3"/>
      <c r="E338" s="3"/>
    </row>
    <row r="339">
      <c r="B339" s="3">
        <v>6480591.0</v>
      </c>
      <c r="C339" s="3">
        <v>92.2</v>
      </c>
      <c r="D339" s="3"/>
      <c r="E339" s="3"/>
    </row>
    <row r="340">
      <c r="B340" s="3">
        <v>6500593.0</v>
      </c>
      <c r="C340" s="3">
        <v>92.2</v>
      </c>
      <c r="D340" s="3"/>
      <c r="E340" s="3"/>
    </row>
    <row r="341">
      <c r="B341" s="3">
        <v>6520595.0</v>
      </c>
      <c r="C341" s="3">
        <v>92.2</v>
      </c>
      <c r="D341" s="3"/>
      <c r="E341" s="3"/>
    </row>
    <row r="342">
      <c r="B342" s="3">
        <v>6540597.0</v>
      </c>
      <c r="C342" s="3">
        <v>92.2</v>
      </c>
      <c r="D342" s="3"/>
      <c r="E342" s="3"/>
    </row>
    <row r="343">
      <c r="B343" s="3">
        <v>6560599.0</v>
      </c>
      <c r="C343" s="3">
        <v>92.2</v>
      </c>
      <c r="D343" s="3"/>
      <c r="E343" s="3"/>
    </row>
    <row r="344">
      <c r="B344" s="3">
        <v>6580600.0</v>
      </c>
      <c r="C344" s="3">
        <v>92.2</v>
      </c>
      <c r="D344" s="3"/>
      <c r="E344" s="3"/>
    </row>
    <row r="345">
      <c r="B345" s="3">
        <v>6600602.0</v>
      </c>
      <c r="C345" s="3">
        <v>92.2</v>
      </c>
      <c r="D345" s="3"/>
      <c r="E345" s="3"/>
    </row>
    <row r="346">
      <c r="B346" s="3">
        <v>6620604.0</v>
      </c>
      <c r="C346" s="3">
        <v>92.2</v>
      </c>
      <c r="D346" s="3"/>
      <c r="E346" s="3"/>
    </row>
    <row r="347">
      <c r="B347" s="3">
        <v>6640606.0</v>
      </c>
      <c r="C347" s="3">
        <v>92.2</v>
      </c>
      <c r="D347" s="3"/>
      <c r="E347" s="3"/>
    </row>
    <row r="348">
      <c r="B348" s="3">
        <v>6660608.0</v>
      </c>
      <c r="C348" s="3">
        <v>92.2</v>
      </c>
      <c r="D348" s="3"/>
      <c r="E348" s="3"/>
    </row>
    <row r="349">
      <c r="B349" s="3">
        <v>6680609.0</v>
      </c>
      <c r="C349" s="3">
        <v>92.1</v>
      </c>
      <c r="D349" s="3"/>
      <c r="E349" s="3"/>
    </row>
    <row r="350">
      <c r="B350" s="3">
        <v>6700611.0</v>
      </c>
      <c r="C350" s="3">
        <v>92.2</v>
      </c>
      <c r="D350" s="3"/>
      <c r="E350" s="3"/>
    </row>
    <row r="351">
      <c r="B351" s="3">
        <v>6720613.0</v>
      </c>
      <c r="C351" s="3">
        <v>92.2</v>
      </c>
      <c r="D351" s="3"/>
      <c r="E351" s="3"/>
    </row>
    <row r="352">
      <c r="B352" s="3">
        <v>6740615.0</v>
      </c>
      <c r="C352" s="3">
        <v>92.2</v>
      </c>
      <c r="D352" s="3"/>
      <c r="E352" s="3"/>
    </row>
    <row r="353">
      <c r="B353" s="3">
        <v>6760616.0</v>
      </c>
      <c r="C353" s="3">
        <v>92.2</v>
      </c>
      <c r="D353" s="3"/>
      <c r="E353" s="3"/>
    </row>
    <row r="354">
      <c r="B354" s="3">
        <v>6780618.0</v>
      </c>
      <c r="C354" s="3">
        <v>92.2</v>
      </c>
      <c r="D354" s="3"/>
      <c r="E354" s="3"/>
    </row>
    <row r="355">
      <c r="B355" s="3">
        <v>6800620.0</v>
      </c>
      <c r="C355" s="3">
        <v>92.1</v>
      </c>
      <c r="D355" s="3"/>
      <c r="E355" s="3"/>
    </row>
    <row r="356">
      <c r="B356" s="3">
        <v>6820622.0</v>
      </c>
      <c r="C356" s="3">
        <v>92.2</v>
      </c>
      <c r="D356" s="3"/>
      <c r="E356" s="3"/>
    </row>
    <row r="357">
      <c r="B357" s="3">
        <v>6840625.0</v>
      </c>
      <c r="C357" s="3">
        <v>92.2</v>
      </c>
      <c r="D357" s="3"/>
      <c r="E357" s="3"/>
    </row>
    <row r="358">
      <c r="B358" s="3">
        <v>6860626.0</v>
      </c>
      <c r="C358" s="3">
        <v>92.2</v>
      </c>
      <c r="D358" s="3"/>
      <c r="E358" s="3"/>
    </row>
    <row r="359">
      <c r="B359" s="3">
        <v>6880628.0</v>
      </c>
      <c r="C359" s="3">
        <v>92.1</v>
      </c>
      <c r="D359" s="3"/>
      <c r="E359" s="3"/>
    </row>
    <row r="360">
      <c r="B360" s="3">
        <v>6900630.0</v>
      </c>
      <c r="C360" s="3">
        <v>92.1</v>
      </c>
      <c r="D360" s="3"/>
      <c r="E360" s="3"/>
    </row>
    <row r="361">
      <c r="B361" s="3">
        <v>6920632.0</v>
      </c>
      <c r="C361" s="3">
        <v>92.2</v>
      </c>
      <c r="D361" s="3"/>
      <c r="E361" s="3"/>
    </row>
    <row r="362">
      <c r="B362" s="3">
        <v>6940634.0</v>
      </c>
      <c r="C362" s="3">
        <v>92.2</v>
      </c>
      <c r="D362" s="3"/>
      <c r="E362" s="3"/>
    </row>
    <row r="363">
      <c r="B363" s="3">
        <v>6960635.0</v>
      </c>
      <c r="C363" s="3">
        <v>92.2</v>
      </c>
      <c r="D363" s="3"/>
      <c r="E363" s="3"/>
    </row>
    <row r="364">
      <c r="B364" s="3">
        <v>6980637.0</v>
      </c>
      <c r="C364" s="3">
        <v>92.1</v>
      </c>
      <c r="D364" s="3"/>
      <c r="E364" s="3"/>
    </row>
    <row r="365">
      <c r="B365" s="3">
        <v>7000639.0</v>
      </c>
      <c r="C365" s="3">
        <v>92.1</v>
      </c>
      <c r="D365" s="3"/>
      <c r="E365" s="3"/>
    </row>
    <row r="366">
      <c r="B366" s="3">
        <v>7020641.0</v>
      </c>
      <c r="C366" s="3">
        <v>92.1</v>
      </c>
      <c r="D366" s="3"/>
      <c r="E366" s="3"/>
    </row>
    <row r="367">
      <c r="B367" s="3">
        <v>7040643.0</v>
      </c>
      <c r="C367" s="3">
        <v>92.1</v>
      </c>
      <c r="D367" s="3"/>
      <c r="E367" s="3"/>
    </row>
    <row r="368">
      <c r="B368" s="3">
        <v>7060644.0</v>
      </c>
      <c r="C368" s="3">
        <v>92.1</v>
      </c>
      <c r="D368" s="3"/>
      <c r="E368" s="3"/>
    </row>
    <row r="369">
      <c r="B369" s="3">
        <v>7080646.0</v>
      </c>
      <c r="C369" s="3">
        <v>92.1</v>
      </c>
      <c r="D369" s="3"/>
      <c r="E369" s="3"/>
    </row>
    <row r="370">
      <c r="B370" s="3">
        <v>7100648.0</v>
      </c>
      <c r="C370" s="3">
        <v>92.1</v>
      </c>
      <c r="D370" s="3"/>
      <c r="E370" s="3"/>
    </row>
    <row r="371">
      <c r="B371" s="3">
        <v>7120650.0</v>
      </c>
      <c r="C371" s="3">
        <v>92.1</v>
      </c>
      <c r="D371" s="3"/>
      <c r="E371" s="3"/>
    </row>
    <row r="372">
      <c r="B372" s="3">
        <v>7140652.0</v>
      </c>
      <c r="C372" s="3">
        <v>92.1</v>
      </c>
      <c r="D372" s="3"/>
      <c r="E372" s="3"/>
    </row>
    <row r="373">
      <c r="B373" s="3">
        <v>7160653.0</v>
      </c>
      <c r="C373" s="3">
        <v>92.2</v>
      </c>
      <c r="D373" s="3"/>
      <c r="E373" s="3"/>
    </row>
    <row r="374">
      <c r="B374" s="3">
        <v>7180655.0</v>
      </c>
      <c r="C374" s="3">
        <v>92.2</v>
      </c>
      <c r="D374" s="3"/>
      <c r="E374" s="3"/>
    </row>
    <row r="375">
      <c r="B375" s="3">
        <v>7200657.0</v>
      </c>
      <c r="C375" s="3">
        <v>92.1</v>
      </c>
      <c r="D375" s="3"/>
      <c r="E375" s="3"/>
    </row>
    <row r="376">
      <c r="B376" s="3">
        <v>7220659.0</v>
      </c>
      <c r="C376" s="3">
        <v>92.1</v>
      </c>
      <c r="D376" s="3"/>
      <c r="E376" s="3"/>
    </row>
    <row r="377">
      <c r="B377" s="3">
        <v>7240660.0</v>
      </c>
      <c r="C377" s="3">
        <v>92.1</v>
      </c>
      <c r="D377" s="3"/>
      <c r="E377" s="3"/>
    </row>
    <row r="378">
      <c r="B378" s="3">
        <v>7260662.0</v>
      </c>
      <c r="C378" s="3">
        <v>92.1</v>
      </c>
      <c r="D378" s="3"/>
      <c r="E378" s="3"/>
    </row>
    <row r="379">
      <c r="B379" s="3">
        <v>7280664.0</v>
      </c>
      <c r="C379" s="3">
        <v>92.1</v>
      </c>
      <c r="D379" s="3"/>
      <c r="E379" s="3"/>
    </row>
    <row r="380">
      <c r="B380" s="3">
        <v>7300666.0</v>
      </c>
      <c r="C380" s="3">
        <v>92.1</v>
      </c>
      <c r="D380" s="3"/>
      <c r="E380" s="3"/>
    </row>
    <row r="381">
      <c r="B381" s="3">
        <v>7320668.0</v>
      </c>
      <c r="C381" s="3">
        <v>92.1</v>
      </c>
      <c r="D381" s="3"/>
      <c r="E381" s="3"/>
    </row>
    <row r="382">
      <c r="B382" s="3">
        <v>7340669.0</v>
      </c>
      <c r="C382" s="3">
        <v>92.1</v>
      </c>
      <c r="D382" s="3"/>
      <c r="E382" s="3"/>
    </row>
    <row r="383">
      <c r="B383" s="3">
        <v>7360671.0</v>
      </c>
      <c r="C383" s="3">
        <v>92.0</v>
      </c>
      <c r="D383" s="3"/>
      <c r="E383" s="3"/>
    </row>
    <row r="384">
      <c r="B384" s="3">
        <v>7380673.0</v>
      </c>
      <c r="C384" s="3">
        <v>92.1</v>
      </c>
      <c r="D384" s="3"/>
      <c r="E384" s="3"/>
    </row>
    <row r="385">
      <c r="B385" s="3">
        <v>7400675.0</v>
      </c>
      <c r="C385" s="3">
        <v>92.1</v>
      </c>
      <c r="D385" s="3"/>
      <c r="E385" s="3"/>
    </row>
    <row r="386">
      <c r="B386" s="3">
        <v>7420678.0</v>
      </c>
      <c r="C386" s="3">
        <v>92.0</v>
      </c>
      <c r="D386" s="3"/>
      <c r="E386" s="3"/>
    </row>
    <row r="387">
      <c r="B387" s="3">
        <v>7440679.0</v>
      </c>
      <c r="C387" s="3">
        <v>92.1</v>
      </c>
      <c r="D387" s="3"/>
      <c r="E387" s="3"/>
    </row>
    <row r="388">
      <c r="B388" s="3">
        <v>7460681.0</v>
      </c>
      <c r="C388" s="3">
        <v>92.0</v>
      </c>
      <c r="D388" s="3"/>
      <c r="E388" s="3"/>
    </row>
    <row r="389">
      <c r="B389" s="3">
        <v>7480683.0</v>
      </c>
      <c r="C389" s="3">
        <v>92.1</v>
      </c>
      <c r="D389" s="3"/>
      <c r="E389" s="3"/>
    </row>
    <row r="390">
      <c r="B390" s="3">
        <v>7500685.0</v>
      </c>
      <c r="C390" s="3">
        <v>92.0</v>
      </c>
      <c r="D390" s="3"/>
      <c r="E390" s="3"/>
    </row>
    <row r="391">
      <c r="B391" s="3">
        <v>7520687.0</v>
      </c>
      <c r="C391" s="3">
        <v>92.0</v>
      </c>
      <c r="D391" s="3"/>
      <c r="E391" s="3"/>
    </row>
    <row r="392">
      <c r="B392" s="3">
        <v>7540688.0</v>
      </c>
      <c r="C392" s="3">
        <v>92.1</v>
      </c>
      <c r="D392" s="3"/>
      <c r="E392" s="3"/>
    </row>
    <row r="393">
      <c r="B393" s="3">
        <v>7560690.0</v>
      </c>
      <c r="C393" s="3">
        <v>92.0</v>
      </c>
      <c r="D393" s="3"/>
      <c r="E393" s="3"/>
    </row>
    <row r="394">
      <c r="B394" s="3">
        <v>7580692.0</v>
      </c>
      <c r="C394" s="3">
        <v>92.0</v>
      </c>
      <c r="D394" s="3"/>
      <c r="E394" s="3"/>
    </row>
    <row r="395">
      <c r="B395" s="3">
        <v>7600694.0</v>
      </c>
      <c r="C395" s="3">
        <v>92.0</v>
      </c>
      <c r="D395" s="3"/>
      <c r="E395" s="3"/>
    </row>
    <row r="396">
      <c r="B396" s="3">
        <v>7620696.0</v>
      </c>
      <c r="C396" s="3">
        <v>92.0</v>
      </c>
      <c r="D396" s="3"/>
      <c r="E396" s="3"/>
    </row>
    <row r="397">
      <c r="B397" s="3">
        <v>7640697.0</v>
      </c>
      <c r="C397" s="3">
        <v>92.0</v>
      </c>
      <c r="D397" s="3"/>
      <c r="E397" s="3"/>
    </row>
    <row r="398">
      <c r="B398" s="3">
        <v>7660699.0</v>
      </c>
      <c r="C398" s="3">
        <v>92.0</v>
      </c>
      <c r="D398" s="3"/>
      <c r="E398" s="3"/>
    </row>
    <row r="399">
      <c r="B399" s="3">
        <v>7680701.0</v>
      </c>
      <c r="C399" s="3">
        <v>92.0</v>
      </c>
      <c r="D399" s="3"/>
      <c r="E399" s="3"/>
    </row>
    <row r="400">
      <c r="B400" s="3">
        <v>7700703.0</v>
      </c>
      <c r="C400" s="3">
        <v>91.9</v>
      </c>
      <c r="D400" s="3"/>
      <c r="E400" s="3"/>
    </row>
    <row r="401">
      <c r="B401" s="3">
        <v>7720705.0</v>
      </c>
      <c r="C401" s="3">
        <v>92.0</v>
      </c>
      <c r="D401" s="3"/>
      <c r="E401" s="3"/>
    </row>
    <row r="402">
      <c r="B402" s="3">
        <v>7740706.0</v>
      </c>
      <c r="C402" s="3">
        <v>92.0</v>
      </c>
      <c r="D402" s="3"/>
      <c r="E402" s="3"/>
    </row>
    <row r="403">
      <c r="B403" s="3">
        <v>7760708.0</v>
      </c>
      <c r="C403" s="3">
        <v>92.0</v>
      </c>
      <c r="D403" s="3"/>
      <c r="E403" s="3"/>
    </row>
    <row r="404">
      <c r="B404" s="3">
        <v>7780710.0</v>
      </c>
      <c r="C404" s="3">
        <v>92.0</v>
      </c>
      <c r="D404" s="3"/>
      <c r="E404" s="3"/>
    </row>
    <row r="405">
      <c r="B405" s="3">
        <v>7800712.0</v>
      </c>
      <c r="C405" s="3">
        <v>92.0</v>
      </c>
      <c r="D405" s="3"/>
      <c r="E405" s="3"/>
    </row>
    <row r="406">
      <c r="B406" s="3">
        <v>7820713.0</v>
      </c>
      <c r="C406" s="3">
        <v>91.9</v>
      </c>
      <c r="D406" s="3"/>
      <c r="E406" s="3"/>
    </row>
    <row r="407">
      <c r="B407" s="3">
        <v>7840715.0</v>
      </c>
      <c r="C407" s="3">
        <v>92.0</v>
      </c>
      <c r="D407" s="3"/>
      <c r="E407" s="3"/>
    </row>
    <row r="408">
      <c r="B408" s="3">
        <v>7860717.0</v>
      </c>
      <c r="C408" s="3">
        <v>91.9</v>
      </c>
      <c r="D408" s="3"/>
      <c r="E408" s="3"/>
    </row>
    <row r="409">
      <c r="B409" s="3">
        <v>7880719.0</v>
      </c>
      <c r="C409" s="3">
        <v>92.0</v>
      </c>
      <c r="D409" s="3"/>
      <c r="E409" s="3"/>
    </row>
    <row r="410">
      <c r="B410" s="3">
        <v>7900721.0</v>
      </c>
      <c r="C410" s="3">
        <v>92.0</v>
      </c>
      <c r="D410" s="3"/>
      <c r="E410" s="3"/>
    </row>
    <row r="411">
      <c r="B411" s="3">
        <v>7920722.0</v>
      </c>
      <c r="C411" s="3">
        <v>92.0</v>
      </c>
      <c r="D411" s="3"/>
      <c r="E411" s="3"/>
    </row>
    <row r="412">
      <c r="B412" s="3">
        <v>7940724.0</v>
      </c>
      <c r="C412" s="3">
        <v>91.9</v>
      </c>
      <c r="D412" s="3"/>
      <c r="E412" s="3"/>
    </row>
    <row r="413">
      <c r="B413" s="3">
        <v>7960726.0</v>
      </c>
      <c r="C413" s="3">
        <v>91.9</v>
      </c>
      <c r="D413" s="3"/>
      <c r="E413" s="3"/>
    </row>
    <row r="414">
      <c r="B414" s="3">
        <v>7980728.0</v>
      </c>
      <c r="C414" s="3">
        <v>91.9</v>
      </c>
      <c r="D414" s="3"/>
      <c r="E414" s="3"/>
    </row>
    <row r="415">
      <c r="B415" s="3">
        <v>8000730.0</v>
      </c>
      <c r="C415" s="3">
        <v>91.9</v>
      </c>
      <c r="D415" s="3"/>
      <c r="E415" s="3"/>
    </row>
    <row r="416">
      <c r="B416" s="3">
        <v>8020731.0</v>
      </c>
      <c r="C416" s="3">
        <v>91.9</v>
      </c>
      <c r="D416" s="3"/>
      <c r="E416" s="3"/>
    </row>
    <row r="417">
      <c r="B417" s="3">
        <v>8040733.0</v>
      </c>
      <c r="C417" s="3">
        <v>91.9</v>
      </c>
      <c r="D417" s="3"/>
      <c r="E417" s="3"/>
    </row>
    <row r="418">
      <c r="B418" s="3">
        <v>8060736.0</v>
      </c>
      <c r="C418" s="3">
        <v>91.9</v>
      </c>
      <c r="D418" s="3"/>
      <c r="E418" s="3"/>
    </row>
    <row r="419">
      <c r="B419" s="3">
        <v>8080738.0</v>
      </c>
      <c r="C419" s="3">
        <v>91.9</v>
      </c>
      <c r="D419" s="3"/>
      <c r="E419" s="3"/>
    </row>
    <row r="420">
      <c r="B420" s="3">
        <v>8100740.0</v>
      </c>
      <c r="C420" s="3">
        <v>91.9</v>
      </c>
      <c r="D420" s="3"/>
      <c r="E420" s="3"/>
    </row>
    <row r="421">
      <c r="B421" s="3">
        <v>8120741.0</v>
      </c>
      <c r="C421" s="3">
        <v>92.0</v>
      </c>
      <c r="D421" s="3"/>
      <c r="E421" s="3"/>
    </row>
    <row r="422">
      <c r="B422" s="3">
        <v>8140743.0</v>
      </c>
      <c r="C422" s="3">
        <v>91.8</v>
      </c>
      <c r="D422" s="3"/>
      <c r="E422" s="3"/>
    </row>
    <row r="423">
      <c r="B423" s="3">
        <v>8160745.0</v>
      </c>
      <c r="C423" s="3">
        <v>91.9</v>
      </c>
      <c r="D423" s="3"/>
      <c r="E423" s="3"/>
    </row>
    <row r="424">
      <c r="B424" s="3">
        <v>8180747.0</v>
      </c>
      <c r="C424" s="3">
        <v>91.9</v>
      </c>
      <c r="D424" s="3"/>
      <c r="E424" s="3"/>
    </row>
    <row r="425">
      <c r="B425" s="3">
        <v>8200749.0</v>
      </c>
      <c r="C425" s="3">
        <v>91.9</v>
      </c>
      <c r="D425" s="3"/>
      <c r="E425" s="3"/>
    </row>
    <row r="426">
      <c r="B426" s="3">
        <v>8220750.0</v>
      </c>
      <c r="C426" s="3">
        <v>91.9</v>
      </c>
      <c r="D426" s="3"/>
      <c r="E426" s="3"/>
    </row>
    <row r="427">
      <c r="B427" s="3">
        <v>8240752.0</v>
      </c>
      <c r="C427" s="3">
        <v>91.8</v>
      </c>
      <c r="D427" s="3"/>
      <c r="E427" s="3"/>
    </row>
    <row r="428">
      <c r="B428" s="3">
        <v>8260754.0</v>
      </c>
      <c r="C428" s="3">
        <v>91.9</v>
      </c>
      <c r="D428" s="3"/>
      <c r="E428" s="3"/>
    </row>
    <row r="429">
      <c r="B429" s="3">
        <v>8280756.0</v>
      </c>
      <c r="C429" s="3">
        <v>91.9</v>
      </c>
      <c r="D429" s="3"/>
      <c r="E429" s="3"/>
    </row>
    <row r="430">
      <c r="B430" s="3">
        <v>8300758.0</v>
      </c>
      <c r="C430" s="3">
        <v>91.9</v>
      </c>
      <c r="D430" s="3"/>
      <c r="E430" s="3"/>
    </row>
    <row r="431">
      <c r="B431" s="3">
        <v>8320759.0</v>
      </c>
      <c r="C431" s="3">
        <v>91.9</v>
      </c>
      <c r="D431" s="3"/>
      <c r="E431" s="3"/>
    </row>
    <row r="432">
      <c r="B432" s="3">
        <v>8340761.0</v>
      </c>
      <c r="C432" s="3">
        <v>91.8</v>
      </c>
      <c r="D432" s="3"/>
      <c r="E432" s="3"/>
    </row>
    <row r="433">
      <c r="B433" s="3">
        <v>8360763.0</v>
      </c>
      <c r="C433" s="3">
        <v>91.9</v>
      </c>
      <c r="D433" s="3"/>
      <c r="E433" s="3"/>
    </row>
    <row r="434">
      <c r="B434" s="3">
        <v>8380765.0</v>
      </c>
      <c r="C434" s="3">
        <v>91.9</v>
      </c>
      <c r="D434" s="3"/>
      <c r="E434" s="3"/>
    </row>
    <row r="435">
      <c r="B435" s="3">
        <v>8400766.0</v>
      </c>
      <c r="C435" s="3">
        <v>91.9</v>
      </c>
      <c r="D435" s="3"/>
      <c r="E435" s="3"/>
    </row>
    <row r="436">
      <c r="B436" s="3">
        <v>8420768.0</v>
      </c>
      <c r="C436" s="3">
        <v>91.9</v>
      </c>
      <c r="D436" s="3"/>
      <c r="E436" s="3"/>
    </row>
    <row r="437">
      <c r="B437" s="3">
        <v>8440770.0</v>
      </c>
      <c r="C437" s="3">
        <v>91.8</v>
      </c>
      <c r="D437" s="3"/>
      <c r="E437" s="3"/>
    </row>
    <row r="438">
      <c r="B438" s="3">
        <v>8460772.0</v>
      </c>
      <c r="C438" s="3">
        <v>91.8</v>
      </c>
      <c r="D438" s="3"/>
      <c r="E438" s="3"/>
    </row>
    <row r="439">
      <c r="B439" s="3">
        <v>8480774.0</v>
      </c>
      <c r="C439" s="3">
        <v>91.8</v>
      </c>
      <c r="D439" s="3"/>
      <c r="E439" s="3"/>
    </row>
    <row r="440">
      <c r="B440" s="3">
        <v>8500775.0</v>
      </c>
      <c r="C440" s="3">
        <v>91.8</v>
      </c>
      <c r="D440" s="3"/>
      <c r="E440" s="3"/>
    </row>
    <row r="441">
      <c r="B441" s="3">
        <v>8520777.0</v>
      </c>
      <c r="C441" s="3">
        <v>91.9</v>
      </c>
      <c r="D441" s="3"/>
      <c r="E441" s="3"/>
    </row>
    <row r="442">
      <c r="B442" s="3">
        <v>8540779.0</v>
      </c>
      <c r="C442" s="3">
        <v>91.8</v>
      </c>
      <c r="D442" s="3"/>
      <c r="E442" s="3"/>
    </row>
    <row r="443">
      <c r="B443" s="3">
        <v>8560781.0</v>
      </c>
      <c r="C443" s="3">
        <v>91.8</v>
      </c>
      <c r="D443" s="3"/>
      <c r="E443" s="3"/>
    </row>
    <row r="444">
      <c r="B444" s="3">
        <v>8580783.0</v>
      </c>
      <c r="C444" s="3">
        <v>91.8</v>
      </c>
      <c r="D444" s="3"/>
      <c r="E444" s="3"/>
    </row>
    <row r="445">
      <c r="B445" s="3">
        <v>8600784.0</v>
      </c>
      <c r="C445" s="3">
        <v>91.8</v>
      </c>
      <c r="D445" s="3"/>
      <c r="E445" s="3"/>
    </row>
    <row r="446">
      <c r="B446" s="3">
        <v>8620786.0</v>
      </c>
      <c r="C446" s="3">
        <v>91.8</v>
      </c>
      <c r="D446" s="3"/>
      <c r="E446" s="3"/>
    </row>
    <row r="447">
      <c r="B447" s="3">
        <v>8640789.0</v>
      </c>
      <c r="C447" s="3">
        <v>91.8</v>
      </c>
      <c r="D447" s="3"/>
      <c r="E447" s="3"/>
    </row>
    <row r="448">
      <c r="B448" s="3">
        <v>8660791.0</v>
      </c>
      <c r="C448" s="3">
        <v>91.8</v>
      </c>
      <c r="D448" s="3"/>
      <c r="E448" s="3"/>
    </row>
    <row r="449">
      <c r="B449" s="3">
        <v>8680793.0</v>
      </c>
      <c r="C449" s="3">
        <v>91.8</v>
      </c>
      <c r="D449" s="3"/>
      <c r="E449" s="3"/>
    </row>
    <row r="450">
      <c r="B450" s="3">
        <v>8700794.0</v>
      </c>
      <c r="C450" s="3">
        <v>91.8</v>
      </c>
      <c r="D450" s="3"/>
      <c r="E450" s="3"/>
    </row>
    <row r="451">
      <c r="B451" s="3">
        <v>8720796.0</v>
      </c>
      <c r="C451" s="3">
        <v>91.7</v>
      </c>
      <c r="D451" s="3"/>
      <c r="E451" s="3"/>
    </row>
    <row r="452">
      <c r="B452" s="3">
        <v>8740798.0</v>
      </c>
      <c r="C452" s="3">
        <v>91.8</v>
      </c>
      <c r="D452" s="3"/>
      <c r="E452" s="3"/>
    </row>
    <row r="453">
      <c r="B453" s="3">
        <v>8760800.0</v>
      </c>
      <c r="C453" s="3">
        <v>91.8</v>
      </c>
      <c r="D453" s="3"/>
      <c r="E453" s="3"/>
    </row>
    <row r="454">
      <c r="B454" s="3">
        <v>8780802.0</v>
      </c>
      <c r="C454" s="3">
        <v>91.8</v>
      </c>
      <c r="D454" s="3"/>
      <c r="E454" s="3"/>
    </row>
    <row r="455">
      <c r="B455" s="3">
        <v>8800803.0</v>
      </c>
      <c r="C455" s="3">
        <v>91.8</v>
      </c>
      <c r="D455" s="3"/>
      <c r="E455" s="3"/>
    </row>
    <row r="456">
      <c r="B456" s="3">
        <v>8820805.0</v>
      </c>
      <c r="C456" s="3">
        <v>91.7</v>
      </c>
      <c r="D456" s="3"/>
      <c r="E456" s="3"/>
    </row>
    <row r="457">
      <c r="B457" s="3">
        <v>8840807.0</v>
      </c>
      <c r="C457" s="3">
        <v>91.7</v>
      </c>
      <c r="D457" s="3"/>
      <c r="E457" s="3"/>
    </row>
    <row r="458">
      <c r="B458" s="3">
        <v>8860809.0</v>
      </c>
      <c r="C458" s="3">
        <v>91.8</v>
      </c>
      <c r="D458" s="3"/>
      <c r="E458" s="3"/>
    </row>
    <row r="459">
      <c r="B459" s="3">
        <v>8880811.0</v>
      </c>
      <c r="C459" s="3">
        <v>91.7</v>
      </c>
      <c r="D459" s="3"/>
      <c r="E459" s="3"/>
    </row>
    <row r="460">
      <c r="B460" s="3">
        <v>8900812.0</v>
      </c>
      <c r="C460" s="3">
        <v>91.7</v>
      </c>
      <c r="D460" s="3"/>
      <c r="E460" s="3"/>
    </row>
    <row r="461">
      <c r="B461" s="3">
        <v>8920814.0</v>
      </c>
      <c r="C461" s="3">
        <v>91.7</v>
      </c>
      <c r="D461" s="3"/>
      <c r="E461" s="3"/>
    </row>
    <row r="462">
      <c r="B462" s="3">
        <v>8940816.0</v>
      </c>
      <c r="C462" s="3">
        <v>91.8</v>
      </c>
      <c r="D462" s="3"/>
      <c r="E462" s="3"/>
    </row>
    <row r="463">
      <c r="B463" s="3">
        <v>8960818.0</v>
      </c>
      <c r="C463" s="3">
        <v>91.7</v>
      </c>
      <c r="D463" s="3"/>
      <c r="E463" s="3"/>
    </row>
    <row r="464">
      <c r="B464" s="3">
        <v>8980819.0</v>
      </c>
      <c r="C464" s="3">
        <v>91.8</v>
      </c>
      <c r="D464" s="3"/>
      <c r="E464" s="3"/>
    </row>
    <row r="465">
      <c r="B465" s="3">
        <v>9000821.0</v>
      </c>
      <c r="C465" s="3">
        <v>91.7</v>
      </c>
      <c r="D465" s="3"/>
      <c r="E465" s="3"/>
    </row>
    <row r="466">
      <c r="B466" s="3">
        <v>9020823.0</v>
      </c>
      <c r="C466" s="3">
        <v>91.7</v>
      </c>
      <c r="D466" s="3"/>
      <c r="E466" s="3"/>
    </row>
    <row r="467">
      <c r="B467" s="3">
        <v>9040825.0</v>
      </c>
      <c r="C467" s="3">
        <v>91.8</v>
      </c>
      <c r="D467" s="3"/>
      <c r="E467" s="3"/>
    </row>
    <row r="468">
      <c r="B468" s="3">
        <v>9060827.0</v>
      </c>
      <c r="C468" s="3">
        <v>91.7</v>
      </c>
      <c r="D468" s="3"/>
      <c r="E468" s="3"/>
    </row>
    <row r="469">
      <c r="B469" s="3">
        <v>9080828.0</v>
      </c>
      <c r="C469" s="3">
        <v>91.7</v>
      </c>
      <c r="D469" s="3"/>
      <c r="E469" s="3"/>
    </row>
    <row r="470">
      <c r="B470" s="3">
        <v>9100830.0</v>
      </c>
      <c r="C470" s="3">
        <v>91.7</v>
      </c>
      <c r="D470" s="3"/>
      <c r="E470" s="3"/>
    </row>
    <row r="471">
      <c r="B471" s="3">
        <v>9120832.0</v>
      </c>
      <c r="C471" s="3">
        <v>91.7</v>
      </c>
      <c r="D471" s="3"/>
      <c r="E471" s="3"/>
    </row>
    <row r="472">
      <c r="B472" s="3">
        <v>9140834.0</v>
      </c>
      <c r="C472" s="3">
        <v>91.7</v>
      </c>
      <c r="D472" s="3"/>
      <c r="E472" s="3"/>
    </row>
    <row r="473">
      <c r="B473" s="3">
        <v>9160836.0</v>
      </c>
      <c r="C473" s="3">
        <v>91.7</v>
      </c>
      <c r="D473" s="3"/>
      <c r="E473" s="3"/>
    </row>
    <row r="474">
      <c r="B474" s="3">
        <v>9180837.0</v>
      </c>
      <c r="C474" s="3">
        <v>91.7</v>
      </c>
      <c r="D474" s="3"/>
      <c r="E474" s="3"/>
    </row>
    <row r="475">
      <c r="B475" s="3">
        <v>9200839.0</v>
      </c>
      <c r="C475" s="3">
        <v>91.7</v>
      </c>
      <c r="D475" s="3"/>
      <c r="E475" s="3"/>
    </row>
    <row r="476">
      <c r="B476" s="3">
        <v>9220841.0</v>
      </c>
      <c r="C476" s="3">
        <v>91.6</v>
      </c>
      <c r="D476" s="3"/>
      <c r="E476" s="3"/>
    </row>
    <row r="477">
      <c r="B477" s="3">
        <v>9240844.0</v>
      </c>
      <c r="C477" s="3">
        <v>91.7</v>
      </c>
      <c r="D477" s="3"/>
      <c r="E477" s="3"/>
    </row>
    <row r="478">
      <c r="B478" s="3">
        <v>9260846.0</v>
      </c>
      <c r="C478" s="3">
        <v>91.7</v>
      </c>
      <c r="D478" s="3"/>
      <c r="E478" s="3"/>
    </row>
    <row r="479">
      <c r="B479" s="3">
        <v>9280847.0</v>
      </c>
      <c r="C479" s="3">
        <v>91.7</v>
      </c>
      <c r="D479" s="3"/>
      <c r="E479" s="3"/>
    </row>
    <row r="480">
      <c r="B480" s="3">
        <v>9300849.0</v>
      </c>
      <c r="C480" s="3">
        <v>91.7</v>
      </c>
      <c r="D480" s="3"/>
      <c r="E480" s="3"/>
    </row>
    <row r="481">
      <c r="B481" s="3">
        <v>9320851.0</v>
      </c>
      <c r="C481" s="3">
        <v>91.6</v>
      </c>
      <c r="D481" s="3"/>
      <c r="E481" s="3"/>
    </row>
    <row r="482">
      <c r="B482" s="3">
        <v>9340853.0</v>
      </c>
      <c r="C482" s="3">
        <v>91.6</v>
      </c>
      <c r="D482" s="3"/>
      <c r="E482" s="3"/>
    </row>
    <row r="483">
      <c r="B483" s="3">
        <v>9360855.0</v>
      </c>
      <c r="C483" s="3">
        <v>91.6</v>
      </c>
      <c r="D483" s="3"/>
      <c r="E483" s="3"/>
    </row>
    <row r="484">
      <c r="B484" s="3">
        <v>9380856.0</v>
      </c>
      <c r="C484" s="3">
        <v>91.7</v>
      </c>
      <c r="D484" s="3"/>
      <c r="E484" s="3"/>
    </row>
    <row r="485">
      <c r="B485" s="3">
        <v>9400858.0</v>
      </c>
      <c r="C485" s="3">
        <v>91.6</v>
      </c>
      <c r="D485" s="3"/>
      <c r="E485" s="3"/>
    </row>
    <row r="486">
      <c r="B486" s="3">
        <v>9420860.0</v>
      </c>
      <c r="C486" s="3">
        <v>91.6</v>
      </c>
      <c r="D486" s="3"/>
      <c r="E486" s="3"/>
    </row>
    <row r="487">
      <c r="B487" s="3">
        <v>9440862.0</v>
      </c>
      <c r="C487" s="3">
        <v>91.6</v>
      </c>
      <c r="D487" s="3"/>
      <c r="E487" s="3"/>
    </row>
    <row r="488">
      <c r="B488" s="3">
        <v>9460864.0</v>
      </c>
      <c r="C488" s="3">
        <v>91.6</v>
      </c>
      <c r="D488" s="3"/>
      <c r="E488" s="3"/>
    </row>
    <row r="489">
      <c r="B489" s="3">
        <v>9480865.0</v>
      </c>
      <c r="C489" s="3">
        <v>91.6</v>
      </c>
      <c r="D489" s="3"/>
      <c r="E489" s="3"/>
    </row>
    <row r="490">
      <c r="B490" s="3">
        <v>9500867.0</v>
      </c>
      <c r="C490" s="3">
        <v>91.6</v>
      </c>
      <c r="D490" s="3"/>
      <c r="E490" s="3"/>
    </row>
    <row r="491">
      <c r="B491" s="3">
        <v>9520869.0</v>
      </c>
      <c r="C491" s="3">
        <v>91.6</v>
      </c>
      <c r="D491" s="3"/>
      <c r="E491" s="3"/>
    </row>
    <row r="492">
      <c r="B492" s="3">
        <v>9540871.0</v>
      </c>
      <c r="C492" s="3">
        <v>91.6</v>
      </c>
      <c r="D492" s="3"/>
      <c r="E492" s="3"/>
    </row>
    <row r="493">
      <c r="B493" s="3">
        <v>9560872.0</v>
      </c>
      <c r="C493" s="3">
        <v>91.6</v>
      </c>
      <c r="D493" s="3"/>
      <c r="E493" s="3"/>
    </row>
    <row r="494">
      <c r="B494" s="3">
        <v>9580874.0</v>
      </c>
      <c r="C494" s="3">
        <v>91.6</v>
      </c>
      <c r="D494" s="3"/>
      <c r="E494" s="3"/>
    </row>
    <row r="495">
      <c r="B495" s="3">
        <v>9600876.0</v>
      </c>
      <c r="C495" s="3">
        <v>91.6</v>
      </c>
      <c r="D495" s="3"/>
      <c r="E495" s="3"/>
    </row>
    <row r="496">
      <c r="B496" s="3">
        <v>9620878.0</v>
      </c>
      <c r="C496" s="3">
        <v>91.6</v>
      </c>
      <c r="D496" s="3"/>
      <c r="E496" s="3"/>
    </row>
    <row r="497">
      <c r="B497" s="3">
        <v>9640880.0</v>
      </c>
      <c r="C497" s="3">
        <v>91.6</v>
      </c>
      <c r="D497" s="3"/>
      <c r="E497" s="3"/>
    </row>
    <row r="498">
      <c r="B498" s="3">
        <v>9660881.0</v>
      </c>
      <c r="C498" s="3">
        <v>91.6</v>
      </c>
      <c r="D498" s="3"/>
      <c r="E498" s="3"/>
    </row>
    <row r="499">
      <c r="B499" s="3">
        <v>9680883.0</v>
      </c>
      <c r="C499" s="3">
        <v>91.6</v>
      </c>
      <c r="D499" s="3"/>
      <c r="E499" s="3"/>
    </row>
    <row r="500">
      <c r="B500" s="3">
        <v>9700885.0</v>
      </c>
      <c r="C500" s="3">
        <v>91.5</v>
      </c>
      <c r="D500" s="3"/>
      <c r="E500" s="3"/>
    </row>
    <row r="501">
      <c r="B501" s="3">
        <v>9720887.0</v>
      </c>
      <c r="C501" s="3">
        <v>91.6</v>
      </c>
      <c r="D501" s="3"/>
      <c r="E501" s="3"/>
    </row>
    <row r="502">
      <c r="B502" s="3">
        <v>9740889.0</v>
      </c>
      <c r="C502" s="3">
        <v>91.5</v>
      </c>
      <c r="D502" s="3"/>
      <c r="E502" s="3"/>
    </row>
    <row r="503">
      <c r="B503" s="3">
        <v>9760890.0</v>
      </c>
      <c r="C503" s="3">
        <v>91.6</v>
      </c>
      <c r="D503" s="3"/>
      <c r="E503" s="3"/>
    </row>
    <row r="504">
      <c r="B504" s="3">
        <v>9780892.0</v>
      </c>
      <c r="C504" s="3">
        <v>91.5</v>
      </c>
      <c r="D504" s="3"/>
      <c r="E504" s="3"/>
    </row>
    <row r="505">
      <c r="B505" s="3">
        <v>9800894.0</v>
      </c>
      <c r="C505" s="3">
        <v>91.5</v>
      </c>
      <c r="D505" s="3"/>
      <c r="E505" s="3"/>
    </row>
    <row r="506">
      <c r="B506" s="3">
        <v>9820897.0</v>
      </c>
      <c r="C506" s="3">
        <v>91.5</v>
      </c>
      <c r="D506" s="3"/>
      <c r="E506" s="3"/>
    </row>
    <row r="507">
      <c r="B507" s="3">
        <v>9840899.0</v>
      </c>
      <c r="C507" s="3">
        <v>91.6</v>
      </c>
      <c r="D507" s="3"/>
      <c r="E507" s="3"/>
    </row>
    <row r="508">
      <c r="B508" s="3">
        <v>9860900.0</v>
      </c>
      <c r="C508" s="3">
        <v>91.5</v>
      </c>
      <c r="D508" s="3"/>
      <c r="E508" s="3"/>
    </row>
    <row r="509">
      <c r="B509" s="3">
        <v>9880902.0</v>
      </c>
      <c r="C509" s="3">
        <v>91.5</v>
      </c>
      <c r="D509" s="3"/>
      <c r="E509" s="3"/>
    </row>
    <row r="510">
      <c r="B510" s="3">
        <v>9900904.0</v>
      </c>
      <c r="C510" s="3">
        <v>91.5</v>
      </c>
      <c r="D510" s="3"/>
      <c r="E510" s="3"/>
    </row>
    <row r="511">
      <c r="B511" s="3">
        <v>9920906.0</v>
      </c>
      <c r="C511" s="3">
        <v>91.5</v>
      </c>
      <c r="D511" s="3"/>
      <c r="E511" s="3"/>
    </row>
    <row r="512">
      <c r="B512" s="3">
        <v>9940908.0</v>
      </c>
      <c r="C512" s="3">
        <v>91.5</v>
      </c>
      <c r="D512" s="3"/>
      <c r="E512" s="3"/>
    </row>
    <row r="513">
      <c r="B513" s="3">
        <v>9960909.0</v>
      </c>
      <c r="C513" s="3">
        <v>91.6</v>
      </c>
      <c r="D513" s="3"/>
      <c r="E513" s="3"/>
    </row>
    <row r="514">
      <c r="B514" s="3">
        <v>9980911.0</v>
      </c>
      <c r="C514" s="3">
        <v>91.5</v>
      </c>
      <c r="D514" s="3"/>
      <c r="E514" s="3"/>
    </row>
    <row r="515">
      <c r="B515" s="3">
        <v>1.0000913E7</v>
      </c>
      <c r="C515" s="3">
        <v>91.4</v>
      </c>
      <c r="D515" s="3"/>
      <c r="E515" s="3"/>
    </row>
    <row r="516">
      <c r="B516" s="3">
        <v>1.0020915E7</v>
      </c>
      <c r="C516" s="3">
        <v>91.5</v>
      </c>
      <c r="D516" s="3"/>
      <c r="E516" s="3"/>
    </row>
    <row r="517">
      <c r="B517" s="3">
        <v>1.0040916E7</v>
      </c>
      <c r="C517" s="3">
        <v>91.5</v>
      </c>
      <c r="D517" s="3"/>
      <c r="E517" s="3"/>
    </row>
    <row r="518">
      <c r="B518" s="3">
        <v>1.0060918E7</v>
      </c>
      <c r="C518" s="3">
        <v>91.5</v>
      </c>
      <c r="D518" s="3"/>
      <c r="E518" s="3"/>
    </row>
    <row r="519">
      <c r="B519" s="3">
        <v>1.008092E7</v>
      </c>
      <c r="C519" s="3">
        <v>91.5</v>
      </c>
      <c r="D519" s="3"/>
      <c r="E519" s="3"/>
    </row>
    <row r="520">
      <c r="B520" s="3">
        <v>1.0100922E7</v>
      </c>
      <c r="C520" s="3">
        <v>91.5</v>
      </c>
      <c r="D520" s="3"/>
      <c r="E520" s="3"/>
    </row>
    <row r="521">
      <c r="B521" s="3">
        <v>1.0120924E7</v>
      </c>
      <c r="C521" s="3">
        <v>91.5</v>
      </c>
      <c r="D521" s="3"/>
      <c r="E521" s="3"/>
    </row>
    <row r="522">
      <c r="B522" s="3">
        <v>1.0140925E7</v>
      </c>
      <c r="C522" s="3">
        <v>91.4</v>
      </c>
      <c r="D522" s="3"/>
      <c r="E522" s="3"/>
    </row>
    <row r="523">
      <c r="B523" s="3">
        <v>1.0160927E7</v>
      </c>
      <c r="C523" s="3">
        <v>91.5</v>
      </c>
      <c r="D523" s="3"/>
      <c r="E523" s="3"/>
    </row>
    <row r="524">
      <c r="B524" s="3">
        <v>1.0180929E7</v>
      </c>
      <c r="C524" s="3">
        <v>91.4</v>
      </c>
      <c r="D524" s="3"/>
      <c r="E524" s="3"/>
    </row>
    <row r="525">
      <c r="B525" s="3">
        <v>1.0200932E7</v>
      </c>
      <c r="C525" s="3">
        <v>91.5</v>
      </c>
      <c r="D525" s="3"/>
      <c r="E525" s="3"/>
    </row>
    <row r="526">
      <c r="B526" s="3">
        <v>1.0220934E7</v>
      </c>
      <c r="C526" s="3">
        <v>91.5</v>
      </c>
      <c r="D526" s="3"/>
      <c r="E526" s="3"/>
    </row>
    <row r="527">
      <c r="B527" s="3">
        <v>1.0240935E7</v>
      </c>
      <c r="C527" s="3">
        <v>91.4</v>
      </c>
      <c r="D527" s="3"/>
      <c r="E527" s="3"/>
    </row>
    <row r="528">
      <c r="B528" s="3">
        <v>1.0260937E7</v>
      </c>
      <c r="C528" s="3">
        <v>91.4</v>
      </c>
      <c r="D528" s="3"/>
      <c r="E528" s="3"/>
    </row>
    <row r="529">
      <c r="B529" s="3">
        <v>1.0280939E7</v>
      </c>
      <c r="C529" s="3">
        <v>91.4</v>
      </c>
      <c r="D529" s="3"/>
      <c r="E529" s="3"/>
    </row>
    <row r="530">
      <c r="B530" s="3">
        <v>1.0300941E7</v>
      </c>
      <c r="C530" s="3">
        <v>91.4</v>
      </c>
      <c r="D530" s="3"/>
      <c r="E530" s="3"/>
    </row>
    <row r="531">
      <c r="B531" s="3">
        <v>1.0320943E7</v>
      </c>
      <c r="C531" s="3">
        <v>91.4</v>
      </c>
      <c r="D531" s="3"/>
      <c r="E531" s="3"/>
    </row>
    <row r="532">
      <c r="B532" s="3">
        <v>1.0340944E7</v>
      </c>
      <c r="C532" s="3">
        <v>91.4</v>
      </c>
      <c r="D532" s="3"/>
      <c r="E532" s="3"/>
    </row>
    <row r="533">
      <c r="B533" s="3">
        <v>1.0360946E7</v>
      </c>
      <c r="C533" s="3">
        <v>91.4</v>
      </c>
      <c r="D533" s="3"/>
      <c r="E533" s="3"/>
    </row>
    <row r="534">
      <c r="B534" s="3">
        <v>1.0380948E7</v>
      </c>
      <c r="C534" s="3">
        <v>91.4</v>
      </c>
      <c r="D534" s="3"/>
      <c r="E534" s="3"/>
    </row>
    <row r="535">
      <c r="B535" s="3">
        <v>1.040095E7</v>
      </c>
      <c r="C535" s="3">
        <v>91.3</v>
      </c>
      <c r="D535" s="3"/>
      <c r="E535" s="3"/>
    </row>
    <row r="536">
      <c r="B536" s="3">
        <v>1.0420952E7</v>
      </c>
      <c r="C536" s="3">
        <v>91.3</v>
      </c>
      <c r="D536" s="3"/>
      <c r="E536" s="3"/>
    </row>
    <row r="537">
      <c r="B537" s="3">
        <v>1.0440954E7</v>
      </c>
      <c r="C537" s="3">
        <v>91.4</v>
      </c>
      <c r="D537" s="3"/>
      <c r="E537" s="3"/>
    </row>
    <row r="538">
      <c r="B538" s="3">
        <v>1.0460956E7</v>
      </c>
      <c r="C538" s="3">
        <v>91.4</v>
      </c>
      <c r="D538" s="3"/>
      <c r="E538" s="3"/>
    </row>
    <row r="539">
      <c r="B539" s="3">
        <v>1.0480958E7</v>
      </c>
      <c r="C539" s="3">
        <v>91.3</v>
      </c>
      <c r="D539" s="3"/>
      <c r="E539" s="3"/>
    </row>
    <row r="540">
      <c r="B540" s="3">
        <v>1.050096E7</v>
      </c>
      <c r="C540" s="3">
        <v>91.4</v>
      </c>
      <c r="D540" s="3"/>
      <c r="E540" s="3"/>
    </row>
    <row r="541">
      <c r="B541" s="3">
        <v>1.0520962E7</v>
      </c>
      <c r="C541" s="3">
        <v>91.3</v>
      </c>
      <c r="D541" s="3"/>
      <c r="E541" s="3"/>
    </row>
    <row r="542">
      <c r="B542" s="3">
        <v>1.0540963E7</v>
      </c>
      <c r="C542" s="3">
        <v>91.4</v>
      </c>
      <c r="D542" s="3"/>
      <c r="E542" s="3"/>
    </row>
    <row r="543">
      <c r="B543" s="3">
        <v>1.0560965E7</v>
      </c>
      <c r="C543" s="3">
        <v>91.3</v>
      </c>
      <c r="D543" s="3"/>
      <c r="E543" s="3"/>
    </row>
    <row r="544">
      <c r="B544" s="3">
        <v>1.0580967E7</v>
      </c>
      <c r="C544" s="3">
        <v>91.4</v>
      </c>
      <c r="D544" s="3"/>
      <c r="E544" s="3"/>
    </row>
    <row r="545">
      <c r="B545" s="3">
        <v>1.0600969E7</v>
      </c>
      <c r="C545" s="3">
        <v>91.4</v>
      </c>
      <c r="D545" s="3"/>
      <c r="E545" s="3"/>
    </row>
    <row r="546">
      <c r="B546" s="3">
        <v>1.0620971E7</v>
      </c>
      <c r="C546" s="3">
        <v>91.4</v>
      </c>
      <c r="D546" s="3"/>
      <c r="E546" s="3"/>
    </row>
    <row r="547">
      <c r="B547" s="3">
        <v>1.0640972E7</v>
      </c>
      <c r="C547" s="3">
        <v>91.3</v>
      </c>
      <c r="D547" s="3"/>
      <c r="E547" s="3"/>
    </row>
    <row r="548">
      <c r="B548" s="3">
        <v>1.0660974E7</v>
      </c>
      <c r="C548" s="3">
        <v>91.3</v>
      </c>
      <c r="D548" s="3"/>
      <c r="E548" s="3"/>
    </row>
    <row r="549">
      <c r="B549" s="3">
        <v>1.0680976E7</v>
      </c>
      <c r="C549" s="3">
        <v>91.3</v>
      </c>
      <c r="D549" s="3"/>
      <c r="E549" s="3"/>
    </row>
    <row r="550">
      <c r="B550" s="3">
        <v>1.0700978E7</v>
      </c>
      <c r="C550" s="3">
        <v>91.3</v>
      </c>
      <c r="D550" s="3"/>
      <c r="E550" s="3"/>
    </row>
    <row r="551">
      <c r="B551" s="3">
        <v>1.072098E7</v>
      </c>
      <c r="C551" s="3">
        <v>91.3</v>
      </c>
      <c r="D551" s="3"/>
      <c r="E551" s="3"/>
    </row>
    <row r="552">
      <c r="B552" s="3">
        <v>1.0740982E7</v>
      </c>
      <c r="C552" s="3">
        <v>91.3</v>
      </c>
      <c r="D552" s="3"/>
      <c r="E552" s="3"/>
    </row>
    <row r="553">
      <c r="B553" s="3">
        <v>1.0760984E7</v>
      </c>
      <c r="C553" s="3">
        <v>91.3</v>
      </c>
      <c r="D553" s="3"/>
      <c r="E553" s="3"/>
    </row>
    <row r="554">
      <c r="B554" s="3">
        <v>1.0780986E7</v>
      </c>
      <c r="C554" s="3">
        <v>91.3</v>
      </c>
      <c r="D554" s="3"/>
      <c r="E554" s="3"/>
    </row>
    <row r="555">
      <c r="B555" s="3">
        <v>1.0800988E7</v>
      </c>
      <c r="C555" s="3">
        <v>91.3</v>
      </c>
      <c r="D555" s="3"/>
      <c r="E555" s="3"/>
    </row>
    <row r="556">
      <c r="B556" s="3">
        <v>1.0820989E7</v>
      </c>
      <c r="C556" s="3">
        <v>91.2</v>
      </c>
      <c r="D556" s="3"/>
      <c r="E556" s="3"/>
    </row>
    <row r="557">
      <c r="B557" s="3">
        <v>1.0840991E7</v>
      </c>
      <c r="C557" s="3">
        <v>91.3</v>
      </c>
      <c r="D557" s="3"/>
      <c r="E557" s="3"/>
    </row>
    <row r="558">
      <c r="B558" s="3">
        <v>1.0860993E7</v>
      </c>
      <c r="C558" s="3">
        <v>91.3</v>
      </c>
      <c r="D558" s="3"/>
      <c r="E558" s="3"/>
    </row>
    <row r="559">
      <c r="B559" s="3">
        <v>1.0880995E7</v>
      </c>
      <c r="C559" s="3">
        <v>91.2</v>
      </c>
      <c r="D559" s="3"/>
      <c r="E559" s="3"/>
    </row>
    <row r="560">
      <c r="B560" s="3">
        <v>1.0900997E7</v>
      </c>
      <c r="C560" s="3">
        <v>91.2</v>
      </c>
      <c r="D560" s="3"/>
      <c r="E560" s="3"/>
    </row>
    <row r="561">
      <c r="B561" s="3">
        <v>1.0920998E7</v>
      </c>
      <c r="C561" s="3">
        <v>91.3</v>
      </c>
      <c r="D561" s="3"/>
      <c r="E561" s="3"/>
    </row>
    <row r="562">
      <c r="B562" s="3">
        <v>1.0941E7</v>
      </c>
      <c r="C562" s="3">
        <v>91.3</v>
      </c>
      <c r="D562" s="3"/>
      <c r="E562" s="3"/>
    </row>
    <row r="563">
      <c r="B563" s="3">
        <v>1.0961003E7</v>
      </c>
      <c r="C563" s="3">
        <v>91.2</v>
      </c>
      <c r="D563" s="3"/>
      <c r="E563" s="3"/>
    </row>
    <row r="564">
      <c r="B564" s="3">
        <v>1.0981005E7</v>
      </c>
      <c r="C564" s="3">
        <v>91.3</v>
      </c>
      <c r="D564" s="3"/>
      <c r="E564" s="3"/>
    </row>
    <row r="565">
      <c r="B565" s="3">
        <v>1.1001007E7</v>
      </c>
      <c r="C565" s="3">
        <v>91.2</v>
      </c>
      <c r="D565" s="3"/>
      <c r="E565" s="3"/>
    </row>
    <row r="566">
      <c r="B566" s="3">
        <v>1.1021008E7</v>
      </c>
      <c r="C566" s="3">
        <v>91.2</v>
      </c>
      <c r="D566" s="3"/>
      <c r="E566" s="3"/>
    </row>
    <row r="567">
      <c r="B567" s="3">
        <v>1.104101E7</v>
      </c>
      <c r="C567" s="3">
        <v>91.3</v>
      </c>
      <c r="D567" s="3"/>
      <c r="E567" s="3"/>
    </row>
    <row r="568">
      <c r="B568" s="3">
        <v>1.1061012E7</v>
      </c>
      <c r="C568" s="3">
        <v>91.2</v>
      </c>
      <c r="D568" s="3"/>
      <c r="E568" s="3"/>
    </row>
    <row r="569">
      <c r="B569" s="3">
        <v>1.1081014E7</v>
      </c>
      <c r="C569" s="3">
        <v>91.2</v>
      </c>
      <c r="D569" s="3"/>
      <c r="E569" s="3"/>
    </row>
    <row r="570">
      <c r="B570" s="3">
        <v>1.1101016E7</v>
      </c>
      <c r="C570" s="3">
        <v>91.2</v>
      </c>
      <c r="D570" s="3"/>
      <c r="E570" s="3"/>
    </row>
    <row r="571">
      <c r="B571" s="3">
        <v>1.1121017E7</v>
      </c>
      <c r="C571" s="3">
        <v>91.1</v>
      </c>
      <c r="D571" s="3"/>
      <c r="E571" s="3"/>
    </row>
    <row r="572">
      <c r="B572" s="3">
        <v>1.1141019E7</v>
      </c>
      <c r="C572" s="3">
        <v>91.2</v>
      </c>
      <c r="D572" s="3"/>
      <c r="E572" s="3"/>
    </row>
    <row r="573">
      <c r="B573" s="3">
        <v>1.1161021E7</v>
      </c>
      <c r="C573" s="3">
        <v>91.2</v>
      </c>
      <c r="D573" s="3"/>
      <c r="E573" s="3"/>
    </row>
    <row r="574">
      <c r="B574" s="3">
        <v>1.1181023E7</v>
      </c>
      <c r="C574" s="3">
        <v>91.2</v>
      </c>
      <c r="D574" s="3"/>
      <c r="E574" s="3"/>
    </row>
    <row r="575">
      <c r="B575" s="3">
        <v>1.1201025E7</v>
      </c>
      <c r="C575" s="3">
        <v>91.1</v>
      </c>
      <c r="D575" s="3"/>
      <c r="E575" s="3"/>
    </row>
    <row r="576">
      <c r="B576" s="3">
        <v>1.1221027E7</v>
      </c>
      <c r="C576" s="3">
        <v>91.2</v>
      </c>
      <c r="D576" s="3"/>
      <c r="E576" s="3"/>
    </row>
    <row r="577">
      <c r="B577" s="3">
        <v>1.1241029E7</v>
      </c>
      <c r="C577" s="3">
        <v>91.1</v>
      </c>
      <c r="D577" s="3"/>
      <c r="E577" s="3"/>
    </row>
    <row r="578">
      <c r="B578" s="3">
        <v>1.1261031E7</v>
      </c>
      <c r="C578" s="3">
        <v>91.2</v>
      </c>
      <c r="D578" s="3"/>
      <c r="E578" s="3"/>
    </row>
    <row r="579">
      <c r="B579" s="3">
        <v>1.1281033E7</v>
      </c>
      <c r="C579" s="3">
        <v>91.2</v>
      </c>
      <c r="D579" s="3"/>
      <c r="E579" s="3"/>
    </row>
    <row r="580">
      <c r="B580" s="3">
        <v>1.1301035E7</v>
      </c>
      <c r="C580" s="3">
        <v>91.2</v>
      </c>
      <c r="D580" s="3"/>
      <c r="E580" s="3"/>
    </row>
    <row r="581">
      <c r="B581" s="3">
        <v>1.1321036E7</v>
      </c>
      <c r="C581" s="3">
        <v>91.2</v>
      </c>
      <c r="D581" s="3"/>
      <c r="E581" s="3"/>
    </row>
    <row r="582">
      <c r="B582" s="3">
        <v>1.1341038E7</v>
      </c>
      <c r="C582" s="3">
        <v>91.2</v>
      </c>
      <c r="D582" s="3"/>
      <c r="E582" s="3"/>
    </row>
    <row r="583">
      <c r="B583" s="3">
        <v>1.136104E7</v>
      </c>
      <c r="C583" s="3">
        <v>91.2</v>
      </c>
      <c r="D583" s="3"/>
      <c r="E583" s="3"/>
    </row>
    <row r="584">
      <c r="B584" s="3">
        <v>1.1381042E7</v>
      </c>
      <c r="C584" s="3">
        <v>91.1</v>
      </c>
      <c r="D584" s="3"/>
      <c r="E584" s="3"/>
    </row>
    <row r="585">
      <c r="B585" s="3">
        <v>1.1401043E7</v>
      </c>
      <c r="C585" s="3">
        <v>91.1</v>
      </c>
      <c r="D585" s="3"/>
      <c r="E585" s="3"/>
    </row>
    <row r="586">
      <c r="B586" s="3">
        <v>1.1421045E7</v>
      </c>
      <c r="C586" s="3">
        <v>91.1</v>
      </c>
      <c r="D586" s="3"/>
      <c r="E586" s="3"/>
    </row>
    <row r="587">
      <c r="B587" s="3">
        <v>1.1441047E7</v>
      </c>
      <c r="C587" s="3">
        <v>91.1</v>
      </c>
      <c r="D587" s="3"/>
      <c r="E587" s="3"/>
    </row>
    <row r="588">
      <c r="B588" s="3">
        <v>1.1461049E7</v>
      </c>
      <c r="C588" s="3">
        <v>91.1</v>
      </c>
      <c r="D588" s="3"/>
      <c r="E588" s="3"/>
    </row>
    <row r="589">
      <c r="B589" s="3">
        <v>1.1481052E7</v>
      </c>
      <c r="C589" s="3">
        <v>91.1</v>
      </c>
      <c r="D589" s="3"/>
      <c r="E589" s="3"/>
    </row>
    <row r="590">
      <c r="B590" s="3">
        <v>1.1501053E7</v>
      </c>
      <c r="C590" s="3">
        <v>91.1</v>
      </c>
      <c r="D590" s="3"/>
      <c r="E590" s="3"/>
    </row>
    <row r="591">
      <c r="B591" s="3">
        <v>1.1521055E7</v>
      </c>
      <c r="C591" s="3">
        <v>91.1</v>
      </c>
      <c r="D591" s="3"/>
      <c r="E591" s="3"/>
    </row>
    <row r="592">
      <c r="B592" s="3">
        <v>1.1541057E7</v>
      </c>
      <c r="C592" s="3">
        <v>91.1</v>
      </c>
      <c r="D592" s="3"/>
      <c r="E592" s="3"/>
    </row>
    <row r="593">
      <c r="B593" s="3">
        <v>1.1561059E7</v>
      </c>
      <c r="C593" s="3">
        <v>91.1</v>
      </c>
      <c r="D593" s="3"/>
      <c r="E593" s="3"/>
    </row>
    <row r="594">
      <c r="B594" s="3">
        <v>1.1581061E7</v>
      </c>
      <c r="C594" s="3">
        <v>91.0</v>
      </c>
      <c r="D594" s="3"/>
      <c r="E594" s="3"/>
    </row>
    <row r="595">
      <c r="B595" s="3">
        <v>1.1601062E7</v>
      </c>
      <c r="C595" s="3">
        <v>91.0</v>
      </c>
      <c r="D595" s="3"/>
      <c r="E595" s="3"/>
    </row>
    <row r="596">
      <c r="B596" s="3">
        <v>1.1621064E7</v>
      </c>
      <c r="C596" s="3">
        <v>91.1</v>
      </c>
      <c r="D596" s="3"/>
      <c r="E596" s="3"/>
    </row>
    <row r="597">
      <c r="B597" s="3">
        <v>1.1641066E7</v>
      </c>
      <c r="C597" s="3">
        <v>91.0</v>
      </c>
      <c r="D597" s="3"/>
      <c r="E597" s="3"/>
    </row>
    <row r="598">
      <c r="B598" s="3">
        <v>1.1661068E7</v>
      </c>
      <c r="C598" s="3">
        <v>91.0</v>
      </c>
      <c r="D598" s="3"/>
      <c r="E598" s="3"/>
    </row>
    <row r="599">
      <c r="B599" s="3">
        <v>1.168107E7</v>
      </c>
      <c r="C599" s="3">
        <v>91.0</v>
      </c>
      <c r="D599" s="3"/>
      <c r="E599" s="3"/>
    </row>
    <row r="600">
      <c r="B600" s="3">
        <v>1.1701071E7</v>
      </c>
      <c r="C600" s="3">
        <v>91.0</v>
      </c>
      <c r="D600" s="3"/>
      <c r="E600" s="3"/>
    </row>
    <row r="601">
      <c r="B601" s="3">
        <v>1.1721073E7</v>
      </c>
      <c r="C601" s="3">
        <v>91.1</v>
      </c>
      <c r="D601" s="3"/>
      <c r="E601" s="3"/>
    </row>
    <row r="602">
      <c r="B602" s="3">
        <v>1.1741076E7</v>
      </c>
      <c r="C602" s="3">
        <v>91.0</v>
      </c>
      <c r="D602" s="3"/>
      <c r="E602" s="3"/>
    </row>
    <row r="603">
      <c r="B603" s="3">
        <v>1.1761078E7</v>
      </c>
      <c r="C603" s="3">
        <v>91.1</v>
      </c>
      <c r="D603" s="3"/>
      <c r="E603" s="3"/>
    </row>
    <row r="604">
      <c r="B604" s="3">
        <v>1.178108E7</v>
      </c>
      <c r="C604" s="3">
        <v>91.0</v>
      </c>
      <c r="D604" s="3"/>
      <c r="E604" s="3"/>
    </row>
    <row r="605">
      <c r="B605" s="3">
        <v>1.1801081E7</v>
      </c>
      <c r="C605" s="3">
        <v>90.9</v>
      </c>
      <c r="D605" s="3"/>
      <c r="E605" s="3"/>
    </row>
    <row r="606">
      <c r="B606" s="3">
        <v>1.1821083E7</v>
      </c>
      <c r="C606" s="3">
        <v>91.0</v>
      </c>
      <c r="D606" s="3"/>
      <c r="E606" s="3"/>
    </row>
    <row r="607">
      <c r="B607" s="3">
        <v>1.1841085E7</v>
      </c>
      <c r="C607" s="3">
        <v>91.0</v>
      </c>
      <c r="D607" s="3"/>
      <c r="E607" s="3"/>
    </row>
    <row r="608">
      <c r="B608" s="3">
        <v>1.1861087E7</v>
      </c>
      <c r="C608" s="3">
        <v>91.0</v>
      </c>
      <c r="D608" s="3"/>
      <c r="E608" s="3"/>
    </row>
    <row r="609">
      <c r="B609" s="3">
        <v>1.1881089E7</v>
      </c>
      <c r="C609" s="3">
        <v>90.9</v>
      </c>
      <c r="D609" s="3"/>
      <c r="E609" s="3"/>
    </row>
    <row r="610">
      <c r="B610" s="3">
        <v>1.190109E7</v>
      </c>
      <c r="C610" s="3">
        <v>91.0</v>
      </c>
      <c r="D610" s="3"/>
      <c r="E610" s="3"/>
    </row>
    <row r="611">
      <c r="B611" s="3">
        <v>1.1921092E7</v>
      </c>
      <c r="C611" s="3">
        <v>90.9</v>
      </c>
      <c r="D611" s="3"/>
      <c r="E611" s="3"/>
    </row>
    <row r="612">
      <c r="B612" s="3">
        <v>1.1941094E7</v>
      </c>
      <c r="C612" s="3">
        <v>90.9</v>
      </c>
      <c r="D612" s="3"/>
      <c r="E612" s="3"/>
    </row>
    <row r="613">
      <c r="B613" s="3">
        <v>1.1961096E7</v>
      </c>
      <c r="C613" s="3">
        <v>91.0</v>
      </c>
      <c r="D613" s="3"/>
      <c r="E613" s="3"/>
    </row>
    <row r="614">
      <c r="B614" s="3">
        <v>1.1981097E7</v>
      </c>
      <c r="C614" s="3">
        <v>90.9</v>
      </c>
      <c r="D614" s="3"/>
      <c r="E614" s="3"/>
    </row>
    <row r="615">
      <c r="B615" s="3">
        <v>1.20011E7</v>
      </c>
      <c r="C615" s="3">
        <v>90.9</v>
      </c>
      <c r="D615" s="3"/>
      <c r="E615" s="3"/>
    </row>
    <row r="616">
      <c r="B616" s="3">
        <v>1.2021102E7</v>
      </c>
      <c r="C616" s="3">
        <v>90.9</v>
      </c>
      <c r="D616" s="3"/>
      <c r="E616" s="3"/>
    </row>
    <row r="617">
      <c r="B617" s="3">
        <v>1.2041104E7</v>
      </c>
      <c r="C617" s="3">
        <v>90.9</v>
      </c>
      <c r="D617" s="3"/>
      <c r="E617" s="3"/>
    </row>
    <row r="618">
      <c r="B618" s="3">
        <v>1.2061106E7</v>
      </c>
      <c r="C618" s="3">
        <v>90.9</v>
      </c>
      <c r="D618" s="3"/>
      <c r="E618" s="3"/>
    </row>
    <row r="619">
      <c r="B619" s="3">
        <v>1.2081107E7</v>
      </c>
      <c r="C619" s="3">
        <v>90.8</v>
      </c>
      <c r="D619" s="3"/>
      <c r="E619" s="3"/>
    </row>
    <row r="620">
      <c r="B620" s="3">
        <v>1.2101109E7</v>
      </c>
      <c r="C620" s="3">
        <v>90.9</v>
      </c>
      <c r="D620" s="3"/>
      <c r="E620" s="3"/>
    </row>
    <row r="621">
      <c r="B621" s="3">
        <v>1.2121111E7</v>
      </c>
      <c r="C621" s="3">
        <v>90.9</v>
      </c>
      <c r="D621" s="3"/>
      <c r="E621" s="3"/>
    </row>
    <row r="622">
      <c r="B622" s="3">
        <v>1.2141113E7</v>
      </c>
      <c r="C622" s="3">
        <v>90.9</v>
      </c>
      <c r="D622" s="3"/>
      <c r="E622" s="3"/>
    </row>
    <row r="623">
      <c r="B623" s="3">
        <v>1.2161115E7</v>
      </c>
      <c r="C623" s="3">
        <v>90.9</v>
      </c>
      <c r="D623" s="3"/>
      <c r="E623" s="3"/>
    </row>
    <row r="624">
      <c r="B624" s="3">
        <v>1.2181116E7</v>
      </c>
      <c r="C624" s="3">
        <v>90.9</v>
      </c>
      <c r="D624" s="3"/>
      <c r="E624" s="3"/>
    </row>
    <row r="625">
      <c r="B625" s="3">
        <v>1.2201118E7</v>
      </c>
      <c r="C625" s="3">
        <v>90.9</v>
      </c>
      <c r="D625" s="3"/>
      <c r="E625" s="3"/>
    </row>
    <row r="626">
      <c r="B626" s="3">
        <v>1.222112E7</v>
      </c>
      <c r="C626" s="3">
        <v>90.9</v>
      </c>
      <c r="D626" s="3"/>
      <c r="E626" s="3"/>
    </row>
    <row r="627">
      <c r="B627" s="3">
        <v>1.2241122E7</v>
      </c>
      <c r="C627" s="3">
        <v>90.9</v>
      </c>
      <c r="D627" s="3"/>
      <c r="E627" s="3"/>
    </row>
    <row r="628">
      <c r="B628" s="3">
        <v>1.2261125E7</v>
      </c>
      <c r="C628" s="3">
        <v>90.8</v>
      </c>
      <c r="D628" s="3"/>
      <c r="E628" s="3"/>
    </row>
    <row r="629">
      <c r="B629" s="3">
        <v>1.2281126E7</v>
      </c>
      <c r="C629" s="3">
        <v>90.8</v>
      </c>
      <c r="D629" s="3"/>
      <c r="E629" s="3"/>
    </row>
    <row r="630">
      <c r="B630" s="3">
        <v>1.2301128E7</v>
      </c>
      <c r="C630" s="3">
        <v>90.8</v>
      </c>
      <c r="D630" s="3"/>
      <c r="E630" s="3"/>
    </row>
    <row r="631">
      <c r="B631" s="3">
        <v>1.232113E7</v>
      </c>
      <c r="C631" s="3">
        <v>90.8</v>
      </c>
      <c r="D631" s="3"/>
      <c r="E631" s="3"/>
    </row>
    <row r="632">
      <c r="B632" s="3">
        <v>1.2341132E7</v>
      </c>
      <c r="C632" s="3">
        <v>90.8</v>
      </c>
      <c r="D632" s="3"/>
      <c r="E632" s="3"/>
    </row>
    <row r="633">
      <c r="B633" s="3">
        <v>1.2361134E7</v>
      </c>
      <c r="C633" s="3">
        <v>90.8</v>
      </c>
      <c r="D633" s="3"/>
      <c r="E633" s="3"/>
    </row>
    <row r="634">
      <c r="B634" s="3">
        <v>1.2381135E7</v>
      </c>
      <c r="C634" s="3">
        <v>90.9</v>
      </c>
      <c r="D634" s="3"/>
      <c r="E634" s="3"/>
    </row>
    <row r="635">
      <c r="B635" s="3">
        <v>1.2401137E7</v>
      </c>
      <c r="C635" s="3">
        <v>90.8</v>
      </c>
      <c r="D635" s="3"/>
      <c r="E635" s="3"/>
    </row>
    <row r="636">
      <c r="B636" s="3">
        <v>1.2421139E7</v>
      </c>
      <c r="C636" s="3">
        <v>90.8</v>
      </c>
      <c r="D636" s="3"/>
      <c r="E636" s="3"/>
    </row>
    <row r="637">
      <c r="B637" s="3">
        <v>1.2441141E7</v>
      </c>
      <c r="C637" s="3">
        <v>90.8</v>
      </c>
      <c r="D637" s="3"/>
      <c r="E637" s="3"/>
    </row>
    <row r="638">
      <c r="B638" s="3">
        <v>1.2461143E7</v>
      </c>
      <c r="C638" s="3">
        <v>90.8</v>
      </c>
      <c r="D638" s="3"/>
      <c r="E638" s="3"/>
    </row>
    <row r="639">
      <c r="B639" s="3">
        <v>1.2481144E7</v>
      </c>
      <c r="C639" s="3">
        <v>90.8</v>
      </c>
      <c r="D639" s="3"/>
      <c r="E639" s="3"/>
    </row>
    <row r="640">
      <c r="B640" s="3">
        <v>1.2501146E7</v>
      </c>
      <c r="C640" s="3">
        <v>90.8</v>
      </c>
      <c r="D640" s="3"/>
      <c r="E640" s="3"/>
    </row>
    <row r="641">
      <c r="B641" s="3">
        <v>1.2521149E7</v>
      </c>
      <c r="C641" s="3">
        <v>90.7</v>
      </c>
      <c r="D641" s="3"/>
      <c r="E641" s="3"/>
    </row>
    <row r="642">
      <c r="B642" s="3">
        <v>1.2541151E7</v>
      </c>
      <c r="C642" s="3">
        <v>90.7</v>
      </c>
      <c r="D642" s="3"/>
      <c r="E642" s="3"/>
    </row>
    <row r="643">
      <c r="B643" s="3">
        <v>1.2561153E7</v>
      </c>
      <c r="C643" s="3">
        <v>90.7</v>
      </c>
      <c r="D643" s="3"/>
      <c r="E643" s="3"/>
    </row>
    <row r="644">
      <c r="B644" s="3">
        <v>1.2581154E7</v>
      </c>
      <c r="C644" s="3">
        <v>90.7</v>
      </c>
      <c r="D644" s="3"/>
      <c r="E644" s="3"/>
    </row>
    <row r="645">
      <c r="B645" s="3">
        <v>1.2601156E7</v>
      </c>
      <c r="C645" s="3">
        <v>90.7</v>
      </c>
      <c r="D645" s="3"/>
      <c r="E645" s="3"/>
    </row>
    <row r="646">
      <c r="B646" s="3">
        <v>1.2621158E7</v>
      </c>
      <c r="C646" s="3">
        <v>90.7</v>
      </c>
      <c r="D646" s="3"/>
      <c r="E646" s="3"/>
    </row>
    <row r="647">
      <c r="B647" s="3">
        <v>1.264116E7</v>
      </c>
      <c r="C647" s="3">
        <v>90.7</v>
      </c>
      <c r="D647" s="3"/>
      <c r="E647" s="3"/>
    </row>
    <row r="648">
      <c r="B648" s="3">
        <v>1.2661161E7</v>
      </c>
      <c r="C648" s="3">
        <v>90.7</v>
      </c>
      <c r="D648" s="3"/>
      <c r="E648" s="3"/>
    </row>
    <row r="649">
      <c r="B649" s="3">
        <v>1.2681163E7</v>
      </c>
      <c r="C649" s="3">
        <v>90.7</v>
      </c>
      <c r="D649" s="3"/>
      <c r="E649" s="3"/>
    </row>
    <row r="650">
      <c r="B650" s="3">
        <v>1.2701165E7</v>
      </c>
      <c r="C650" s="3">
        <v>90.7</v>
      </c>
      <c r="D650" s="3"/>
      <c r="E650" s="3"/>
    </row>
    <row r="651">
      <c r="B651" s="3">
        <v>1.2721167E7</v>
      </c>
      <c r="C651" s="3">
        <v>90.7</v>
      </c>
      <c r="D651" s="3"/>
      <c r="E651" s="3"/>
    </row>
    <row r="652">
      <c r="B652" s="3">
        <v>1.2741169E7</v>
      </c>
      <c r="C652" s="3">
        <v>90.7</v>
      </c>
      <c r="D652" s="3"/>
      <c r="E652" s="3"/>
    </row>
    <row r="653">
      <c r="B653" s="3">
        <v>1.276117E7</v>
      </c>
      <c r="C653" s="3">
        <v>90.6</v>
      </c>
      <c r="D653" s="3"/>
      <c r="E653" s="3"/>
    </row>
    <row r="654">
      <c r="B654" s="3">
        <v>1.2781173E7</v>
      </c>
      <c r="C654" s="3">
        <v>90.7</v>
      </c>
      <c r="D654" s="3"/>
      <c r="E654" s="3"/>
    </row>
    <row r="655">
      <c r="B655" s="3">
        <v>1.2801175E7</v>
      </c>
      <c r="C655" s="3">
        <v>90.7</v>
      </c>
      <c r="D655" s="3"/>
      <c r="E655" s="3"/>
    </row>
    <row r="656">
      <c r="B656" s="3">
        <v>1.2821177E7</v>
      </c>
      <c r="C656" s="3">
        <v>90.7</v>
      </c>
      <c r="D656" s="3"/>
      <c r="E656" s="3"/>
    </row>
    <row r="657">
      <c r="B657" s="3">
        <v>1.2841179E7</v>
      </c>
      <c r="C657" s="3">
        <v>90.6</v>
      </c>
      <c r="D657" s="3"/>
      <c r="E657" s="3"/>
    </row>
    <row r="658">
      <c r="B658" s="3">
        <v>1.286118E7</v>
      </c>
      <c r="C658" s="3">
        <v>90.7</v>
      </c>
      <c r="D658" s="3"/>
      <c r="E658" s="3"/>
    </row>
    <row r="659">
      <c r="B659" s="3">
        <v>1.2881182E7</v>
      </c>
      <c r="C659" s="3">
        <v>90.6</v>
      </c>
      <c r="D659" s="3"/>
      <c r="E659" s="3"/>
    </row>
    <row r="660">
      <c r="B660" s="3">
        <v>1.2901184E7</v>
      </c>
      <c r="C660" s="3">
        <v>90.7</v>
      </c>
      <c r="D660" s="3"/>
      <c r="E660" s="3"/>
    </row>
    <row r="661">
      <c r="B661" s="3">
        <v>1.2921186E7</v>
      </c>
      <c r="C661" s="3">
        <v>90.6</v>
      </c>
      <c r="D661" s="3"/>
      <c r="E661" s="3"/>
    </row>
    <row r="662">
      <c r="B662" s="3">
        <v>1.2941188E7</v>
      </c>
      <c r="C662" s="3">
        <v>90.7</v>
      </c>
      <c r="D662" s="3"/>
      <c r="E662" s="3"/>
    </row>
    <row r="663">
      <c r="B663" s="3">
        <v>1.2961189E7</v>
      </c>
      <c r="C663" s="3">
        <v>90.6</v>
      </c>
      <c r="D663" s="3"/>
      <c r="E663" s="3"/>
    </row>
    <row r="664">
      <c r="B664" s="3">
        <v>1.2981191E7</v>
      </c>
      <c r="C664" s="3">
        <v>90.6</v>
      </c>
      <c r="D664" s="3"/>
      <c r="E664" s="3"/>
    </row>
    <row r="665">
      <c r="B665" s="3">
        <v>1.3001193E7</v>
      </c>
      <c r="C665" s="3">
        <v>90.6</v>
      </c>
      <c r="D665" s="3"/>
      <c r="E665" s="3"/>
    </row>
    <row r="666">
      <c r="B666" s="3">
        <v>1.3021196E7</v>
      </c>
      <c r="C666" s="3">
        <v>90.6</v>
      </c>
      <c r="D666" s="3"/>
      <c r="E666" s="3"/>
    </row>
    <row r="667">
      <c r="B667" s="3">
        <v>1.3041198E7</v>
      </c>
      <c r="C667" s="3">
        <v>90.6</v>
      </c>
      <c r="D667" s="3"/>
      <c r="E667" s="3"/>
    </row>
    <row r="668">
      <c r="B668" s="3">
        <v>1.3061199E7</v>
      </c>
      <c r="C668" s="3">
        <v>90.6</v>
      </c>
      <c r="D668" s="3"/>
      <c r="E668" s="3"/>
    </row>
    <row r="669">
      <c r="B669" s="3">
        <v>1.3081201E7</v>
      </c>
      <c r="C669" s="3">
        <v>90.6</v>
      </c>
      <c r="D669" s="3"/>
      <c r="E669" s="3"/>
    </row>
    <row r="670">
      <c r="B670" s="3">
        <v>1.3101203E7</v>
      </c>
      <c r="C670" s="3">
        <v>90.6</v>
      </c>
      <c r="D670" s="3"/>
      <c r="E670" s="3"/>
    </row>
    <row r="671">
      <c r="B671" s="3">
        <v>1.3121205E7</v>
      </c>
      <c r="C671" s="3">
        <v>90.5</v>
      </c>
      <c r="D671" s="3"/>
      <c r="E671" s="3"/>
    </row>
    <row r="672">
      <c r="B672" s="3">
        <v>1.3141207E7</v>
      </c>
      <c r="C672" s="3">
        <v>90.5</v>
      </c>
      <c r="D672" s="3"/>
      <c r="E672" s="3"/>
    </row>
    <row r="673">
      <c r="B673" s="3">
        <v>1.3161208E7</v>
      </c>
      <c r="C673" s="3">
        <v>90.5</v>
      </c>
      <c r="D673" s="3"/>
      <c r="E673" s="3"/>
    </row>
    <row r="674">
      <c r="B674" s="3">
        <v>1.318121E7</v>
      </c>
      <c r="C674" s="3">
        <v>90.5</v>
      </c>
      <c r="D674" s="3"/>
      <c r="E674" s="3"/>
    </row>
    <row r="675">
      <c r="B675" s="3">
        <v>1.3201212E7</v>
      </c>
      <c r="C675" s="3">
        <v>90.5</v>
      </c>
      <c r="D675" s="3"/>
      <c r="E675" s="3"/>
    </row>
    <row r="676">
      <c r="B676" s="3">
        <v>1.3221214E7</v>
      </c>
      <c r="C676" s="3">
        <v>90.5</v>
      </c>
      <c r="D676" s="3"/>
      <c r="E676" s="3"/>
    </row>
    <row r="677">
      <c r="B677" s="3">
        <v>1.3241216E7</v>
      </c>
      <c r="C677" s="3">
        <v>90.5</v>
      </c>
      <c r="D677" s="3"/>
      <c r="E677" s="3"/>
    </row>
    <row r="678">
      <c r="B678" s="3">
        <v>1.3261217E7</v>
      </c>
      <c r="C678" s="3">
        <v>90.5</v>
      </c>
      <c r="D678" s="3"/>
      <c r="E678" s="3"/>
    </row>
    <row r="679">
      <c r="B679" s="3">
        <v>1.3281219E7</v>
      </c>
      <c r="C679" s="3">
        <v>90.5</v>
      </c>
      <c r="D679" s="3"/>
      <c r="E679" s="3"/>
    </row>
    <row r="680">
      <c r="B680" s="3">
        <v>1.3301222E7</v>
      </c>
      <c r="C680" s="3">
        <v>90.5</v>
      </c>
      <c r="D680" s="3"/>
      <c r="E680" s="3"/>
    </row>
    <row r="681">
      <c r="B681" s="3">
        <v>1.3321224E7</v>
      </c>
      <c r="C681" s="3">
        <v>90.5</v>
      </c>
      <c r="D681" s="3"/>
      <c r="E681" s="3"/>
    </row>
    <row r="682">
      <c r="B682" s="3">
        <v>1.3341225E7</v>
      </c>
      <c r="C682" s="3">
        <v>90.6</v>
      </c>
      <c r="D682" s="3"/>
      <c r="E682" s="3"/>
    </row>
    <row r="683">
      <c r="B683" s="3">
        <v>1.3361227E7</v>
      </c>
      <c r="C683" s="3">
        <v>90.5</v>
      </c>
      <c r="D683" s="3"/>
      <c r="E683" s="3"/>
    </row>
    <row r="684">
      <c r="B684" s="3">
        <v>1.3381229E7</v>
      </c>
      <c r="C684" s="3">
        <v>90.4</v>
      </c>
      <c r="D684" s="3"/>
      <c r="E684" s="3"/>
    </row>
    <row r="685">
      <c r="B685" s="3">
        <v>1.3401231E7</v>
      </c>
      <c r="C685" s="3">
        <v>90.5</v>
      </c>
      <c r="D685" s="3"/>
      <c r="E685" s="3"/>
    </row>
    <row r="686">
      <c r="B686" s="3">
        <v>1.3421233E7</v>
      </c>
      <c r="C686" s="3">
        <v>90.4</v>
      </c>
      <c r="D686" s="3"/>
      <c r="E686" s="3"/>
    </row>
    <row r="687">
      <c r="B687" s="3">
        <v>1.3441234E7</v>
      </c>
      <c r="C687" s="3">
        <v>90.4</v>
      </c>
      <c r="D687" s="3"/>
      <c r="E687" s="3"/>
    </row>
    <row r="688">
      <c r="B688" s="3">
        <v>1.3461236E7</v>
      </c>
      <c r="C688" s="3">
        <v>90.5</v>
      </c>
      <c r="D688" s="3"/>
      <c r="E688" s="3"/>
    </row>
    <row r="689">
      <c r="B689" s="3">
        <v>1.3481238E7</v>
      </c>
      <c r="C689" s="3">
        <v>90.5</v>
      </c>
      <c r="D689" s="3"/>
      <c r="E689" s="3"/>
    </row>
    <row r="690">
      <c r="B690" s="3">
        <v>1.350124E7</v>
      </c>
      <c r="C690" s="3">
        <v>90.5</v>
      </c>
      <c r="D690" s="3"/>
      <c r="E690" s="3"/>
    </row>
    <row r="691">
      <c r="B691" s="3">
        <v>1.3521242E7</v>
      </c>
      <c r="C691" s="3">
        <v>90.4</v>
      </c>
      <c r="D691" s="3"/>
      <c r="E691" s="3"/>
    </row>
    <row r="692">
      <c r="B692" s="3">
        <v>1.3541243E7</v>
      </c>
      <c r="C692" s="3">
        <v>90.4</v>
      </c>
      <c r="D692" s="3"/>
      <c r="E692" s="3"/>
    </row>
    <row r="693">
      <c r="B693" s="3">
        <v>1.3561246E7</v>
      </c>
      <c r="C693" s="3">
        <v>90.4</v>
      </c>
      <c r="D693" s="3"/>
      <c r="E693" s="3"/>
    </row>
    <row r="694">
      <c r="B694" s="3">
        <v>1.3581248E7</v>
      </c>
      <c r="C694" s="3">
        <v>90.5</v>
      </c>
      <c r="D694" s="3"/>
      <c r="E694" s="3"/>
    </row>
    <row r="695">
      <c r="B695" s="3">
        <v>1.360125E7</v>
      </c>
      <c r="C695" s="3">
        <v>90.4</v>
      </c>
      <c r="D695" s="3"/>
      <c r="E695" s="3"/>
    </row>
    <row r="696">
      <c r="B696" s="3">
        <v>1.3621252E7</v>
      </c>
      <c r="C696" s="3">
        <v>90.4</v>
      </c>
      <c r="D696" s="3"/>
      <c r="E696" s="3"/>
    </row>
    <row r="697">
      <c r="B697" s="3">
        <v>1.3641253E7</v>
      </c>
      <c r="C697" s="3">
        <v>90.5</v>
      </c>
      <c r="D697" s="3"/>
      <c r="E697" s="3"/>
    </row>
    <row r="698">
      <c r="B698" s="3">
        <v>1.3661255E7</v>
      </c>
      <c r="C698" s="3">
        <v>90.4</v>
      </c>
      <c r="D698" s="3"/>
      <c r="E698" s="3"/>
    </row>
    <row r="699">
      <c r="B699" s="3">
        <v>1.3681257E7</v>
      </c>
      <c r="C699" s="3">
        <v>90.4</v>
      </c>
      <c r="D699" s="3"/>
      <c r="E699" s="3"/>
    </row>
    <row r="700">
      <c r="B700" s="3">
        <v>1.3701259E7</v>
      </c>
      <c r="C700" s="3">
        <v>90.4</v>
      </c>
      <c r="D700" s="3"/>
      <c r="E700" s="3"/>
    </row>
    <row r="701">
      <c r="B701" s="3">
        <v>1.3721261E7</v>
      </c>
      <c r="C701" s="3">
        <v>90.4</v>
      </c>
      <c r="D701" s="3"/>
      <c r="E701" s="3"/>
    </row>
    <row r="702">
      <c r="B702" s="3">
        <v>1.3741262E7</v>
      </c>
      <c r="C702" s="3">
        <v>90.4</v>
      </c>
      <c r="D702" s="3"/>
      <c r="E702" s="3"/>
    </row>
    <row r="703">
      <c r="B703" s="3">
        <v>1.3761264E7</v>
      </c>
      <c r="C703" s="3">
        <v>90.4</v>
      </c>
      <c r="D703" s="3"/>
      <c r="E703" s="3"/>
    </row>
    <row r="704">
      <c r="B704" s="3">
        <v>1.3781266E7</v>
      </c>
      <c r="C704" s="3">
        <v>90.3</v>
      </c>
      <c r="D704" s="3"/>
      <c r="E704" s="3"/>
    </row>
    <row r="705">
      <c r="B705" s="3">
        <v>1.3801268E7</v>
      </c>
      <c r="C705" s="3">
        <v>90.3</v>
      </c>
      <c r="D705" s="3"/>
      <c r="E705" s="3"/>
    </row>
    <row r="706">
      <c r="B706" s="3">
        <v>1.3821271E7</v>
      </c>
      <c r="C706" s="3">
        <v>90.3</v>
      </c>
      <c r="D706" s="3"/>
      <c r="E706" s="3"/>
    </row>
    <row r="707">
      <c r="B707" s="3">
        <v>1.3841272E7</v>
      </c>
      <c r="C707" s="3">
        <v>90.3</v>
      </c>
      <c r="D707" s="3"/>
      <c r="E707" s="3"/>
    </row>
    <row r="708">
      <c r="B708" s="3">
        <v>1.3861274E7</v>
      </c>
      <c r="C708" s="3">
        <v>90.4</v>
      </c>
      <c r="D708" s="3"/>
      <c r="E708" s="3"/>
    </row>
    <row r="709">
      <c r="B709" s="3">
        <v>1.3881276E7</v>
      </c>
      <c r="C709" s="3">
        <v>90.4</v>
      </c>
      <c r="D709" s="3"/>
      <c r="E709" s="3"/>
    </row>
    <row r="710">
      <c r="B710" s="3">
        <v>1.3901278E7</v>
      </c>
      <c r="C710" s="3">
        <v>90.3</v>
      </c>
      <c r="D710" s="3"/>
      <c r="E710" s="3"/>
    </row>
    <row r="711">
      <c r="B711" s="3">
        <v>1.392128E7</v>
      </c>
      <c r="C711" s="3">
        <v>90.3</v>
      </c>
      <c r="D711" s="3"/>
      <c r="E711" s="3"/>
    </row>
    <row r="712">
      <c r="B712" s="3">
        <v>1.3941281E7</v>
      </c>
      <c r="C712" s="3">
        <v>90.3</v>
      </c>
      <c r="D712" s="3"/>
      <c r="E712" s="3"/>
    </row>
    <row r="713">
      <c r="B713" s="3">
        <v>1.3961283E7</v>
      </c>
      <c r="C713" s="3">
        <v>90.3</v>
      </c>
      <c r="D713" s="3"/>
      <c r="E713" s="3"/>
    </row>
    <row r="714">
      <c r="B714" s="3">
        <v>1.3981285E7</v>
      </c>
      <c r="C714" s="3">
        <v>90.2</v>
      </c>
      <c r="D714" s="3"/>
      <c r="E714" s="3"/>
    </row>
    <row r="715">
      <c r="B715" s="3">
        <v>1.4001287E7</v>
      </c>
      <c r="C715" s="3">
        <v>90.3</v>
      </c>
      <c r="D715" s="3"/>
      <c r="E715" s="3"/>
    </row>
    <row r="716">
      <c r="B716" s="3">
        <v>1.4021288E7</v>
      </c>
      <c r="C716" s="3">
        <v>90.3</v>
      </c>
      <c r="D716" s="3"/>
      <c r="E716" s="3"/>
    </row>
    <row r="717">
      <c r="B717" s="3">
        <v>1.404129E7</v>
      </c>
      <c r="C717" s="3">
        <v>90.3</v>
      </c>
      <c r="D717" s="3"/>
      <c r="E717" s="3"/>
    </row>
    <row r="718">
      <c r="B718" s="3">
        <v>1.4061293E7</v>
      </c>
      <c r="C718" s="3">
        <v>90.2</v>
      </c>
      <c r="D718" s="3"/>
      <c r="E718" s="3"/>
    </row>
    <row r="719">
      <c r="B719" s="3">
        <v>1.4081295E7</v>
      </c>
      <c r="C719" s="3">
        <v>90.2</v>
      </c>
      <c r="D719" s="3"/>
      <c r="E719" s="3"/>
    </row>
    <row r="720">
      <c r="B720" s="3">
        <v>1.4101297E7</v>
      </c>
      <c r="C720" s="3">
        <v>90.2</v>
      </c>
      <c r="D720" s="3"/>
      <c r="E720" s="3"/>
    </row>
    <row r="721">
      <c r="B721" s="3">
        <v>1.4121298E7</v>
      </c>
      <c r="C721" s="3">
        <v>90.2</v>
      </c>
      <c r="D721" s="3"/>
      <c r="E721" s="3"/>
    </row>
    <row r="722">
      <c r="B722" s="3">
        <v>1.41413E7</v>
      </c>
      <c r="C722" s="3">
        <v>90.2</v>
      </c>
      <c r="D722" s="3"/>
      <c r="E722" s="3"/>
    </row>
    <row r="723">
      <c r="B723" s="3">
        <v>1.4161302E7</v>
      </c>
      <c r="C723" s="3">
        <v>90.3</v>
      </c>
      <c r="D723" s="3"/>
      <c r="E723" s="3"/>
    </row>
    <row r="724">
      <c r="B724" s="3">
        <v>1.4181304E7</v>
      </c>
      <c r="C724" s="3">
        <v>90.2</v>
      </c>
      <c r="D724" s="3"/>
      <c r="E724" s="3"/>
    </row>
    <row r="725">
      <c r="B725" s="3">
        <v>1.4201306E7</v>
      </c>
      <c r="C725" s="3">
        <v>90.2</v>
      </c>
      <c r="D725" s="3"/>
      <c r="E725" s="3"/>
    </row>
    <row r="726">
      <c r="B726" s="3">
        <v>1.4221307E7</v>
      </c>
      <c r="C726" s="3">
        <v>90.2</v>
      </c>
      <c r="D726" s="3"/>
      <c r="E726" s="3"/>
    </row>
    <row r="727">
      <c r="B727" s="3">
        <v>1.4241309E7</v>
      </c>
      <c r="C727" s="3">
        <v>90.2</v>
      </c>
      <c r="D727" s="3"/>
      <c r="E727" s="3"/>
    </row>
    <row r="728">
      <c r="B728" s="3">
        <v>1.4261311E7</v>
      </c>
      <c r="C728" s="3">
        <v>90.2</v>
      </c>
      <c r="D728" s="3"/>
      <c r="E728" s="3"/>
    </row>
    <row r="729">
      <c r="B729" s="3">
        <v>1.4281313E7</v>
      </c>
      <c r="C729" s="3">
        <v>90.2</v>
      </c>
      <c r="D729" s="3"/>
      <c r="E729" s="3"/>
    </row>
    <row r="730">
      <c r="B730" s="3">
        <v>1.4301315E7</v>
      </c>
      <c r="C730" s="3">
        <v>90.2</v>
      </c>
      <c r="D730" s="3"/>
      <c r="E730" s="3"/>
    </row>
    <row r="731">
      <c r="B731" s="3">
        <v>1.4321317E7</v>
      </c>
      <c r="C731" s="3">
        <v>90.2</v>
      </c>
      <c r="D731" s="3"/>
      <c r="E731" s="3"/>
    </row>
    <row r="732">
      <c r="B732" s="3">
        <v>1.4341319E7</v>
      </c>
      <c r="C732" s="3">
        <v>90.1</v>
      </c>
      <c r="D732" s="3"/>
      <c r="E732" s="3"/>
    </row>
    <row r="733">
      <c r="B733" s="3">
        <v>1.4361321E7</v>
      </c>
      <c r="C733" s="3">
        <v>90.1</v>
      </c>
      <c r="D733" s="3"/>
      <c r="E733" s="3"/>
    </row>
    <row r="734">
      <c r="B734" s="3">
        <v>1.4381323E7</v>
      </c>
      <c r="C734" s="3">
        <v>90.2</v>
      </c>
      <c r="D734" s="3"/>
      <c r="E734" s="3"/>
    </row>
    <row r="735">
      <c r="B735" s="3">
        <v>1.4401325E7</v>
      </c>
      <c r="C735" s="3">
        <v>90.1</v>
      </c>
      <c r="D735" s="3"/>
      <c r="E735" s="3"/>
    </row>
    <row r="736">
      <c r="B736" s="3">
        <v>1.4421326E7</v>
      </c>
      <c r="C736" s="3">
        <v>90.2</v>
      </c>
      <c r="D736" s="3"/>
      <c r="E736" s="3"/>
    </row>
    <row r="737">
      <c r="B737" s="3">
        <v>1.4441328E7</v>
      </c>
      <c r="C737" s="3">
        <v>90.1</v>
      </c>
      <c r="D737" s="3"/>
      <c r="E737" s="3"/>
    </row>
    <row r="738">
      <c r="B738" s="3">
        <v>1.446133E7</v>
      </c>
      <c r="C738" s="3">
        <v>90.1</v>
      </c>
      <c r="D738" s="3"/>
      <c r="E738" s="3"/>
    </row>
    <row r="739">
      <c r="B739" s="3">
        <v>1.4481332E7</v>
      </c>
      <c r="C739" s="3">
        <v>90.1</v>
      </c>
      <c r="D739" s="3"/>
      <c r="E739" s="3"/>
    </row>
    <row r="740">
      <c r="B740" s="3">
        <v>1.4501334E7</v>
      </c>
      <c r="C740" s="3">
        <v>90.1</v>
      </c>
      <c r="D740" s="3"/>
      <c r="E740" s="3"/>
    </row>
    <row r="741">
      <c r="B741" s="3">
        <v>1.4521335E7</v>
      </c>
      <c r="C741" s="3">
        <v>90.1</v>
      </c>
      <c r="D741" s="3"/>
      <c r="E741" s="3"/>
    </row>
    <row r="742">
      <c r="B742" s="3">
        <v>1.4541337E7</v>
      </c>
      <c r="C742" s="3">
        <v>90.1</v>
      </c>
      <c r="D742" s="3"/>
      <c r="E742" s="3"/>
    </row>
    <row r="743">
      <c r="B743" s="3">
        <v>1.4561339E7</v>
      </c>
      <c r="C743" s="3">
        <v>90.1</v>
      </c>
      <c r="D743" s="3"/>
      <c r="E743" s="3"/>
    </row>
    <row r="744">
      <c r="B744" s="3">
        <v>1.4581342E7</v>
      </c>
      <c r="C744" s="3">
        <v>90.1</v>
      </c>
      <c r="D744" s="3"/>
      <c r="E744" s="3"/>
    </row>
    <row r="745">
      <c r="B745" s="3">
        <v>1.4601344E7</v>
      </c>
      <c r="C745" s="3">
        <v>90.1</v>
      </c>
      <c r="D745" s="3"/>
      <c r="E745" s="3"/>
    </row>
    <row r="746">
      <c r="B746" s="3">
        <v>1.4621345E7</v>
      </c>
      <c r="C746" s="3">
        <v>90.0</v>
      </c>
      <c r="D746" s="3"/>
      <c r="E746" s="3"/>
    </row>
    <row r="747">
      <c r="B747" s="3">
        <v>1.4641347E7</v>
      </c>
      <c r="C747" s="3">
        <v>90.1</v>
      </c>
      <c r="D747" s="3"/>
      <c r="E747" s="3"/>
    </row>
    <row r="748">
      <c r="B748" s="3">
        <v>1.4661349E7</v>
      </c>
      <c r="C748" s="3">
        <v>90.0</v>
      </c>
      <c r="D748" s="3"/>
      <c r="E748" s="3"/>
    </row>
    <row r="749">
      <c r="B749" s="3">
        <v>1.4681351E7</v>
      </c>
      <c r="C749" s="3">
        <v>90.0</v>
      </c>
      <c r="D749" s="3"/>
      <c r="E749" s="3"/>
    </row>
    <row r="750">
      <c r="B750" s="3">
        <v>1.4701352E7</v>
      </c>
      <c r="C750" s="3">
        <v>90.0</v>
      </c>
      <c r="D750" s="3"/>
      <c r="E750" s="3"/>
    </row>
    <row r="751">
      <c r="B751" s="3">
        <v>1.4721354E7</v>
      </c>
      <c r="C751" s="3">
        <v>90.1</v>
      </c>
      <c r="D751" s="3"/>
      <c r="E751" s="3"/>
    </row>
    <row r="752">
      <c r="B752" s="3">
        <v>1.4741356E7</v>
      </c>
      <c r="C752" s="3">
        <v>90.0</v>
      </c>
      <c r="D752" s="3"/>
      <c r="E752" s="3"/>
    </row>
    <row r="753">
      <c r="B753" s="3">
        <v>1.4761358E7</v>
      </c>
      <c r="C753" s="3">
        <v>90.1</v>
      </c>
      <c r="D753" s="3"/>
      <c r="E753" s="3"/>
    </row>
    <row r="754">
      <c r="B754" s="3">
        <v>1.478136E7</v>
      </c>
      <c r="C754" s="3">
        <v>90.0</v>
      </c>
      <c r="D754" s="3"/>
      <c r="E754" s="3"/>
    </row>
    <row r="755">
      <c r="B755" s="3">
        <v>1.4801361E7</v>
      </c>
      <c r="C755" s="3">
        <v>89.8</v>
      </c>
      <c r="D755" s="3"/>
      <c r="E755" s="3"/>
    </row>
    <row r="756">
      <c r="B756" s="3">
        <v>1.4821363E7</v>
      </c>
      <c r="C756" s="3">
        <v>90.0</v>
      </c>
      <c r="D756" s="3"/>
      <c r="E756" s="3"/>
    </row>
    <row r="757">
      <c r="B757" s="3">
        <v>1.4841366E7</v>
      </c>
      <c r="C757" s="3">
        <v>89.9</v>
      </c>
      <c r="D757" s="3"/>
      <c r="E757" s="3"/>
    </row>
    <row r="758">
      <c r="B758" s="3">
        <v>1.4861368E7</v>
      </c>
      <c r="C758" s="3">
        <v>89.9</v>
      </c>
      <c r="D758" s="3"/>
      <c r="E758" s="3"/>
    </row>
    <row r="759">
      <c r="B759" s="3">
        <v>1.488137E7</v>
      </c>
      <c r="C759" s="3">
        <v>90.0</v>
      </c>
      <c r="D759" s="3"/>
      <c r="E759" s="3"/>
    </row>
    <row r="760">
      <c r="B760" s="3">
        <v>1.4901371E7</v>
      </c>
      <c r="C760" s="3">
        <v>89.9</v>
      </c>
      <c r="D760" s="3"/>
      <c r="E760" s="3"/>
    </row>
    <row r="761">
      <c r="B761" s="7">
        <v>1.4921373E7</v>
      </c>
      <c r="C761" s="3">
        <v>121.2</v>
      </c>
    </row>
    <row r="762">
      <c r="B762" s="7">
        <v>1.4941375E7</v>
      </c>
      <c r="C762" s="3">
        <v>121.3</v>
      </c>
    </row>
    <row r="763">
      <c r="B763" s="7">
        <v>1.4961377E7</v>
      </c>
      <c r="C763" s="3">
        <v>121.3</v>
      </c>
    </row>
    <row r="764">
      <c r="B764" s="7">
        <v>1.4981379E7</v>
      </c>
      <c r="C764" s="3">
        <v>121.3</v>
      </c>
    </row>
    <row r="765">
      <c r="B765" s="7">
        <v>1.500138E7</v>
      </c>
      <c r="C765" s="3">
        <v>121.3</v>
      </c>
    </row>
    <row r="766">
      <c r="B766" s="7">
        <v>1.5021382E7</v>
      </c>
      <c r="C766" s="3">
        <v>121.4</v>
      </c>
    </row>
    <row r="767">
      <c r="B767" s="7">
        <v>1.5041385E7</v>
      </c>
      <c r="C767" s="3">
        <v>121.3</v>
      </c>
    </row>
    <row r="768">
      <c r="B768" s="7">
        <v>1.5061387E7</v>
      </c>
      <c r="C768" s="3">
        <v>121.2</v>
      </c>
    </row>
    <row r="769">
      <c r="B769" s="7">
        <v>1.5081389E7</v>
      </c>
      <c r="C769" s="3">
        <v>121.3</v>
      </c>
    </row>
    <row r="770">
      <c r="B770" s="7">
        <v>1.510139E7</v>
      </c>
      <c r="C770" s="3">
        <v>121.3</v>
      </c>
    </row>
    <row r="771">
      <c r="B771" s="7">
        <v>1.5121392E7</v>
      </c>
      <c r="C771" s="3">
        <v>121.2</v>
      </c>
    </row>
    <row r="772">
      <c r="B772" s="7">
        <v>1.5141394E7</v>
      </c>
      <c r="C772" s="3">
        <v>121.2</v>
      </c>
    </row>
    <row r="773">
      <c r="B773" s="7">
        <v>1.5161396E7</v>
      </c>
      <c r="C773" s="3">
        <v>121.2</v>
      </c>
    </row>
    <row r="774">
      <c r="B774" s="7">
        <v>1.5181398E7</v>
      </c>
      <c r="C774" s="3">
        <v>121.2</v>
      </c>
    </row>
    <row r="775">
      <c r="B775" s="7">
        <v>1.52014E7</v>
      </c>
      <c r="C775" s="3">
        <v>121.2</v>
      </c>
    </row>
    <row r="776">
      <c r="B776" s="7">
        <v>1.5221402E7</v>
      </c>
      <c r="C776" s="3">
        <v>121.2</v>
      </c>
    </row>
    <row r="777">
      <c r="B777" s="7">
        <v>1.5241404E7</v>
      </c>
      <c r="C777" s="3">
        <v>121.1</v>
      </c>
    </row>
    <row r="778">
      <c r="B778" s="7">
        <v>1.5261406E7</v>
      </c>
      <c r="C778" s="3">
        <v>121.2</v>
      </c>
    </row>
    <row r="779">
      <c r="B779" s="7">
        <v>1.5281408E7</v>
      </c>
      <c r="C779" s="3">
        <v>121.2</v>
      </c>
    </row>
    <row r="780">
      <c r="B780" s="7">
        <v>1.5301409E7</v>
      </c>
      <c r="C780" s="3">
        <v>121.1</v>
      </c>
    </row>
    <row r="781">
      <c r="B781" s="7">
        <v>1.5321411E7</v>
      </c>
      <c r="C781" s="3">
        <v>121.2</v>
      </c>
    </row>
    <row r="782">
      <c r="B782" s="7">
        <v>1.5341414E7</v>
      </c>
      <c r="C782" s="3">
        <v>121.1</v>
      </c>
    </row>
    <row r="783">
      <c r="B783" s="7">
        <v>1.5361416E7</v>
      </c>
      <c r="C783" s="3">
        <v>121.1</v>
      </c>
    </row>
    <row r="784">
      <c r="B784" s="7">
        <v>1.5381417E7</v>
      </c>
      <c r="C784" s="3">
        <v>121.0</v>
      </c>
    </row>
    <row r="785">
      <c r="B785" s="7">
        <v>1.5401419E7</v>
      </c>
      <c r="C785" s="3">
        <v>121.1</v>
      </c>
    </row>
    <row r="786">
      <c r="B786" s="7">
        <v>1.5421421E7</v>
      </c>
      <c r="C786" s="3">
        <v>121.0</v>
      </c>
    </row>
    <row r="787">
      <c r="B787" s="7">
        <v>1.5441423E7</v>
      </c>
      <c r="C787" s="3">
        <v>121.1</v>
      </c>
    </row>
    <row r="788">
      <c r="B788" s="7">
        <v>1.5461425E7</v>
      </c>
      <c r="C788" s="3">
        <v>120.9</v>
      </c>
    </row>
    <row r="789">
      <c r="B789" s="7">
        <v>1.5481426E7</v>
      </c>
      <c r="C789" s="3">
        <v>120.9</v>
      </c>
    </row>
    <row r="790">
      <c r="B790" s="7">
        <v>1.5501429E7</v>
      </c>
      <c r="C790" s="3">
        <v>121.0</v>
      </c>
    </row>
    <row r="791">
      <c r="B791" s="7">
        <v>1.5521431E7</v>
      </c>
      <c r="C791" s="3">
        <v>121.0</v>
      </c>
    </row>
    <row r="792">
      <c r="B792" s="7">
        <v>1.5541433E7</v>
      </c>
      <c r="C792" s="3">
        <v>120.9</v>
      </c>
    </row>
    <row r="793">
      <c r="B793" s="7">
        <v>1.5561435E7</v>
      </c>
      <c r="C793" s="3">
        <v>120.9</v>
      </c>
    </row>
    <row r="794">
      <c r="B794" s="7">
        <v>1.5581436E7</v>
      </c>
      <c r="C794" s="3">
        <v>120.9</v>
      </c>
    </row>
    <row r="795">
      <c r="B795" s="7">
        <v>1.5601438E7</v>
      </c>
      <c r="C795" s="3">
        <v>120.9</v>
      </c>
    </row>
    <row r="796">
      <c r="B796" s="7">
        <v>1.562144E7</v>
      </c>
      <c r="C796" s="3">
        <v>120.9</v>
      </c>
    </row>
    <row r="797">
      <c r="B797" s="7">
        <v>1.5641442E7</v>
      </c>
      <c r="C797" s="3">
        <v>120.9</v>
      </c>
    </row>
    <row r="798">
      <c r="B798" s="7">
        <v>1.5661445E7</v>
      </c>
      <c r="C798" s="3">
        <v>120.9</v>
      </c>
    </row>
    <row r="799">
      <c r="B799" s="7">
        <v>1.5681446E7</v>
      </c>
      <c r="C799" s="3">
        <v>120.9</v>
      </c>
    </row>
    <row r="800">
      <c r="B800" s="7">
        <v>1.5701448E7</v>
      </c>
      <c r="C800" s="3">
        <v>120.9</v>
      </c>
    </row>
    <row r="801">
      <c r="B801" s="7">
        <v>1.572145E7</v>
      </c>
      <c r="C801" s="3">
        <v>120.9</v>
      </c>
    </row>
    <row r="802">
      <c r="B802" s="7">
        <v>1.5741452E7</v>
      </c>
      <c r="C802" s="3">
        <v>120.9</v>
      </c>
    </row>
    <row r="803">
      <c r="B803" s="7">
        <v>1.5761454E7</v>
      </c>
      <c r="C803" s="3">
        <v>120.9</v>
      </c>
    </row>
    <row r="804">
      <c r="B804" s="7">
        <v>1.5781455E7</v>
      </c>
      <c r="C804" s="3">
        <v>120.9</v>
      </c>
    </row>
    <row r="805">
      <c r="B805" s="7">
        <v>1.5801457E7</v>
      </c>
      <c r="C805" s="3">
        <v>120.8</v>
      </c>
    </row>
    <row r="806">
      <c r="B806" s="7">
        <v>1.582146E7</v>
      </c>
      <c r="C806" s="3">
        <v>120.8</v>
      </c>
    </row>
    <row r="807">
      <c r="B807" s="7">
        <v>1.5841462E7</v>
      </c>
      <c r="C807" s="3">
        <v>120.9</v>
      </c>
    </row>
    <row r="808">
      <c r="B808" s="7">
        <v>1.5861464E7</v>
      </c>
      <c r="C808" s="3">
        <v>120.9</v>
      </c>
    </row>
    <row r="809">
      <c r="B809" s="7">
        <v>1.5881465E7</v>
      </c>
      <c r="C809" s="3">
        <v>120.8</v>
      </c>
    </row>
    <row r="810">
      <c r="B810" s="7">
        <v>1.5901467E7</v>
      </c>
      <c r="C810" s="3">
        <v>120.8</v>
      </c>
    </row>
    <row r="811">
      <c r="B811" s="7">
        <v>1.5921469E7</v>
      </c>
      <c r="C811" s="3">
        <v>120.7</v>
      </c>
    </row>
    <row r="812">
      <c r="B812" s="7">
        <v>1.5941471E7</v>
      </c>
      <c r="C812" s="3">
        <v>120.8</v>
      </c>
    </row>
    <row r="813">
      <c r="B813" s="7">
        <v>1.5961474E7</v>
      </c>
      <c r="C813" s="3">
        <v>120.8</v>
      </c>
    </row>
    <row r="814">
      <c r="B814" s="7">
        <v>1.5981475E7</v>
      </c>
      <c r="C814" s="3">
        <v>120.7</v>
      </c>
    </row>
    <row r="815">
      <c r="B815" s="7">
        <v>1.6001477E7</v>
      </c>
      <c r="C815" s="3">
        <v>120.8</v>
      </c>
    </row>
    <row r="816">
      <c r="B816" s="7">
        <v>1.6021479E7</v>
      </c>
      <c r="C816" s="3">
        <v>120.7</v>
      </c>
    </row>
    <row r="817">
      <c r="B817" s="7">
        <v>1.6041481E7</v>
      </c>
      <c r="C817" s="3">
        <v>120.7</v>
      </c>
    </row>
    <row r="818">
      <c r="B818" s="7">
        <v>1.6061483E7</v>
      </c>
      <c r="C818" s="3">
        <v>120.7</v>
      </c>
    </row>
    <row r="819">
      <c r="B819" s="7">
        <v>1.6081484E7</v>
      </c>
      <c r="C819" s="3">
        <v>120.7</v>
      </c>
    </row>
    <row r="820">
      <c r="B820" s="7">
        <v>1.6101486E7</v>
      </c>
      <c r="C820" s="3">
        <v>120.7</v>
      </c>
    </row>
    <row r="821">
      <c r="B821" s="7">
        <v>1.6121489E7</v>
      </c>
      <c r="C821" s="3">
        <v>120.7</v>
      </c>
    </row>
    <row r="822">
      <c r="B822" s="7">
        <v>1.6141491E7</v>
      </c>
      <c r="C822" s="3">
        <v>120.7</v>
      </c>
    </row>
    <row r="823">
      <c r="B823" s="7">
        <v>1.6161492E7</v>
      </c>
      <c r="C823" s="3">
        <v>120.7</v>
      </c>
    </row>
    <row r="824">
      <c r="B824" s="7">
        <v>1.6181494E7</v>
      </c>
      <c r="C824" s="3">
        <v>120.6</v>
      </c>
    </row>
    <row r="825">
      <c r="B825" s="7">
        <v>1.6201496E7</v>
      </c>
      <c r="C825" s="3">
        <v>120.7</v>
      </c>
    </row>
    <row r="826">
      <c r="B826" s="7">
        <v>1.6221498E7</v>
      </c>
      <c r="C826" s="3">
        <v>120.6</v>
      </c>
    </row>
    <row r="827">
      <c r="B827" s="7">
        <v>1.62415E7</v>
      </c>
      <c r="C827" s="3">
        <v>120.6</v>
      </c>
    </row>
    <row r="828">
      <c r="B828" s="7">
        <v>1.6261501E7</v>
      </c>
      <c r="C828" s="3">
        <v>120.6</v>
      </c>
    </row>
    <row r="829">
      <c r="B829" s="7">
        <v>1.6281504E7</v>
      </c>
      <c r="C829" s="3">
        <v>120.6</v>
      </c>
    </row>
    <row r="830">
      <c r="B830" s="7">
        <v>1.6301506E7</v>
      </c>
      <c r="C830" s="3">
        <v>120.6</v>
      </c>
    </row>
    <row r="831">
      <c r="B831" s="7">
        <v>1.6321508E7</v>
      </c>
      <c r="C831" s="3">
        <v>120.6</v>
      </c>
    </row>
    <row r="832">
      <c r="B832" s="7">
        <v>1.634151E7</v>
      </c>
      <c r="C832" s="3">
        <v>120.6</v>
      </c>
    </row>
    <row r="833">
      <c r="B833" s="7">
        <v>1.6361511E7</v>
      </c>
      <c r="C833" s="3">
        <v>120.6</v>
      </c>
    </row>
    <row r="834">
      <c r="B834" s="7">
        <v>1.6381513E7</v>
      </c>
      <c r="C834" s="3">
        <v>120.5</v>
      </c>
    </row>
    <row r="835">
      <c r="B835" s="7">
        <v>1.6401515E7</v>
      </c>
      <c r="C835" s="3">
        <v>120.5</v>
      </c>
    </row>
    <row r="836">
      <c r="B836" s="7">
        <v>1.6421517E7</v>
      </c>
      <c r="C836" s="3">
        <v>120.5</v>
      </c>
    </row>
    <row r="837">
      <c r="B837" s="7">
        <v>1.644152E7</v>
      </c>
      <c r="C837" s="3">
        <v>120.5</v>
      </c>
    </row>
    <row r="838">
      <c r="B838" s="7">
        <v>1.6461521E7</v>
      </c>
      <c r="C838" s="3">
        <v>120.5</v>
      </c>
    </row>
    <row r="839">
      <c r="B839" s="7">
        <v>1.6481523E7</v>
      </c>
      <c r="C839" s="3">
        <v>120.4</v>
      </c>
    </row>
    <row r="840">
      <c r="B840" s="7">
        <v>1.6501525E7</v>
      </c>
      <c r="C840" s="3">
        <v>120.4</v>
      </c>
    </row>
    <row r="841">
      <c r="B841" s="7">
        <v>1.6521527E7</v>
      </c>
      <c r="C841" s="3">
        <v>120.4</v>
      </c>
    </row>
    <row r="842">
      <c r="B842" s="7">
        <v>1.6541529E7</v>
      </c>
      <c r="C842" s="3">
        <v>120.4</v>
      </c>
    </row>
    <row r="843">
      <c r="B843" s="7">
        <v>1.656153E7</v>
      </c>
      <c r="C843" s="3">
        <v>120.4</v>
      </c>
    </row>
    <row r="844">
      <c r="B844" s="7">
        <v>1.6581532E7</v>
      </c>
      <c r="C844" s="3">
        <v>120.4</v>
      </c>
    </row>
    <row r="845">
      <c r="B845" s="7">
        <v>1.6601535E7</v>
      </c>
      <c r="C845" s="3">
        <v>120.4</v>
      </c>
    </row>
    <row r="846">
      <c r="B846" s="7">
        <v>1.6621537E7</v>
      </c>
      <c r="C846" s="3">
        <v>120.4</v>
      </c>
    </row>
    <row r="847">
      <c r="B847" s="7">
        <v>1.6641539E7</v>
      </c>
      <c r="C847" s="3">
        <v>120.4</v>
      </c>
    </row>
    <row r="848">
      <c r="B848" s="7">
        <v>1.666154E7</v>
      </c>
      <c r="C848" s="3">
        <v>120.4</v>
      </c>
    </row>
    <row r="849">
      <c r="B849" s="7">
        <v>1.6681542E7</v>
      </c>
      <c r="C849" s="3">
        <v>120.4</v>
      </c>
    </row>
    <row r="850">
      <c r="B850" s="7">
        <v>1.6701544E7</v>
      </c>
      <c r="C850" s="3">
        <v>120.3</v>
      </c>
    </row>
    <row r="851">
      <c r="B851" s="7">
        <v>1.6721546E7</v>
      </c>
      <c r="C851" s="3">
        <v>120.3</v>
      </c>
    </row>
    <row r="852">
      <c r="B852" s="7">
        <v>1.6741549E7</v>
      </c>
      <c r="C852" s="3">
        <v>120.3</v>
      </c>
    </row>
    <row r="853">
      <c r="B853" s="7">
        <v>1.676155E7</v>
      </c>
      <c r="C853" s="3">
        <v>120.3</v>
      </c>
    </row>
    <row r="854">
      <c r="B854" s="7">
        <v>1.6781552E7</v>
      </c>
      <c r="C854" s="3">
        <v>120.3</v>
      </c>
    </row>
    <row r="855">
      <c r="B855" s="7">
        <v>1.6801554E7</v>
      </c>
      <c r="C855" s="3">
        <v>120.2</v>
      </c>
    </row>
    <row r="856">
      <c r="B856" s="7">
        <v>1.6821556E7</v>
      </c>
      <c r="C856" s="3">
        <v>120.3</v>
      </c>
    </row>
    <row r="857">
      <c r="B857" s="7">
        <v>1.6841558E7</v>
      </c>
      <c r="C857" s="3">
        <v>120.2</v>
      </c>
    </row>
    <row r="858">
      <c r="B858" s="7">
        <v>1.6861559E7</v>
      </c>
      <c r="C858" s="3">
        <v>120.2</v>
      </c>
    </row>
    <row r="859">
      <c r="B859" s="7">
        <v>1.6881561E7</v>
      </c>
      <c r="C859" s="3">
        <v>120.3</v>
      </c>
    </row>
    <row r="860">
      <c r="B860" s="7">
        <v>1.6901564E7</v>
      </c>
      <c r="C860" s="3">
        <v>120.2</v>
      </c>
    </row>
    <row r="861">
      <c r="B861" s="7">
        <v>1.6921566E7</v>
      </c>
      <c r="C861" s="3">
        <v>120.2</v>
      </c>
    </row>
    <row r="862">
      <c r="B862" s="7">
        <v>1.6941568E7</v>
      </c>
      <c r="C862" s="3">
        <v>120.2</v>
      </c>
    </row>
    <row r="863">
      <c r="B863" s="7">
        <v>1.6961569E7</v>
      </c>
      <c r="C863" s="3">
        <v>120.2</v>
      </c>
    </row>
    <row r="864">
      <c r="B864" s="7">
        <v>1.6981571E7</v>
      </c>
      <c r="C864" s="3">
        <v>120.2</v>
      </c>
    </row>
    <row r="865">
      <c r="B865" s="7">
        <v>1.7001573E7</v>
      </c>
      <c r="C865" s="3">
        <v>120.1</v>
      </c>
    </row>
    <row r="866">
      <c r="B866" s="7">
        <v>1.7021575E7</v>
      </c>
      <c r="C866" s="3">
        <v>120.1</v>
      </c>
    </row>
    <row r="867">
      <c r="B867" s="7">
        <v>1.7041576E7</v>
      </c>
      <c r="C867" s="3">
        <v>120.1</v>
      </c>
    </row>
    <row r="868">
      <c r="B868" s="7">
        <v>1.7061579E7</v>
      </c>
      <c r="C868" s="3">
        <v>120.1</v>
      </c>
    </row>
    <row r="869">
      <c r="B869" s="7">
        <v>1.7081581E7</v>
      </c>
      <c r="C869" s="3">
        <v>120.1</v>
      </c>
    </row>
    <row r="870">
      <c r="B870" s="3" t="s">
        <v>26</v>
      </c>
      <c r="C870" s="3"/>
      <c r="D870" s="3"/>
      <c r="E870" s="3"/>
    </row>
    <row r="871">
      <c r="B871" s="3" t="s">
        <v>43</v>
      </c>
      <c r="C871" s="3"/>
      <c r="D871" s="3"/>
      <c r="E871" s="3"/>
    </row>
    <row r="872">
      <c r="B872" s="3" t="s">
        <v>23</v>
      </c>
      <c r="C872" s="3"/>
      <c r="D872" s="3"/>
      <c r="E872" s="3"/>
    </row>
    <row r="873">
      <c r="B873" s="3" t="s">
        <v>24</v>
      </c>
      <c r="C873" s="3" t="s">
        <v>25</v>
      </c>
      <c r="D873" s="3"/>
      <c r="E873" s="3"/>
    </row>
    <row r="874">
      <c r="B874" s="3" t="s">
        <v>23</v>
      </c>
      <c r="C874" s="3"/>
      <c r="D874" s="3"/>
      <c r="E874" s="3"/>
    </row>
    <row r="875">
      <c r="B875" s="3" t="s">
        <v>24</v>
      </c>
      <c r="C875" s="3" t="s">
        <v>25</v>
      </c>
      <c r="D875" s="3"/>
      <c r="E875" s="3"/>
    </row>
    <row r="876">
      <c r="B876" s="3" t="s">
        <v>23</v>
      </c>
      <c r="C876" s="3"/>
      <c r="D876" s="3"/>
      <c r="E876" s="3"/>
    </row>
    <row r="877">
      <c r="B877" s="3" t="s">
        <v>24</v>
      </c>
      <c r="C877" s="3" t="s">
        <v>25</v>
      </c>
      <c r="D877" s="3"/>
      <c r="E877" s="3"/>
    </row>
    <row r="878">
      <c r="B878" s="3">
        <v>4.0</v>
      </c>
      <c r="C878" s="3">
        <v>6.94</v>
      </c>
      <c r="D878" s="3">
        <v>118.5</v>
      </c>
      <c r="E878" s="3"/>
    </row>
    <row r="879">
      <c r="B879" s="3" t="s">
        <v>23</v>
      </c>
      <c r="C879" s="3"/>
      <c r="D879" s="3"/>
      <c r="E879" s="3"/>
    </row>
    <row r="880">
      <c r="B880" s="3" t="s">
        <v>24</v>
      </c>
      <c r="C880" s="3" t="s">
        <v>25</v>
      </c>
      <c r="D880" s="3"/>
      <c r="E880" s="3"/>
    </row>
    <row r="881">
      <c r="B881" s="3">
        <v>4.0</v>
      </c>
      <c r="C881" s="3">
        <v>7.92</v>
      </c>
      <c r="D881" s="3">
        <v>135.0</v>
      </c>
      <c r="E881" s="3"/>
    </row>
    <row r="882">
      <c r="B882" s="3">
        <v>20005.0</v>
      </c>
      <c r="C882" s="3">
        <v>7.91</v>
      </c>
      <c r="D882" s="3">
        <v>138.0</v>
      </c>
      <c r="E882" s="3"/>
    </row>
    <row r="883">
      <c r="B883" s="3">
        <v>40008.0</v>
      </c>
      <c r="C883" s="3">
        <v>7.92</v>
      </c>
      <c r="D883" s="3">
        <v>138.3</v>
      </c>
      <c r="E883" s="3"/>
    </row>
    <row r="884">
      <c r="B884" s="3">
        <v>60011.0</v>
      </c>
      <c r="C884" s="3">
        <v>7.92</v>
      </c>
      <c r="D884" s="3">
        <v>138.6</v>
      </c>
      <c r="E884" s="3"/>
    </row>
    <row r="885">
      <c r="B885" s="3">
        <v>80014.0</v>
      </c>
      <c r="C885" s="3">
        <v>7.92</v>
      </c>
      <c r="D885" s="3">
        <v>138.6</v>
      </c>
      <c r="E885" s="3"/>
    </row>
    <row r="886">
      <c r="B886" s="3">
        <v>100017.0</v>
      </c>
      <c r="C886" s="3">
        <v>7.92</v>
      </c>
      <c r="D886" s="3">
        <v>138.6</v>
      </c>
      <c r="E886" s="3"/>
    </row>
    <row r="887">
      <c r="B887" s="3">
        <v>120019.0</v>
      </c>
      <c r="C887" s="3">
        <v>7.92</v>
      </c>
      <c r="D887" s="3">
        <v>138.7</v>
      </c>
      <c r="E887" s="3"/>
    </row>
    <row r="888">
      <c r="B888" s="3">
        <v>140022.0</v>
      </c>
      <c r="C888" s="3">
        <v>7.92</v>
      </c>
      <c r="D888" s="3">
        <v>138.6</v>
      </c>
      <c r="E888" s="3"/>
    </row>
    <row r="889">
      <c r="B889" s="3">
        <v>160025.0</v>
      </c>
      <c r="C889" s="3">
        <v>7.92</v>
      </c>
      <c r="D889" s="3">
        <v>138.7</v>
      </c>
      <c r="E889" s="3"/>
    </row>
    <row r="890">
      <c r="B890" s="3">
        <v>180028.0</v>
      </c>
      <c r="C890" s="3">
        <v>7.92</v>
      </c>
      <c r="D890" s="3">
        <v>138.7</v>
      </c>
      <c r="E890" s="3"/>
    </row>
    <row r="891">
      <c r="B891" s="3">
        <v>200031.0</v>
      </c>
      <c r="C891" s="3">
        <v>7.92</v>
      </c>
      <c r="D891" s="3">
        <v>138.6</v>
      </c>
      <c r="E891" s="3"/>
    </row>
    <row r="892">
      <c r="B892" s="3">
        <v>220034.0</v>
      </c>
      <c r="C892" s="3">
        <v>7.92</v>
      </c>
      <c r="D892" s="3">
        <v>138.6</v>
      </c>
      <c r="E892" s="3"/>
    </row>
    <row r="893">
      <c r="B893" s="3">
        <v>240036.0</v>
      </c>
      <c r="C893" s="3">
        <v>7.92</v>
      </c>
      <c r="D893" s="3">
        <v>138.6</v>
      </c>
      <c r="E893" s="3"/>
    </row>
    <row r="894">
      <c r="B894" s="3">
        <v>260039.0</v>
      </c>
      <c r="C894" s="3">
        <v>7.92</v>
      </c>
      <c r="D894" s="3">
        <v>138.5</v>
      </c>
      <c r="E894" s="3"/>
    </row>
    <row r="895">
      <c r="B895" s="3">
        <v>280042.0</v>
      </c>
      <c r="C895" s="3">
        <v>7.91</v>
      </c>
      <c r="D895" s="3">
        <v>138.6</v>
      </c>
      <c r="E895" s="3"/>
    </row>
    <row r="896">
      <c r="B896" s="3">
        <v>300045.0</v>
      </c>
      <c r="C896" s="3">
        <v>7.91</v>
      </c>
      <c r="D896" s="3">
        <v>138.6</v>
      </c>
      <c r="E896" s="3"/>
    </row>
    <row r="897">
      <c r="B897" s="3">
        <v>320048.0</v>
      </c>
      <c r="C897" s="3">
        <v>7.91</v>
      </c>
      <c r="D897" s="3">
        <v>138.7</v>
      </c>
      <c r="E897" s="3"/>
    </row>
    <row r="898">
      <c r="B898" s="3">
        <v>340050.0</v>
      </c>
      <c r="C898" s="3">
        <v>7.91</v>
      </c>
      <c r="D898" s="3">
        <v>138.6</v>
      </c>
      <c r="E898" s="3"/>
    </row>
    <row r="899">
      <c r="B899" s="3">
        <v>360053.0</v>
      </c>
      <c r="C899" s="3">
        <v>7.91</v>
      </c>
      <c r="D899" s="3">
        <v>138.7</v>
      </c>
      <c r="E899" s="3"/>
    </row>
    <row r="900">
      <c r="B900" s="3">
        <v>380056.0</v>
      </c>
      <c r="C900" s="3">
        <v>7.91</v>
      </c>
      <c r="D900" s="3">
        <v>138.7</v>
      </c>
      <c r="E900" s="3"/>
    </row>
    <row r="901">
      <c r="B901" s="3">
        <v>400059.0</v>
      </c>
      <c r="C901" s="3">
        <v>7.91</v>
      </c>
      <c r="D901" s="3">
        <v>138.7</v>
      </c>
      <c r="E901" s="3"/>
    </row>
    <row r="902">
      <c r="B902" s="3">
        <v>420062.0</v>
      </c>
      <c r="C902" s="3">
        <v>7.91</v>
      </c>
      <c r="D902" s="3">
        <v>138.6</v>
      </c>
      <c r="E902" s="3"/>
    </row>
    <row r="903">
      <c r="B903" s="3">
        <v>440065.0</v>
      </c>
      <c r="C903" s="3">
        <v>7.91</v>
      </c>
      <c r="D903" s="3">
        <v>138.6</v>
      </c>
      <c r="E903" s="3"/>
    </row>
    <row r="904">
      <c r="B904" s="3">
        <v>460067.0</v>
      </c>
      <c r="C904" s="3">
        <v>7.91</v>
      </c>
      <c r="D904" s="3">
        <v>138.6</v>
      </c>
      <c r="E904" s="3"/>
    </row>
    <row r="905">
      <c r="B905" s="3">
        <v>480070.0</v>
      </c>
      <c r="C905" s="3">
        <v>7.91</v>
      </c>
      <c r="D905" s="3">
        <v>138.6</v>
      </c>
      <c r="E905" s="3"/>
    </row>
    <row r="906">
      <c r="B906" s="3">
        <v>500073.0</v>
      </c>
      <c r="C906" s="3">
        <v>7.91</v>
      </c>
      <c r="D906" s="3">
        <v>138.6</v>
      </c>
      <c r="E906" s="3"/>
    </row>
    <row r="907">
      <c r="B907" s="3">
        <v>520076.0</v>
      </c>
      <c r="C907" s="3">
        <v>7.91</v>
      </c>
      <c r="D907" s="3">
        <v>138.6</v>
      </c>
      <c r="E907" s="3"/>
    </row>
    <row r="908">
      <c r="B908" s="3">
        <v>540079.0</v>
      </c>
      <c r="C908" s="3">
        <v>7.91</v>
      </c>
      <c r="D908" s="3">
        <v>138.6</v>
      </c>
      <c r="E908" s="3"/>
    </row>
    <row r="909">
      <c r="B909" s="3">
        <v>560081.0</v>
      </c>
      <c r="C909" s="3">
        <v>7.91</v>
      </c>
      <c r="D909" s="3">
        <v>138.6</v>
      </c>
      <c r="E909" s="3"/>
    </row>
    <row r="910">
      <c r="B910" s="3">
        <v>580084.0</v>
      </c>
      <c r="C910" s="3">
        <v>7.91</v>
      </c>
      <c r="D910" s="3">
        <v>138.6</v>
      </c>
      <c r="E910" s="3"/>
    </row>
    <row r="911">
      <c r="B911" s="3">
        <v>600087.0</v>
      </c>
      <c r="C911" s="3">
        <v>7.91</v>
      </c>
      <c r="D911" s="3">
        <v>138.6</v>
      </c>
      <c r="E911" s="3"/>
    </row>
    <row r="912">
      <c r="B912" s="3">
        <v>620090.0</v>
      </c>
      <c r="C912" s="3">
        <v>7.91</v>
      </c>
      <c r="D912" s="3">
        <v>138.6</v>
      </c>
      <c r="E912" s="3"/>
    </row>
    <row r="913">
      <c r="B913" s="3">
        <v>640093.0</v>
      </c>
      <c r="C913" s="3">
        <v>7.91</v>
      </c>
      <c r="D913" s="3">
        <v>138.6</v>
      </c>
      <c r="E913" s="3"/>
    </row>
    <row r="914">
      <c r="B914" s="3">
        <v>660096.0</v>
      </c>
      <c r="C914" s="3">
        <v>7.91</v>
      </c>
      <c r="D914" s="3">
        <v>138.6</v>
      </c>
      <c r="E914" s="3"/>
    </row>
    <row r="915">
      <c r="B915" s="3">
        <v>680098.0</v>
      </c>
      <c r="C915" s="3">
        <v>7.9</v>
      </c>
      <c r="D915" s="3">
        <v>138.5</v>
      </c>
      <c r="E915" s="3"/>
    </row>
    <row r="916">
      <c r="B916" s="3">
        <v>700100.0</v>
      </c>
      <c r="C916" s="3">
        <v>7.91</v>
      </c>
      <c r="D916" s="3">
        <v>138.5</v>
      </c>
      <c r="E916" s="3"/>
    </row>
    <row r="917">
      <c r="B917" s="3">
        <v>720103.0</v>
      </c>
      <c r="C917" s="3">
        <v>7.91</v>
      </c>
      <c r="D917" s="3">
        <v>138.6</v>
      </c>
      <c r="E917" s="3"/>
    </row>
    <row r="918">
      <c r="B918" s="3">
        <v>740106.0</v>
      </c>
      <c r="C918" s="3">
        <v>7.9</v>
      </c>
      <c r="D918" s="3">
        <v>138.6</v>
      </c>
      <c r="E918" s="3"/>
    </row>
    <row r="919">
      <c r="B919" s="3">
        <v>760109.0</v>
      </c>
      <c r="C919" s="3">
        <v>7.9</v>
      </c>
      <c r="D919" s="3">
        <v>138.6</v>
      </c>
      <c r="E919" s="3"/>
    </row>
    <row r="920">
      <c r="B920" s="3">
        <v>780111.0</v>
      </c>
      <c r="C920" s="3">
        <v>7.9</v>
      </c>
      <c r="D920" s="3">
        <v>138.6</v>
      </c>
      <c r="E920" s="3"/>
    </row>
    <row r="921">
      <c r="B921" s="3">
        <v>800114.0</v>
      </c>
      <c r="C921" s="3">
        <v>7.9</v>
      </c>
      <c r="D921" s="3">
        <v>138.6</v>
      </c>
      <c r="E921" s="3"/>
    </row>
    <row r="922">
      <c r="B922" s="3">
        <v>820117.0</v>
      </c>
      <c r="C922" s="3">
        <v>7.9</v>
      </c>
      <c r="D922" s="3">
        <v>138.5</v>
      </c>
      <c r="E922" s="3"/>
    </row>
    <row r="923">
      <c r="B923" s="3">
        <v>840120.0</v>
      </c>
      <c r="C923" s="3">
        <v>7.9</v>
      </c>
      <c r="D923" s="3">
        <v>138.5</v>
      </c>
      <c r="E923" s="3"/>
    </row>
    <row r="924">
      <c r="B924" s="3">
        <v>860123.0</v>
      </c>
      <c r="C924" s="3">
        <v>7.9</v>
      </c>
      <c r="D924" s="3">
        <v>138.5</v>
      </c>
      <c r="E924" s="3"/>
    </row>
    <row r="925">
      <c r="B925" s="3">
        <v>880125.0</v>
      </c>
      <c r="C925" s="3">
        <v>7.9</v>
      </c>
      <c r="D925" s="3">
        <v>138.5</v>
      </c>
      <c r="E925" s="3"/>
    </row>
    <row r="926">
      <c r="B926" s="3">
        <v>900128.0</v>
      </c>
      <c r="C926" s="3">
        <v>7.9</v>
      </c>
      <c r="D926" s="3">
        <v>138.5</v>
      </c>
      <c r="E926" s="3"/>
    </row>
    <row r="927">
      <c r="B927" s="3">
        <v>920131.0</v>
      </c>
      <c r="C927" s="3">
        <v>7.9</v>
      </c>
      <c r="D927" s="3">
        <v>138.5</v>
      </c>
      <c r="E927" s="3"/>
    </row>
    <row r="928">
      <c r="B928" s="3">
        <v>940134.0</v>
      </c>
      <c r="C928" s="3">
        <v>7.9</v>
      </c>
      <c r="D928" s="3">
        <v>138.5</v>
      </c>
      <c r="E928" s="3"/>
    </row>
    <row r="929">
      <c r="B929" s="3">
        <v>960137.0</v>
      </c>
      <c r="C929" s="3">
        <v>7.9</v>
      </c>
      <c r="D929" s="3">
        <v>138.5</v>
      </c>
      <c r="E929" s="3"/>
    </row>
    <row r="930">
      <c r="B930" s="3">
        <v>980140.0</v>
      </c>
      <c r="C930" s="3">
        <v>7.9</v>
      </c>
      <c r="D930" s="3">
        <v>138.5</v>
      </c>
      <c r="E930" s="3"/>
    </row>
    <row r="931">
      <c r="B931" s="3">
        <v>1000142.0</v>
      </c>
      <c r="C931" s="3">
        <v>7.9</v>
      </c>
      <c r="D931" s="3">
        <v>138.5</v>
      </c>
      <c r="E931" s="3"/>
    </row>
    <row r="932">
      <c r="B932" s="3">
        <v>1020145.0</v>
      </c>
      <c r="C932" s="3">
        <v>7.9</v>
      </c>
      <c r="D932" s="3">
        <v>138.5</v>
      </c>
      <c r="E932" s="3"/>
    </row>
    <row r="933">
      <c r="B933" s="3">
        <v>1040148.0</v>
      </c>
      <c r="C933" s="3">
        <v>7.9</v>
      </c>
      <c r="D933" s="3">
        <v>138.4</v>
      </c>
      <c r="E933" s="3"/>
    </row>
    <row r="934">
      <c r="B934" s="3">
        <v>1060151.0</v>
      </c>
      <c r="C934" s="3">
        <v>7.9</v>
      </c>
      <c r="D934" s="3">
        <v>138.5</v>
      </c>
      <c r="E934" s="3"/>
    </row>
    <row r="935">
      <c r="B935" s="3">
        <v>1080154.0</v>
      </c>
      <c r="C935" s="3">
        <v>7.9</v>
      </c>
      <c r="D935" s="3">
        <v>138.5</v>
      </c>
      <c r="E935" s="3"/>
    </row>
    <row r="936">
      <c r="B936" s="3">
        <v>1100156.0</v>
      </c>
      <c r="C936" s="3">
        <v>7.9</v>
      </c>
      <c r="D936" s="3">
        <v>138.4</v>
      </c>
      <c r="E936" s="3"/>
    </row>
    <row r="937">
      <c r="B937" s="3">
        <v>1120159.0</v>
      </c>
      <c r="C937" s="3">
        <v>7.9</v>
      </c>
      <c r="D937" s="3">
        <v>138.4</v>
      </c>
      <c r="E937" s="3"/>
    </row>
    <row r="938">
      <c r="B938" s="3">
        <v>1140162.0</v>
      </c>
      <c r="C938" s="3">
        <v>7.9</v>
      </c>
      <c r="D938" s="3">
        <v>138.4</v>
      </c>
      <c r="E938" s="3"/>
    </row>
    <row r="939">
      <c r="B939" s="3">
        <v>1160165.0</v>
      </c>
      <c r="C939" s="3">
        <v>7.9</v>
      </c>
      <c r="D939" s="3">
        <v>138.4</v>
      </c>
      <c r="E939" s="3"/>
    </row>
    <row r="940">
      <c r="B940" s="3">
        <v>1180168.0</v>
      </c>
      <c r="C940" s="3">
        <v>7.9</v>
      </c>
      <c r="D940" s="3">
        <v>138.5</v>
      </c>
      <c r="E940" s="3"/>
    </row>
    <row r="941">
      <c r="B941" s="3">
        <v>1200171.0</v>
      </c>
      <c r="C941" s="3">
        <v>7.9</v>
      </c>
      <c r="D941" s="3">
        <v>138.4</v>
      </c>
      <c r="E941" s="3"/>
    </row>
    <row r="942">
      <c r="B942" s="3">
        <v>1220173.0</v>
      </c>
      <c r="C942" s="3">
        <v>7.9</v>
      </c>
      <c r="D942" s="3">
        <v>138.4</v>
      </c>
      <c r="E942" s="3"/>
    </row>
    <row r="943">
      <c r="B943" s="3">
        <v>1240176.0</v>
      </c>
      <c r="C943" s="3">
        <v>7.9</v>
      </c>
      <c r="D943" s="3">
        <v>138.4</v>
      </c>
      <c r="E943" s="3"/>
    </row>
    <row r="944">
      <c r="B944" s="3">
        <v>1260179.0</v>
      </c>
      <c r="C944" s="3">
        <v>7.9</v>
      </c>
      <c r="D944" s="3">
        <v>138.4</v>
      </c>
      <c r="E944" s="3"/>
    </row>
    <row r="945">
      <c r="B945" s="3">
        <v>1280182.0</v>
      </c>
      <c r="C945" s="3">
        <v>7.9</v>
      </c>
      <c r="D945" s="3">
        <v>138.4</v>
      </c>
      <c r="E945" s="3"/>
    </row>
    <row r="946">
      <c r="B946" s="3">
        <v>1300186.0</v>
      </c>
      <c r="C946" s="3">
        <v>7.9</v>
      </c>
      <c r="D946" s="3">
        <v>138.5</v>
      </c>
      <c r="E946" s="3"/>
    </row>
    <row r="947">
      <c r="B947" s="3">
        <v>1320188.0</v>
      </c>
      <c r="C947" s="3">
        <v>7.9</v>
      </c>
      <c r="D947" s="3">
        <v>138.4</v>
      </c>
      <c r="E947" s="3"/>
    </row>
    <row r="948">
      <c r="B948" s="3">
        <v>1340191.0</v>
      </c>
      <c r="C948" s="3">
        <v>7.9</v>
      </c>
      <c r="D948" s="3">
        <v>138.4</v>
      </c>
      <c r="E948" s="3"/>
    </row>
    <row r="949">
      <c r="B949" s="3">
        <v>1360194.0</v>
      </c>
      <c r="C949" s="3">
        <v>7.9</v>
      </c>
      <c r="D949" s="3">
        <v>138.4</v>
      </c>
      <c r="E949" s="3"/>
    </row>
    <row r="950">
      <c r="B950" s="3">
        <v>1380197.0</v>
      </c>
      <c r="C950" s="3">
        <v>7.9</v>
      </c>
      <c r="D950" s="3">
        <v>138.3</v>
      </c>
      <c r="E950" s="3"/>
    </row>
    <row r="951">
      <c r="B951" s="3">
        <v>1400200.0</v>
      </c>
      <c r="C951" s="3">
        <v>7.9</v>
      </c>
      <c r="D951" s="3">
        <v>138.4</v>
      </c>
      <c r="E951" s="3"/>
    </row>
    <row r="952">
      <c r="B952" s="3">
        <v>1420203.0</v>
      </c>
      <c r="C952" s="3">
        <v>7.9</v>
      </c>
      <c r="D952" s="3">
        <v>138.3</v>
      </c>
      <c r="E952" s="3"/>
    </row>
    <row r="953">
      <c r="B953" s="3">
        <v>1440205.0</v>
      </c>
      <c r="C953" s="3">
        <v>7.9</v>
      </c>
      <c r="D953" s="3">
        <v>138.4</v>
      </c>
      <c r="E953" s="3"/>
    </row>
    <row r="954">
      <c r="B954" s="3">
        <v>1460208.0</v>
      </c>
      <c r="C954" s="3">
        <v>7.89</v>
      </c>
      <c r="D954" s="3">
        <v>138.4</v>
      </c>
      <c r="E954" s="3"/>
    </row>
    <row r="955">
      <c r="B955" s="3">
        <v>1480211.0</v>
      </c>
      <c r="C955" s="3">
        <v>7.9</v>
      </c>
      <c r="D955" s="3">
        <v>138.4</v>
      </c>
      <c r="E955" s="3"/>
    </row>
    <row r="956">
      <c r="B956" s="3">
        <v>1500214.0</v>
      </c>
      <c r="C956" s="3">
        <v>7.89</v>
      </c>
      <c r="D956" s="3">
        <v>138.3</v>
      </c>
      <c r="E956" s="3"/>
    </row>
    <row r="957">
      <c r="B957" s="3">
        <v>1520217.0</v>
      </c>
      <c r="C957" s="3">
        <v>7.89</v>
      </c>
      <c r="D957" s="3">
        <v>138.4</v>
      </c>
      <c r="E957" s="3"/>
    </row>
    <row r="958">
      <c r="B958" s="3">
        <v>1540219.0</v>
      </c>
      <c r="C958" s="3">
        <v>7.89</v>
      </c>
      <c r="D958" s="3">
        <v>138.4</v>
      </c>
      <c r="E958" s="3"/>
    </row>
    <row r="959">
      <c r="B959" s="3">
        <v>1560222.0</v>
      </c>
      <c r="C959" s="3">
        <v>7.89</v>
      </c>
      <c r="D959" s="3">
        <v>138.3</v>
      </c>
      <c r="E959" s="3"/>
    </row>
    <row r="960">
      <c r="B960" s="3">
        <v>1580225.0</v>
      </c>
      <c r="C960" s="3">
        <v>7.89</v>
      </c>
      <c r="D960" s="3">
        <v>138.3</v>
      </c>
      <c r="E960" s="3"/>
    </row>
    <row r="961">
      <c r="B961" s="3">
        <v>1600228.0</v>
      </c>
      <c r="C961" s="3">
        <v>7.89</v>
      </c>
      <c r="D961" s="3">
        <v>138.3</v>
      </c>
      <c r="E961" s="3"/>
    </row>
    <row r="962">
      <c r="B962" s="3">
        <v>1620231.0</v>
      </c>
      <c r="C962" s="3">
        <v>7.89</v>
      </c>
      <c r="D962" s="3">
        <v>138.4</v>
      </c>
      <c r="E962" s="3"/>
    </row>
    <row r="963">
      <c r="B963" s="3">
        <v>1640233.0</v>
      </c>
      <c r="C963" s="3">
        <v>7.89</v>
      </c>
      <c r="D963" s="3">
        <v>138.3</v>
      </c>
      <c r="E963" s="3"/>
    </row>
    <row r="964">
      <c r="B964" s="3">
        <v>1660236.0</v>
      </c>
      <c r="C964" s="3">
        <v>7.89</v>
      </c>
      <c r="D964" s="3">
        <v>138.3</v>
      </c>
      <c r="E964" s="3"/>
    </row>
    <row r="965">
      <c r="B965" s="3">
        <v>1680239.0</v>
      </c>
      <c r="C965" s="3">
        <v>7.89</v>
      </c>
      <c r="D965" s="3">
        <v>138.3</v>
      </c>
      <c r="E965" s="3"/>
    </row>
    <row r="966">
      <c r="B966" s="3">
        <v>1700242.0</v>
      </c>
      <c r="C966" s="3">
        <v>7.89</v>
      </c>
      <c r="D966" s="3">
        <v>138.3</v>
      </c>
      <c r="E966" s="3"/>
    </row>
    <row r="967">
      <c r="B967" s="3">
        <v>1720245.0</v>
      </c>
      <c r="C967" s="3">
        <v>7.89</v>
      </c>
      <c r="D967" s="3">
        <v>138.3</v>
      </c>
      <c r="E967" s="3"/>
    </row>
    <row r="968">
      <c r="B968" s="3">
        <v>1740248.0</v>
      </c>
      <c r="C968" s="3">
        <v>7.89</v>
      </c>
      <c r="D968" s="3">
        <v>138.2</v>
      </c>
      <c r="E968" s="3"/>
    </row>
    <row r="969">
      <c r="B969" s="3">
        <v>1760250.0</v>
      </c>
      <c r="C969" s="3">
        <v>7.89</v>
      </c>
      <c r="D969" s="3">
        <v>138.3</v>
      </c>
      <c r="E969" s="3"/>
    </row>
    <row r="970">
      <c r="B970" s="3">
        <v>1780253.0</v>
      </c>
      <c r="C970" s="3">
        <v>7.89</v>
      </c>
      <c r="D970" s="3">
        <v>138.3</v>
      </c>
      <c r="E970" s="3"/>
    </row>
    <row r="971">
      <c r="B971" s="3">
        <v>1800256.0</v>
      </c>
      <c r="C971" s="3">
        <v>7.89</v>
      </c>
      <c r="D971" s="3">
        <v>138.3</v>
      </c>
      <c r="E971" s="3"/>
    </row>
    <row r="972">
      <c r="B972" s="3">
        <v>1820259.0</v>
      </c>
      <c r="C972" s="3">
        <v>7.89</v>
      </c>
      <c r="D972" s="3">
        <v>138.3</v>
      </c>
      <c r="E972" s="3"/>
    </row>
    <row r="973">
      <c r="B973" s="3">
        <v>1840262.0</v>
      </c>
      <c r="C973" s="3">
        <v>7.89</v>
      </c>
      <c r="D973" s="3">
        <v>138.3</v>
      </c>
      <c r="E973" s="3"/>
    </row>
    <row r="974">
      <c r="B974" s="3">
        <v>1860264.0</v>
      </c>
      <c r="C974" s="3">
        <v>7.89</v>
      </c>
      <c r="D974" s="3">
        <v>138.3</v>
      </c>
      <c r="E974" s="3"/>
    </row>
    <row r="975">
      <c r="B975" s="3">
        <v>1880267.0</v>
      </c>
      <c r="C975" s="3">
        <v>7.89</v>
      </c>
      <c r="D975" s="3">
        <v>138.3</v>
      </c>
      <c r="E975" s="3"/>
    </row>
    <row r="976">
      <c r="B976" s="3">
        <v>1900270.0</v>
      </c>
      <c r="C976" s="3">
        <v>7.89</v>
      </c>
      <c r="D976" s="3">
        <v>138.3</v>
      </c>
      <c r="E976" s="3"/>
    </row>
    <row r="977">
      <c r="B977" s="3">
        <v>1920273.0</v>
      </c>
      <c r="C977" s="3">
        <v>7.89</v>
      </c>
      <c r="D977" s="3">
        <v>138.2</v>
      </c>
      <c r="E977" s="3"/>
    </row>
    <row r="978">
      <c r="B978" s="3">
        <v>1940276.0</v>
      </c>
      <c r="C978" s="3">
        <v>7.89</v>
      </c>
      <c r="D978" s="3">
        <v>138.2</v>
      </c>
      <c r="E978" s="3"/>
    </row>
    <row r="979">
      <c r="B979" s="3">
        <v>1960279.0</v>
      </c>
      <c r="C979" s="3">
        <v>7.89</v>
      </c>
      <c r="D979" s="3">
        <v>138.1</v>
      </c>
      <c r="E979" s="3"/>
    </row>
    <row r="980">
      <c r="B980" s="3">
        <v>1980281.0</v>
      </c>
      <c r="C980" s="3">
        <v>7.89</v>
      </c>
      <c r="D980" s="3">
        <v>138.2</v>
      </c>
      <c r="E980" s="3"/>
    </row>
    <row r="981">
      <c r="B981" s="3">
        <v>2000284.0</v>
      </c>
      <c r="C981" s="3">
        <v>7.89</v>
      </c>
      <c r="D981" s="3">
        <v>138.3</v>
      </c>
      <c r="E981" s="3"/>
    </row>
    <row r="982">
      <c r="B982" s="3">
        <v>2020287.0</v>
      </c>
      <c r="C982" s="3">
        <v>7.89</v>
      </c>
      <c r="D982" s="3">
        <v>138.2</v>
      </c>
      <c r="E982" s="3"/>
    </row>
    <row r="983">
      <c r="B983" s="3">
        <v>2040290.0</v>
      </c>
      <c r="C983" s="3">
        <v>7.89</v>
      </c>
      <c r="D983" s="3">
        <v>138.3</v>
      </c>
      <c r="E983" s="3"/>
    </row>
    <row r="984">
      <c r="B984" s="3">
        <v>2060293.0</v>
      </c>
      <c r="C984" s="3">
        <v>7.89</v>
      </c>
      <c r="D984" s="3">
        <v>138.2</v>
      </c>
      <c r="E984" s="3"/>
    </row>
    <row r="985">
      <c r="B985" s="3">
        <v>2080296.0</v>
      </c>
      <c r="C985" s="3">
        <v>7.88</v>
      </c>
      <c r="D985" s="3">
        <v>138.2</v>
      </c>
      <c r="E985" s="3"/>
    </row>
    <row r="986">
      <c r="B986" s="3">
        <v>2100299.0</v>
      </c>
      <c r="C986" s="3">
        <v>7.88</v>
      </c>
      <c r="D986" s="3">
        <v>138.2</v>
      </c>
      <c r="E986" s="3"/>
    </row>
    <row r="987">
      <c r="B987" s="3">
        <v>2120302.0</v>
      </c>
      <c r="C987" s="3">
        <v>7.88</v>
      </c>
      <c r="D987" s="3">
        <v>138.2</v>
      </c>
      <c r="E987" s="3"/>
    </row>
    <row r="988">
      <c r="B988" s="3">
        <v>2140305.0</v>
      </c>
      <c r="C988" s="3">
        <v>7.88</v>
      </c>
      <c r="D988" s="3">
        <v>138.2</v>
      </c>
      <c r="E988" s="3"/>
    </row>
    <row r="989">
      <c r="B989" s="3">
        <v>2160308.0</v>
      </c>
      <c r="C989" s="3">
        <v>7.88</v>
      </c>
      <c r="D989" s="3">
        <v>138.2</v>
      </c>
      <c r="E989" s="3"/>
    </row>
    <row r="990">
      <c r="B990" s="3">
        <v>2180311.0</v>
      </c>
      <c r="C990" s="3">
        <v>7.88</v>
      </c>
      <c r="D990" s="3">
        <v>138.2</v>
      </c>
      <c r="E990" s="3"/>
    </row>
    <row r="991">
      <c r="B991" s="3">
        <v>2200313.0</v>
      </c>
      <c r="C991" s="3">
        <v>7.88</v>
      </c>
      <c r="D991" s="3">
        <v>138.2</v>
      </c>
      <c r="E991" s="3"/>
    </row>
    <row r="992">
      <c r="B992" s="3">
        <v>2220316.0</v>
      </c>
      <c r="C992" s="3">
        <v>7.89</v>
      </c>
      <c r="D992" s="3">
        <v>138.2</v>
      </c>
      <c r="E992" s="3"/>
    </row>
    <row r="993">
      <c r="B993" s="3">
        <v>2240319.0</v>
      </c>
      <c r="C993" s="3">
        <v>7.88</v>
      </c>
      <c r="D993" s="3">
        <v>138.2</v>
      </c>
      <c r="E993" s="3"/>
    </row>
    <row r="994">
      <c r="B994" s="3">
        <v>2260322.0</v>
      </c>
      <c r="C994" s="3">
        <v>7.88</v>
      </c>
      <c r="D994" s="3">
        <v>138.2</v>
      </c>
      <c r="E994" s="3"/>
    </row>
    <row r="995">
      <c r="B995" s="3">
        <v>2280325.0</v>
      </c>
      <c r="C995" s="3">
        <v>7.88</v>
      </c>
      <c r="D995" s="3">
        <v>138.2</v>
      </c>
      <c r="E995" s="3"/>
    </row>
    <row r="996">
      <c r="B996" s="3">
        <v>2300327.0</v>
      </c>
      <c r="C996" s="3">
        <v>7.88</v>
      </c>
      <c r="D996" s="3">
        <v>138.2</v>
      </c>
      <c r="E996" s="3"/>
    </row>
    <row r="997">
      <c r="B997" s="3">
        <v>2320330.0</v>
      </c>
      <c r="C997" s="3">
        <v>7.88</v>
      </c>
      <c r="D997" s="3">
        <v>138.2</v>
      </c>
      <c r="E997" s="3"/>
    </row>
    <row r="998">
      <c r="B998" s="3">
        <v>2340333.0</v>
      </c>
      <c r="C998" s="3">
        <v>7.88</v>
      </c>
      <c r="D998" s="3">
        <v>138.2</v>
      </c>
      <c r="E998" s="3"/>
    </row>
    <row r="999">
      <c r="B999" s="3">
        <v>2360336.0</v>
      </c>
      <c r="C999" s="3">
        <v>7.88</v>
      </c>
      <c r="D999" s="3">
        <v>138.1</v>
      </c>
      <c r="E999" s="3"/>
    </row>
    <row r="1000">
      <c r="B1000" s="3">
        <v>2380339.0</v>
      </c>
      <c r="C1000" s="3">
        <v>7.88</v>
      </c>
      <c r="D1000" s="3">
        <v>138.1</v>
      </c>
      <c r="E1000" s="3"/>
    </row>
    <row r="1001">
      <c r="B1001" s="3">
        <v>2400342.0</v>
      </c>
      <c r="C1001" s="3">
        <v>7.88</v>
      </c>
      <c r="D1001" s="3">
        <v>138.2</v>
      </c>
      <c r="E1001" s="3"/>
    </row>
    <row r="1002">
      <c r="B1002" s="3">
        <v>2420344.0</v>
      </c>
      <c r="C1002" s="3">
        <v>7.88</v>
      </c>
      <c r="D1002" s="3">
        <v>138.2</v>
      </c>
      <c r="E1002" s="3"/>
    </row>
    <row r="1003">
      <c r="B1003" s="3">
        <v>2440347.0</v>
      </c>
      <c r="C1003" s="3">
        <v>7.88</v>
      </c>
      <c r="D1003" s="3">
        <v>138.1</v>
      </c>
      <c r="E1003" s="3"/>
    </row>
    <row r="1004">
      <c r="B1004" s="3">
        <v>2460350.0</v>
      </c>
      <c r="C1004" s="3">
        <v>7.88</v>
      </c>
      <c r="D1004" s="3">
        <v>138.1</v>
      </c>
      <c r="E1004" s="3"/>
    </row>
    <row r="1005">
      <c r="B1005" s="3">
        <v>2480353.0</v>
      </c>
      <c r="C1005" s="3">
        <v>7.88</v>
      </c>
      <c r="D1005" s="3">
        <v>138.1</v>
      </c>
      <c r="E1005" s="3"/>
    </row>
    <row r="1006">
      <c r="B1006" s="3">
        <v>2500356.0</v>
      </c>
      <c r="C1006" s="3">
        <v>7.88</v>
      </c>
      <c r="D1006" s="3">
        <v>138.1</v>
      </c>
      <c r="E1006" s="3"/>
    </row>
    <row r="1007">
      <c r="B1007" s="3">
        <v>2520358.0</v>
      </c>
      <c r="C1007" s="3">
        <v>7.88</v>
      </c>
      <c r="D1007" s="3">
        <v>138.1</v>
      </c>
      <c r="E1007" s="3"/>
    </row>
    <row r="1008">
      <c r="B1008" s="3">
        <v>2540361.0</v>
      </c>
      <c r="C1008" s="3">
        <v>7.88</v>
      </c>
      <c r="D1008" s="3">
        <v>138.1</v>
      </c>
      <c r="E1008" s="3"/>
    </row>
    <row r="1009">
      <c r="B1009" s="3">
        <v>2560364.0</v>
      </c>
      <c r="C1009" s="3">
        <v>7.88</v>
      </c>
      <c r="D1009" s="3">
        <v>138.1</v>
      </c>
      <c r="E1009" s="3"/>
    </row>
    <row r="1010">
      <c r="B1010" s="3">
        <v>2580367.0</v>
      </c>
      <c r="C1010" s="3">
        <v>7.88</v>
      </c>
      <c r="D1010" s="3">
        <v>138.0</v>
      </c>
      <c r="E1010" s="3"/>
    </row>
    <row r="1011">
      <c r="B1011" s="3">
        <v>2600370.0</v>
      </c>
      <c r="C1011" s="3">
        <v>7.88</v>
      </c>
      <c r="D1011" s="3">
        <v>138.1</v>
      </c>
      <c r="E1011" s="3"/>
    </row>
    <row r="1012">
      <c r="B1012" s="3">
        <v>2620372.0</v>
      </c>
      <c r="C1012" s="3">
        <v>7.88</v>
      </c>
      <c r="D1012" s="3">
        <v>138.1</v>
      </c>
      <c r="E1012" s="3"/>
    </row>
    <row r="1013">
      <c r="B1013" s="3">
        <v>2640375.0</v>
      </c>
      <c r="C1013" s="3">
        <v>7.88</v>
      </c>
      <c r="D1013" s="3">
        <v>138.1</v>
      </c>
      <c r="E1013" s="3"/>
    </row>
    <row r="1014">
      <c r="B1014" s="3">
        <v>2660378.0</v>
      </c>
      <c r="C1014" s="3">
        <v>7.88</v>
      </c>
      <c r="D1014" s="3">
        <v>138.1</v>
      </c>
      <c r="E1014" s="3"/>
    </row>
    <row r="1015">
      <c r="B1015" s="3">
        <v>2680381.0</v>
      </c>
      <c r="C1015" s="3">
        <v>7.88</v>
      </c>
      <c r="D1015" s="3">
        <v>138.1</v>
      </c>
      <c r="E1015" s="3"/>
    </row>
    <row r="1016">
      <c r="B1016" s="3">
        <v>2700384.0</v>
      </c>
      <c r="C1016" s="3">
        <v>7.88</v>
      </c>
      <c r="D1016" s="3">
        <v>138.0</v>
      </c>
      <c r="E1016" s="3"/>
    </row>
    <row r="1017">
      <c r="B1017" s="3">
        <v>2720387.0</v>
      </c>
      <c r="C1017" s="3">
        <v>7.88</v>
      </c>
      <c r="D1017" s="3">
        <v>138.0</v>
      </c>
      <c r="E1017" s="3"/>
    </row>
    <row r="1018">
      <c r="B1018" s="3">
        <v>2740389.0</v>
      </c>
      <c r="C1018" s="3">
        <v>7.88</v>
      </c>
      <c r="D1018" s="3">
        <v>138.0</v>
      </c>
      <c r="E1018" s="3"/>
    </row>
    <row r="1019">
      <c r="B1019" s="3">
        <v>2760392.0</v>
      </c>
      <c r="C1019" s="3">
        <v>7.88</v>
      </c>
      <c r="D1019" s="3">
        <v>138.1</v>
      </c>
      <c r="E1019" s="3"/>
    </row>
    <row r="1020">
      <c r="B1020" s="3">
        <v>2780395.0</v>
      </c>
      <c r="C1020" s="3">
        <v>7.88</v>
      </c>
      <c r="D1020" s="3">
        <v>138.0</v>
      </c>
      <c r="E1020" s="3"/>
    </row>
    <row r="1021">
      <c r="B1021" s="3">
        <v>2800398.0</v>
      </c>
      <c r="C1021" s="3">
        <v>7.88</v>
      </c>
      <c r="D1021" s="3">
        <v>138.0</v>
      </c>
      <c r="E1021" s="3"/>
    </row>
    <row r="1022">
      <c r="B1022" s="3">
        <v>2820401.0</v>
      </c>
      <c r="C1022" s="3">
        <v>7.88</v>
      </c>
      <c r="D1022" s="3">
        <v>138.0</v>
      </c>
      <c r="E1022" s="3"/>
    </row>
    <row r="1023">
      <c r="B1023" s="3">
        <v>2840403.0</v>
      </c>
      <c r="C1023" s="3">
        <v>7.88</v>
      </c>
      <c r="D1023" s="3">
        <v>138.0</v>
      </c>
      <c r="E1023" s="3"/>
    </row>
    <row r="1024">
      <c r="B1024" s="3">
        <v>2860406.0</v>
      </c>
      <c r="C1024" s="3">
        <v>7.88</v>
      </c>
      <c r="D1024" s="3">
        <v>138.0</v>
      </c>
      <c r="E1024" s="3"/>
    </row>
    <row r="1025">
      <c r="B1025" s="3">
        <v>2880409.0</v>
      </c>
      <c r="C1025" s="3">
        <v>7.88</v>
      </c>
      <c r="D1025" s="3">
        <v>138.0</v>
      </c>
      <c r="E1025" s="3"/>
    </row>
    <row r="1026">
      <c r="B1026" s="3">
        <v>2900412.0</v>
      </c>
      <c r="C1026" s="3">
        <v>7.87</v>
      </c>
      <c r="D1026" s="3">
        <v>138.0</v>
      </c>
      <c r="E1026" s="3"/>
    </row>
    <row r="1027">
      <c r="B1027" s="3">
        <v>2920416.0</v>
      </c>
      <c r="C1027" s="3">
        <v>7.88</v>
      </c>
      <c r="D1027" s="3">
        <v>138.0</v>
      </c>
      <c r="E1027" s="3"/>
    </row>
    <row r="1028">
      <c r="B1028" s="3">
        <v>2940419.0</v>
      </c>
      <c r="C1028" s="3">
        <v>7.87</v>
      </c>
      <c r="D1028" s="3">
        <v>138.0</v>
      </c>
      <c r="E1028" s="3"/>
    </row>
    <row r="1029">
      <c r="B1029" s="3">
        <v>2960421.0</v>
      </c>
      <c r="C1029" s="3">
        <v>7.87</v>
      </c>
      <c r="D1029" s="3">
        <v>138.0</v>
      </c>
      <c r="E1029" s="3"/>
    </row>
    <row r="1030">
      <c r="B1030" s="3">
        <v>2980424.0</v>
      </c>
      <c r="C1030" s="3">
        <v>7.87</v>
      </c>
      <c r="D1030" s="3">
        <v>137.9</v>
      </c>
      <c r="E1030" s="3"/>
    </row>
    <row r="1031">
      <c r="B1031" s="3">
        <v>3000427.0</v>
      </c>
      <c r="C1031" s="3">
        <v>7.87</v>
      </c>
      <c r="D1031" s="3">
        <v>137.9</v>
      </c>
      <c r="E1031" s="3"/>
    </row>
    <row r="1032">
      <c r="B1032" s="3">
        <v>3020430.0</v>
      </c>
      <c r="C1032" s="3">
        <v>7.87</v>
      </c>
      <c r="D1032" s="3">
        <v>138.0</v>
      </c>
      <c r="E1032" s="3"/>
    </row>
    <row r="1033">
      <c r="B1033" s="3">
        <v>3040433.0</v>
      </c>
      <c r="C1033" s="3">
        <v>7.87</v>
      </c>
      <c r="D1033" s="3">
        <v>138.0</v>
      </c>
      <c r="E1033" s="3"/>
    </row>
    <row r="1034">
      <c r="B1034" s="3">
        <v>3060435.0</v>
      </c>
      <c r="C1034" s="3">
        <v>7.87</v>
      </c>
      <c r="D1034" s="3">
        <v>138.0</v>
      </c>
      <c r="E1034" s="3"/>
    </row>
    <row r="1035">
      <c r="B1035" s="3">
        <v>3080438.0</v>
      </c>
      <c r="C1035" s="3">
        <v>7.87</v>
      </c>
      <c r="D1035" s="3">
        <v>137.9</v>
      </c>
      <c r="E1035" s="3"/>
    </row>
    <row r="1036">
      <c r="B1036" s="3">
        <v>3100441.0</v>
      </c>
      <c r="C1036" s="3">
        <v>7.87</v>
      </c>
      <c r="D1036" s="3">
        <v>137.9</v>
      </c>
      <c r="E1036" s="3"/>
    </row>
    <row r="1037">
      <c r="B1037" s="3">
        <v>3120444.0</v>
      </c>
      <c r="C1037" s="3">
        <v>7.87</v>
      </c>
      <c r="D1037" s="3">
        <v>137.9</v>
      </c>
      <c r="E1037" s="3"/>
    </row>
    <row r="1038">
      <c r="B1038" s="3">
        <v>3140447.0</v>
      </c>
      <c r="C1038" s="3">
        <v>7.87</v>
      </c>
      <c r="D1038" s="3">
        <v>137.9</v>
      </c>
      <c r="E1038" s="3"/>
    </row>
    <row r="1039">
      <c r="B1039" s="3">
        <v>3160450.0</v>
      </c>
      <c r="C1039" s="3">
        <v>7.87</v>
      </c>
      <c r="D1039" s="3">
        <v>137.9</v>
      </c>
      <c r="E1039" s="3"/>
    </row>
    <row r="1040">
      <c r="B1040" s="3">
        <v>3180452.0</v>
      </c>
      <c r="C1040" s="3">
        <v>7.87</v>
      </c>
      <c r="D1040" s="3">
        <v>137.9</v>
      </c>
      <c r="E1040" s="3"/>
    </row>
    <row r="1041">
      <c r="B1041" s="3">
        <v>3200455.0</v>
      </c>
      <c r="C1041" s="3">
        <v>7.87</v>
      </c>
      <c r="D1041" s="3">
        <v>137.9</v>
      </c>
      <c r="E1041" s="3"/>
    </row>
    <row r="1042">
      <c r="B1042" s="3">
        <v>3220458.0</v>
      </c>
      <c r="C1042" s="3">
        <v>7.87</v>
      </c>
      <c r="D1042" s="3">
        <v>137.9</v>
      </c>
      <c r="E1042" s="3"/>
    </row>
    <row r="1043">
      <c r="B1043" s="3">
        <v>3240461.0</v>
      </c>
      <c r="C1043" s="3">
        <v>7.87</v>
      </c>
      <c r="D1043" s="3">
        <v>138.0</v>
      </c>
      <c r="E1043" s="3"/>
    </row>
    <row r="1044">
      <c r="B1044" s="3">
        <v>3260464.0</v>
      </c>
      <c r="C1044" s="3">
        <v>7.87</v>
      </c>
      <c r="D1044" s="3">
        <v>137.8</v>
      </c>
      <c r="E1044" s="3"/>
    </row>
    <row r="1045">
      <c r="B1045" s="3">
        <v>3280466.0</v>
      </c>
      <c r="C1045" s="3">
        <v>7.87</v>
      </c>
      <c r="D1045" s="3">
        <v>137.9</v>
      </c>
      <c r="E1045" s="3"/>
    </row>
    <row r="1046">
      <c r="B1046" s="3">
        <v>3300469.0</v>
      </c>
      <c r="C1046" s="3">
        <v>7.87</v>
      </c>
      <c r="D1046" s="3">
        <v>137.9</v>
      </c>
      <c r="E1046" s="3"/>
    </row>
    <row r="1047">
      <c r="B1047" s="3">
        <v>3320472.0</v>
      </c>
      <c r="C1047" s="3">
        <v>7.87</v>
      </c>
      <c r="D1047" s="3">
        <v>137.9</v>
      </c>
      <c r="E1047" s="3"/>
    </row>
    <row r="1048">
      <c r="B1048" s="3">
        <v>3340475.0</v>
      </c>
      <c r="C1048" s="3">
        <v>7.87</v>
      </c>
      <c r="D1048" s="3">
        <v>137.9</v>
      </c>
      <c r="E1048" s="3"/>
    </row>
    <row r="1049">
      <c r="B1049" s="3">
        <v>3360478.0</v>
      </c>
      <c r="C1049" s="3">
        <v>7.86</v>
      </c>
      <c r="D1049" s="3">
        <v>137.9</v>
      </c>
      <c r="E1049" s="3"/>
    </row>
    <row r="1050">
      <c r="B1050" s="3">
        <v>3380481.0</v>
      </c>
      <c r="C1050" s="3">
        <v>7.87</v>
      </c>
      <c r="D1050" s="3">
        <v>137.8</v>
      </c>
      <c r="E1050" s="3"/>
    </row>
    <row r="1051">
      <c r="B1051" s="3">
        <v>3400483.0</v>
      </c>
      <c r="C1051" s="3">
        <v>7.86</v>
      </c>
      <c r="D1051" s="3">
        <v>137.9</v>
      </c>
      <c r="E1051" s="3"/>
    </row>
    <row r="1052">
      <c r="B1052" s="3">
        <v>3420486.0</v>
      </c>
      <c r="C1052" s="3">
        <v>7.86</v>
      </c>
      <c r="D1052" s="3">
        <v>137.8</v>
      </c>
      <c r="E1052" s="3"/>
    </row>
    <row r="1053">
      <c r="B1053" s="3">
        <v>3440489.0</v>
      </c>
      <c r="C1053" s="3">
        <v>7.86</v>
      </c>
      <c r="D1053" s="3">
        <v>137.8</v>
      </c>
      <c r="E1053" s="3"/>
    </row>
    <row r="1054">
      <c r="B1054" s="3">
        <v>3460492.0</v>
      </c>
      <c r="C1054" s="3">
        <v>7.86</v>
      </c>
      <c r="D1054" s="3">
        <v>137.9</v>
      </c>
      <c r="E1054" s="3"/>
    </row>
    <row r="1055">
      <c r="B1055" s="3">
        <v>3480495.0</v>
      </c>
      <c r="C1055" s="3">
        <v>7.86</v>
      </c>
      <c r="D1055" s="3">
        <v>137.8</v>
      </c>
      <c r="E1055" s="3"/>
    </row>
    <row r="1056">
      <c r="B1056" s="3">
        <v>3500497.0</v>
      </c>
      <c r="C1056" s="3">
        <v>7.86</v>
      </c>
      <c r="D1056" s="3">
        <v>137.8</v>
      </c>
      <c r="E1056" s="3"/>
    </row>
    <row r="1057">
      <c r="B1057" s="3">
        <v>3520500.0</v>
      </c>
      <c r="C1057" s="3">
        <v>7.86</v>
      </c>
      <c r="D1057" s="3">
        <v>137.8</v>
      </c>
      <c r="E1057" s="3"/>
    </row>
    <row r="1058">
      <c r="B1058" s="3">
        <v>3540503.0</v>
      </c>
      <c r="C1058" s="3">
        <v>7.86</v>
      </c>
      <c r="D1058" s="3">
        <v>137.8</v>
      </c>
      <c r="E1058" s="3"/>
    </row>
    <row r="1059">
      <c r="B1059" s="3">
        <v>3560506.0</v>
      </c>
      <c r="C1059" s="3">
        <v>7.86</v>
      </c>
      <c r="D1059" s="3">
        <v>137.8</v>
      </c>
      <c r="E1059" s="3"/>
    </row>
    <row r="1060">
      <c r="B1060" s="3">
        <v>3580509.0</v>
      </c>
      <c r="C1060" s="3">
        <v>7.86</v>
      </c>
      <c r="D1060" s="3">
        <v>137.8</v>
      </c>
      <c r="E1060" s="3"/>
    </row>
    <row r="1061">
      <c r="B1061" s="3">
        <v>3600512.0</v>
      </c>
      <c r="C1061" s="3">
        <v>7.86</v>
      </c>
      <c r="D1061" s="3">
        <v>137.8</v>
      </c>
      <c r="E1061" s="3"/>
    </row>
    <row r="1062">
      <c r="B1062" s="3">
        <v>3620514.0</v>
      </c>
      <c r="C1062" s="3">
        <v>7.86</v>
      </c>
      <c r="D1062" s="3">
        <v>137.8</v>
      </c>
      <c r="E1062" s="3"/>
    </row>
    <row r="1063">
      <c r="B1063" s="3">
        <v>3640517.0</v>
      </c>
      <c r="C1063" s="3">
        <v>7.86</v>
      </c>
      <c r="D1063" s="3">
        <v>137.7</v>
      </c>
      <c r="E1063" s="3"/>
    </row>
    <row r="1064">
      <c r="B1064" s="3">
        <v>3660520.0</v>
      </c>
      <c r="C1064" s="3">
        <v>7.86</v>
      </c>
      <c r="D1064" s="3">
        <v>137.8</v>
      </c>
      <c r="E1064" s="3"/>
    </row>
    <row r="1065">
      <c r="B1065" s="3">
        <v>3680523.0</v>
      </c>
      <c r="C1065" s="3">
        <v>7.86</v>
      </c>
      <c r="D1065" s="3">
        <v>137.7</v>
      </c>
      <c r="E1065" s="3"/>
    </row>
    <row r="1066">
      <c r="B1066" s="3">
        <v>3700526.0</v>
      </c>
      <c r="C1066" s="3">
        <v>7.86</v>
      </c>
      <c r="D1066" s="3">
        <v>137.8</v>
      </c>
      <c r="E1066" s="3"/>
    </row>
    <row r="1067">
      <c r="B1067" s="3">
        <v>3720529.0</v>
      </c>
      <c r="C1067" s="3">
        <v>7.86</v>
      </c>
      <c r="D1067" s="3">
        <v>137.7</v>
      </c>
      <c r="E1067" s="3"/>
    </row>
    <row r="1068">
      <c r="B1068" s="3">
        <v>3740532.0</v>
      </c>
      <c r="C1068" s="3">
        <v>7.86</v>
      </c>
      <c r="D1068" s="3">
        <v>137.7</v>
      </c>
      <c r="E1068" s="3"/>
    </row>
    <row r="1069">
      <c r="B1069" s="3">
        <v>3760535.0</v>
      </c>
      <c r="C1069" s="3">
        <v>7.86</v>
      </c>
      <c r="D1069" s="3">
        <v>137.7</v>
      </c>
      <c r="E1069" s="3"/>
    </row>
    <row r="1070">
      <c r="B1070" s="3">
        <v>3780538.0</v>
      </c>
      <c r="C1070" s="3">
        <v>7.86</v>
      </c>
      <c r="D1070" s="3">
        <v>137.7</v>
      </c>
      <c r="E1070" s="3"/>
    </row>
    <row r="1071">
      <c r="B1071" s="3">
        <v>3800541.0</v>
      </c>
      <c r="C1071" s="3">
        <v>7.86</v>
      </c>
      <c r="D1071" s="3">
        <v>137.7</v>
      </c>
      <c r="E1071" s="3"/>
    </row>
    <row r="1072">
      <c r="B1072" s="3">
        <v>3820544.0</v>
      </c>
      <c r="C1072" s="3">
        <v>7.86</v>
      </c>
      <c r="D1072" s="3">
        <v>137.7</v>
      </c>
      <c r="E1072" s="3"/>
    </row>
    <row r="1073">
      <c r="B1073" s="3">
        <v>3840546.0</v>
      </c>
      <c r="C1073" s="3">
        <v>7.86</v>
      </c>
      <c r="D1073" s="3">
        <v>137.6</v>
      </c>
      <c r="E1073" s="3"/>
    </row>
    <row r="1074">
      <c r="B1074" s="3">
        <v>3860549.0</v>
      </c>
      <c r="C1074" s="3">
        <v>7.86</v>
      </c>
      <c r="D1074" s="3">
        <v>137.7</v>
      </c>
      <c r="E1074" s="3"/>
    </row>
    <row r="1075">
      <c r="B1075" s="3">
        <v>3880552.0</v>
      </c>
      <c r="C1075" s="3">
        <v>7.86</v>
      </c>
      <c r="D1075" s="3">
        <v>137.7</v>
      </c>
      <c r="E1075" s="3"/>
    </row>
    <row r="1076">
      <c r="B1076" s="3">
        <v>3900555.0</v>
      </c>
      <c r="C1076" s="3">
        <v>7.86</v>
      </c>
      <c r="D1076" s="3">
        <v>137.7</v>
      </c>
      <c r="E1076" s="3"/>
    </row>
    <row r="1077">
      <c r="B1077" s="3">
        <v>3920558.0</v>
      </c>
      <c r="C1077" s="3">
        <v>7.86</v>
      </c>
      <c r="D1077" s="3">
        <v>137.7</v>
      </c>
      <c r="E1077" s="3"/>
    </row>
    <row r="1078">
      <c r="B1078" s="3">
        <v>3940560.0</v>
      </c>
      <c r="C1078" s="3">
        <v>7.86</v>
      </c>
      <c r="D1078" s="3">
        <v>137.7</v>
      </c>
      <c r="E1078" s="3"/>
    </row>
    <row r="1079">
      <c r="B1079" s="3">
        <v>3960563.0</v>
      </c>
      <c r="C1079" s="3">
        <v>7.85</v>
      </c>
      <c r="D1079" s="3">
        <v>137.6</v>
      </c>
      <c r="E1079" s="3"/>
    </row>
    <row r="1080">
      <c r="B1080" s="3">
        <v>3980566.0</v>
      </c>
      <c r="C1080" s="3">
        <v>7.85</v>
      </c>
      <c r="D1080" s="3">
        <v>137.5</v>
      </c>
      <c r="E1080" s="3"/>
    </row>
    <row r="1081">
      <c r="B1081" s="3">
        <v>4000569.0</v>
      </c>
      <c r="C1081" s="3">
        <v>7.85</v>
      </c>
      <c r="D1081" s="3">
        <v>137.5</v>
      </c>
      <c r="E1081" s="3"/>
    </row>
    <row r="1082">
      <c r="B1082" s="3">
        <v>4020572.0</v>
      </c>
      <c r="C1082" s="3">
        <v>7.86</v>
      </c>
      <c r="D1082" s="3">
        <v>137.6</v>
      </c>
      <c r="E1082" s="3"/>
    </row>
    <row r="1083">
      <c r="B1083" s="3">
        <v>4040574.0</v>
      </c>
      <c r="C1083" s="3">
        <v>7.85</v>
      </c>
      <c r="D1083" s="3">
        <v>137.6</v>
      </c>
      <c r="E1083" s="3"/>
    </row>
    <row r="1084">
      <c r="B1084" s="3">
        <v>4060577.0</v>
      </c>
      <c r="C1084" s="3">
        <v>7.85</v>
      </c>
      <c r="D1084" s="3">
        <v>137.6</v>
      </c>
      <c r="E1084" s="3"/>
    </row>
    <row r="1085">
      <c r="B1085" s="3">
        <v>4080580.0</v>
      </c>
      <c r="C1085" s="3">
        <v>7.85</v>
      </c>
      <c r="D1085" s="3">
        <v>137.7</v>
      </c>
      <c r="E1085" s="3"/>
    </row>
    <row r="1086">
      <c r="B1086" s="3">
        <v>4100583.0</v>
      </c>
      <c r="C1086" s="3">
        <v>7.85</v>
      </c>
      <c r="D1086" s="3">
        <v>137.5</v>
      </c>
      <c r="E1086" s="3"/>
    </row>
    <row r="1087">
      <c r="B1087" s="3">
        <v>4120586.0</v>
      </c>
      <c r="C1087" s="3">
        <v>7.85</v>
      </c>
      <c r="D1087" s="3">
        <v>137.6</v>
      </c>
      <c r="E1087" s="3"/>
    </row>
    <row r="1088">
      <c r="B1088" s="3">
        <v>4140589.0</v>
      </c>
      <c r="C1088" s="3">
        <v>7.85</v>
      </c>
      <c r="D1088" s="3">
        <v>137.6</v>
      </c>
      <c r="E1088" s="3"/>
    </row>
    <row r="1089">
      <c r="B1089" s="3">
        <v>4160591.0</v>
      </c>
      <c r="C1089" s="3">
        <v>7.85</v>
      </c>
      <c r="D1089" s="3">
        <v>137.6</v>
      </c>
      <c r="E1089" s="3"/>
    </row>
    <row r="1090">
      <c r="B1090" s="3">
        <v>4180594.0</v>
      </c>
      <c r="C1090" s="3">
        <v>7.85</v>
      </c>
      <c r="D1090" s="3">
        <v>137.5</v>
      </c>
      <c r="E1090" s="3"/>
    </row>
    <row r="1091">
      <c r="B1091" s="3">
        <v>4200597.0</v>
      </c>
      <c r="C1091" s="3">
        <v>7.85</v>
      </c>
      <c r="D1091" s="3">
        <v>137.6</v>
      </c>
      <c r="E1091" s="3"/>
    </row>
    <row r="1092">
      <c r="B1092" s="3">
        <v>4220600.0</v>
      </c>
      <c r="C1092" s="3">
        <v>7.85</v>
      </c>
      <c r="D1092" s="3">
        <v>137.5</v>
      </c>
      <c r="E1092" s="3"/>
    </row>
    <row r="1093">
      <c r="B1093" s="3">
        <v>4240603.0</v>
      </c>
      <c r="C1093" s="3">
        <v>7.85</v>
      </c>
      <c r="D1093" s="3">
        <v>137.6</v>
      </c>
      <c r="E1093" s="3"/>
    </row>
    <row r="1094">
      <c r="B1094" s="3">
        <v>4260605.0</v>
      </c>
      <c r="C1094" s="3">
        <v>7.85</v>
      </c>
      <c r="D1094" s="3">
        <v>137.5</v>
      </c>
      <c r="E1094" s="3"/>
    </row>
    <row r="1095">
      <c r="B1095" s="3">
        <v>4280608.0</v>
      </c>
      <c r="C1095" s="3">
        <v>7.85</v>
      </c>
      <c r="D1095" s="3">
        <v>137.5</v>
      </c>
      <c r="E1095" s="3"/>
    </row>
    <row r="1096">
      <c r="B1096" s="3">
        <v>4300611.0</v>
      </c>
      <c r="C1096" s="3">
        <v>7.85</v>
      </c>
      <c r="D1096" s="3">
        <v>137.5</v>
      </c>
      <c r="E1096" s="3"/>
    </row>
    <row r="1097">
      <c r="B1097" s="3">
        <v>4320614.0</v>
      </c>
      <c r="C1097" s="3">
        <v>7.84</v>
      </c>
      <c r="D1097" s="3">
        <v>137.5</v>
      </c>
      <c r="E1097" s="3"/>
    </row>
    <row r="1098">
      <c r="B1098" s="3">
        <v>4340617.0</v>
      </c>
      <c r="C1098" s="3">
        <v>7.85</v>
      </c>
      <c r="D1098" s="3">
        <v>137.5</v>
      </c>
      <c r="E1098" s="3"/>
    </row>
    <row r="1099">
      <c r="B1099" s="3">
        <v>4360620.0</v>
      </c>
      <c r="C1099" s="3">
        <v>7.85</v>
      </c>
      <c r="D1099" s="3">
        <v>137.5</v>
      </c>
      <c r="E1099" s="3"/>
    </row>
    <row r="1100">
      <c r="B1100" s="3">
        <v>4380622.0</v>
      </c>
      <c r="C1100" s="3">
        <v>7.84</v>
      </c>
      <c r="D1100" s="3">
        <v>137.4</v>
      </c>
      <c r="E1100" s="3"/>
    </row>
    <row r="1101">
      <c r="B1101" s="3">
        <v>4400625.0</v>
      </c>
      <c r="C1101" s="3">
        <v>7.84</v>
      </c>
      <c r="D1101" s="3">
        <v>137.4</v>
      </c>
      <c r="E1101" s="3"/>
    </row>
    <row r="1102">
      <c r="B1102" s="3">
        <v>4420628.0</v>
      </c>
      <c r="C1102" s="3">
        <v>7.84</v>
      </c>
      <c r="D1102" s="3">
        <v>137.4</v>
      </c>
      <c r="E1102" s="3"/>
    </row>
    <row r="1103">
      <c r="B1103" s="3">
        <v>4440632.0</v>
      </c>
      <c r="C1103" s="3">
        <v>7.84</v>
      </c>
      <c r="D1103" s="3">
        <v>137.5</v>
      </c>
      <c r="E1103" s="3"/>
    </row>
    <row r="1104">
      <c r="B1104" s="3">
        <v>4460635.0</v>
      </c>
      <c r="C1104" s="3">
        <v>7.84</v>
      </c>
      <c r="D1104" s="3">
        <v>137.5</v>
      </c>
      <c r="E1104" s="3"/>
    </row>
    <row r="1105">
      <c r="B1105" s="3">
        <v>4480637.0</v>
      </c>
      <c r="C1105" s="3">
        <v>7.84</v>
      </c>
      <c r="D1105" s="3">
        <v>137.4</v>
      </c>
      <c r="E1105" s="3"/>
    </row>
    <row r="1106">
      <c r="B1106" s="3">
        <v>4500640.0</v>
      </c>
      <c r="C1106" s="3">
        <v>7.84</v>
      </c>
      <c r="D1106" s="3">
        <v>137.4</v>
      </c>
      <c r="E1106" s="3"/>
    </row>
    <row r="1107">
      <c r="B1107" s="3">
        <v>4520643.0</v>
      </c>
      <c r="C1107" s="3">
        <v>7.84</v>
      </c>
      <c r="D1107" s="3">
        <v>137.4</v>
      </c>
      <c r="E1107" s="3"/>
    </row>
    <row r="1108">
      <c r="B1108" s="3">
        <v>4540646.0</v>
      </c>
      <c r="C1108" s="3">
        <v>7.84</v>
      </c>
      <c r="D1108" s="3">
        <v>137.4</v>
      </c>
      <c r="E1108" s="3"/>
    </row>
    <row r="1109">
      <c r="B1109" s="3">
        <v>4560649.0</v>
      </c>
      <c r="C1109" s="3">
        <v>7.84</v>
      </c>
      <c r="D1109" s="3">
        <v>137.4</v>
      </c>
      <c r="E1109" s="3"/>
    </row>
    <row r="1110">
      <c r="B1110" s="3">
        <v>4580652.0</v>
      </c>
      <c r="C1110" s="3">
        <v>7.84</v>
      </c>
      <c r="D1110" s="3">
        <v>137.5</v>
      </c>
      <c r="E1110" s="3"/>
    </row>
    <row r="1111">
      <c r="B1111" s="3">
        <v>4600654.0</v>
      </c>
      <c r="C1111" s="3">
        <v>7.84</v>
      </c>
      <c r="D1111" s="3">
        <v>137.4</v>
      </c>
      <c r="E1111" s="3"/>
    </row>
    <row r="1112">
      <c r="B1112" s="3">
        <v>4620657.0</v>
      </c>
      <c r="C1112" s="3">
        <v>7.84</v>
      </c>
      <c r="D1112" s="3">
        <v>137.4</v>
      </c>
      <c r="E1112" s="3"/>
    </row>
    <row r="1113">
      <c r="B1113" s="3">
        <v>4640660.0</v>
      </c>
      <c r="C1113" s="3">
        <v>7.84</v>
      </c>
      <c r="D1113" s="3">
        <v>137.3</v>
      </c>
      <c r="E1113" s="3"/>
    </row>
    <row r="1114">
      <c r="B1114" s="3">
        <v>4660663.0</v>
      </c>
      <c r="C1114" s="3">
        <v>7.84</v>
      </c>
      <c r="D1114" s="3">
        <v>137.4</v>
      </c>
      <c r="E1114" s="3"/>
    </row>
    <row r="1115">
      <c r="B1115" s="3">
        <v>4680666.0</v>
      </c>
      <c r="C1115" s="3">
        <v>7.84</v>
      </c>
      <c r="D1115" s="3">
        <v>137.3</v>
      </c>
      <c r="E1115" s="3"/>
    </row>
    <row r="1116">
      <c r="B1116" s="3">
        <v>4700668.0</v>
      </c>
      <c r="C1116" s="3">
        <v>7.84</v>
      </c>
      <c r="D1116" s="3">
        <v>137.3</v>
      </c>
      <c r="E1116" s="3"/>
    </row>
    <row r="1117">
      <c r="B1117" s="3">
        <v>4720671.0</v>
      </c>
      <c r="C1117" s="3">
        <v>7.84</v>
      </c>
      <c r="D1117" s="3">
        <v>137.3</v>
      </c>
      <c r="E1117" s="3"/>
    </row>
    <row r="1118">
      <c r="B1118" s="3">
        <v>4740674.0</v>
      </c>
      <c r="C1118" s="3">
        <v>7.84</v>
      </c>
      <c r="D1118" s="3">
        <v>137.3</v>
      </c>
      <c r="E1118" s="3"/>
    </row>
    <row r="1119">
      <c r="B1119" s="3">
        <v>4760677.0</v>
      </c>
      <c r="C1119" s="3">
        <v>7.84</v>
      </c>
      <c r="D1119" s="3">
        <v>137.3</v>
      </c>
      <c r="E1119" s="3"/>
    </row>
    <row r="1120">
      <c r="B1120" s="3">
        <v>4780680.0</v>
      </c>
      <c r="C1120" s="3">
        <v>7.84</v>
      </c>
      <c r="D1120" s="3">
        <v>137.3</v>
      </c>
      <c r="E1120" s="3"/>
    </row>
    <row r="1121">
      <c r="B1121" s="3">
        <v>4800683.0</v>
      </c>
      <c r="C1121" s="3">
        <v>7.84</v>
      </c>
      <c r="D1121" s="3">
        <v>137.3</v>
      </c>
      <c r="E1121" s="3"/>
    </row>
    <row r="1122">
      <c r="B1122" s="3">
        <v>4820685.0</v>
      </c>
      <c r="C1122" s="3">
        <v>7.83</v>
      </c>
      <c r="D1122" s="3">
        <v>137.3</v>
      </c>
      <c r="E1122" s="3"/>
    </row>
    <row r="1123">
      <c r="B1123" s="3">
        <v>4840688.0</v>
      </c>
      <c r="C1123" s="3">
        <v>7.83</v>
      </c>
      <c r="D1123" s="3">
        <v>137.2</v>
      </c>
      <c r="E1123" s="3"/>
    </row>
    <row r="1124">
      <c r="B1124" s="3">
        <v>4860691.0</v>
      </c>
      <c r="C1124" s="3">
        <v>7.83</v>
      </c>
      <c r="D1124" s="3">
        <v>137.2</v>
      </c>
      <c r="E1124" s="3"/>
    </row>
    <row r="1125">
      <c r="B1125" s="3">
        <v>4880694.0</v>
      </c>
      <c r="C1125" s="3">
        <v>7.83</v>
      </c>
      <c r="D1125" s="3">
        <v>137.3</v>
      </c>
      <c r="E1125" s="3"/>
    </row>
    <row r="1126">
      <c r="B1126" s="3">
        <v>4900697.0</v>
      </c>
      <c r="C1126" s="3">
        <v>7.83</v>
      </c>
      <c r="D1126" s="3">
        <v>137.3</v>
      </c>
      <c r="E1126" s="3"/>
    </row>
    <row r="1127">
      <c r="B1127" s="3">
        <v>4920699.0</v>
      </c>
      <c r="C1127" s="3">
        <v>7.83</v>
      </c>
      <c r="D1127" s="3">
        <v>137.2</v>
      </c>
      <c r="E1127" s="3"/>
    </row>
    <row r="1128">
      <c r="B1128" s="3">
        <v>4940702.0</v>
      </c>
      <c r="C1128" s="3">
        <v>7.83</v>
      </c>
      <c r="D1128" s="3">
        <v>137.2</v>
      </c>
      <c r="E1128" s="3"/>
    </row>
    <row r="1129">
      <c r="B1129" s="3">
        <v>4960705.0</v>
      </c>
      <c r="C1129" s="3">
        <v>7.83</v>
      </c>
      <c r="D1129" s="3">
        <v>137.2</v>
      </c>
      <c r="E1129" s="3"/>
    </row>
    <row r="1130">
      <c r="B1130" s="3">
        <v>4980708.0</v>
      </c>
      <c r="C1130" s="3">
        <v>7.83</v>
      </c>
      <c r="D1130" s="3">
        <v>137.2</v>
      </c>
      <c r="E1130" s="3"/>
    </row>
    <row r="1131">
      <c r="B1131" s="3">
        <v>5000711.0</v>
      </c>
      <c r="C1131" s="3">
        <v>7.83</v>
      </c>
      <c r="D1131" s="3">
        <v>137.2</v>
      </c>
      <c r="E1131" s="3"/>
    </row>
    <row r="1132">
      <c r="B1132" s="3">
        <v>5020713.0</v>
      </c>
      <c r="C1132" s="3">
        <v>7.83</v>
      </c>
      <c r="D1132" s="3">
        <v>137.1</v>
      </c>
      <c r="E1132" s="3"/>
    </row>
    <row r="1133">
      <c r="B1133" s="3">
        <v>5040716.0</v>
      </c>
      <c r="C1133" s="3">
        <v>7.83</v>
      </c>
      <c r="D1133" s="3">
        <v>137.2</v>
      </c>
      <c r="E1133" s="3"/>
    </row>
    <row r="1134">
      <c r="B1134" s="3">
        <v>5060719.0</v>
      </c>
      <c r="C1134" s="3">
        <v>7.83</v>
      </c>
      <c r="D1134" s="3">
        <v>137.2</v>
      </c>
      <c r="E1134" s="3"/>
    </row>
    <row r="1135">
      <c r="B1135" s="3">
        <v>5080722.0</v>
      </c>
      <c r="C1135" s="3">
        <v>7.83</v>
      </c>
      <c r="D1135" s="3">
        <v>137.2</v>
      </c>
      <c r="E1135" s="3"/>
    </row>
    <row r="1136">
      <c r="B1136" s="3">
        <v>5100725.0</v>
      </c>
      <c r="C1136" s="3">
        <v>7.83</v>
      </c>
      <c r="D1136" s="3">
        <v>137.1</v>
      </c>
      <c r="E1136" s="3"/>
    </row>
    <row r="1137">
      <c r="B1137" s="3">
        <v>5120728.0</v>
      </c>
      <c r="C1137" s="3">
        <v>7.83</v>
      </c>
      <c r="D1137" s="3">
        <v>137.1</v>
      </c>
      <c r="E1137" s="3"/>
    </row>
    <row r="1138">
      <c r="B1138" s="3">
        <v>5140731.0</v>
      </c>
      <c r="C1138" s="3">
        <v>7.82</v>
      </c>
      <c r="D1138" s="3">
        <v>137.1</v>
      </c>
      <c r="E1138" s="3"/>
    </row>
    <row r="1139">
      <c r="B1139" s="3">
        <v>5160734.0</v>
      </c>
      <c r="C1139" s="3">
        <v>7.82</v>
      </c>
      <c r="D1139" s="3">
        <v>137.1</v>
      </c>
      <c r="E1139" s="3"/>
    </row>
    <row r="1140">
      <c r="B1140" s="3">
        <v>5180737.0</v>
      </c>
      <c r="C1140" s="3">
        <v>7.82</v>
      </c>
      <c r="D1140" s="3">
        <v>137.1</v>
      </c>
      <c r="E1140" s="3"/>
    </row>
    <row r="1141">
      <c r="B1141" s="3">
        <v>5200740.0</v>
      </c>
      <c r="C1141" s="3">
        <v>7.82</v>
      </c>
      <c r="D1141" s="3">
        <v>137.1</v>
      </c>
      <c r="E1141" s="3"/>
    </row>
    <row r="1142">
      <c r="B1142" s="3">
        <v>5220743.0</v>
      </c>
      <c r="C1142" s="3">
        <v>7.82</v>
      </c>
      <c r="D1142" s="3">
        <v>137.1</v>
      </c>
      <c r="E1142" s="3"/>
    </row>
    <row r="1143">
      <c r="B1143" s="3">
        <v>5240745.0</v>
      </c>
      <c r="C1143" s="3">
        <v>7.82</v>
      </c>
      <c r="D1143" s="3">
        <v>137.1</v>
      </c>
      <c r="E1143" s="3"/>
    </row>
    <row r="1144">
      <c r="B1144" s="3">
        <v>5260748.0</v>
      </c>
      <c r="C1144" s="3">
        <v>7.82</v>
      </c>
      <c r="D1144" s="3">
        <v>137.1</v>
      </c>
      <c r="E1144" s="3"/>
    </row>
    <row r="1145">
      <c r="B1145" s="3">
        <v>5280751.0</v>
      </c>
      <c r="C1145" s="3">
        <v>7.82</v>
      </c>
      <c r="D1145" s="3">
        <v>137.1</v>
      </c>
      <c r="E1145" s="3"/>
    </row>
    <row r="1146">
      <c r="B1146" s="3">
        <v>5300754.0</v>
      </c>
      <c r="C1146" s="3">
        <v>7.82</v>
      </c>
      <c r="D1146" s="3">
        <v>137.1</v>
      </c>
      <c r="E1146" s="3"/>
    </row>
    <row r="1147">
      <c r="B1147" s="3">
        <v>5320757.0</v>
      </c>
      <c r="C1147" s="3">
        <v>7.82</v>
      </c>
      <c r="D1147" s="3">
        <v>137.1</v>
      </c>
      <c r="E1147" s="3"/>
    </row>
    <row r="1148">
      <c r="B1148" s="3">
        <v>5340760.0</v>
      </c>
      <c r="C1148" s="3">
        <v>7.82</v>
      </c>
      <c r="D1148" s="3">
        <v>137.0</v>
      </c>
      <c r="E1148" s="3"/>
    </row>
    <row r="1149">
      <c r="B1149" s="3">
        <v>5360762.0</v>
      </c>
      <c r="C1149" s="3">
        <v>7.82</v>
      </c>
      <c r="D1149" s="3">
        <v>137.0</v>
      </c>
      <c r="E1149" s="3"/>
    </row>
    <row r="1150">
      <c r="B1150" s="3">
        <v>5380765.0</v>
      </c>
      <c r="C1150" s="3">
        <v>7.82</v>
      </c>
      <c r="D1150" s="3">
        <v>137.0</v>
      </c>
      <c r="E1150" s="3"/>
    </row>
    <row r="1151">
      <c r="B1151" s="3">
        <v>5400768.0</v>
      </c>
      <c r="C1151" s="3">
        <v>7.82</v>
      </c>
      <c r="D1151" s="3">
        <v>137.0</v>
      </c>
      <c r="E1151" s="3"/>
    </row>
    <row r="1152">
      <c r="B1152" s="3">
        <v>5420771.0</v>
      </c>
      <c r="C1152" s="3">
        <v>7.82</v>
      </c>
      <c r="D1152" s="3">
        <v>137.0</v>
      </c>
      <c r="E1152" s="3"/>
    </row>
    <row r="1153">
      <c r="B1153" s="3">
        <v>5440774.0</v>
      </c>
      <c r="C1153" s="3">
        <v>7.82</v>
      </c>
      <c r="D1153" s="3">
        <v>137.1</v>
      </c>
      <c r="E1153" s="3"/>
    </row>
    <row r="1154">
      <c r="B1154" s="3">
        <v>5460776.0</v>
      </c>
      <c r="C1154" s="3">
        <v>7.82</v>
      </c>
      <c r="D1154" s="3">
        <v>137.0</v>
      </c>
      <c r="E1154" s="3"/>
    </row>
    <row r="1155">
      <c r="B1155" s="3">
        <v>5480779.0</v>
      </c>
      <c r="C1155" s="3">
        <v>7.82</v>
      </c>
      <c r="D1155" s="3">
        <v>137.0</v>
      </c>
      <c r="E1155" s="3"/>
    </row>
    <row r="1156">
      <c r="B1156" s="3">
        <v>5500782.0</v>
      </c>
      <c r="C1156" s="3">
        <v>7.82</v>
      </c>
      <c r="D1156" s="3">
        <v>137.0</v>
      </c>
      <c r="E1156" s="3"/>
    </row>
    <row r="1157">
      <c r="B1157" s="3">
        <v>5520785.0</v>
      </c>
      <c r="C1157" s="3">
        <v>7.82</v>
      </c>
      <c r="D1157" s="3">
        <v>137.0</v>
      </c>
      <c r="E1157" s="3"/>
    </row>
    <row r="1158">
      <c r="B1158" s="3">
        <v>5540788.0</v>
      </c>
      <c r="C1158" s="3">
        <v>7.81</v>
      </c>
      <c r="D1158" s="3">
        <v>137.0</v>
      </c>
      <c r="E1158" s="3"/>
    </row>
    <row r="1159">
      <c r="B1159" s="3">
        <v>5560791.0</v>
      </c>
      <c r="C1159" s="3">
        <v>7.81</v>
      </c>
      <c r="D1159" s="3">
        <v>136.9</v>
      </c>
      <c r="E1159" s="3"/>
    </row>
    <row r="1160">
      <c r="B1160" s="3">
        <v>5580793.0</v>
      </c>
      <c r="C1160" s="3">
        <v>7.82</v>
      </c>
      <c r="D1160" s="3">
        <v>136.9</v>
      </c>
      <c r="E1160" s="3"/>
    </row>
    <row r="1161">
      <c r="B1161" s="3">
        <v>5600796.0</v>
      </c>
      <c r="C1161" s="3">
        <v>7.81</v>
      </c>
      <c r="D1161" s="3">
        <v>136.9</v>
      </c>
      <c r="E1161" s="3"/>
    </row>
    <row r="1162">
      <c r="B1162" s="3">
        <v>5620799.0</v>
      </c>
      <c r="C1162" s="3">
        <v>7.81</v>
      </c>
      <c r="D1162" s="3">
        <v>136.8</v>
      </c>
      <c r="E1162" s="3"/>
    </row>
    <row r="1163">
      <c r="B1163" s="3">
        <v>5640802.0</v>
      </c>
      <c r="C1163" s="3">
        <v>7.81</v>
      </c>
      <c r="D1163" s="3">
        <v>136.9</v>
      </c>
      <c r="E1163" s="3"/>
    </row>
    <row r="1164">
      <c r="B1164" s="3">
        <v>5660805.0</v>
      </c>
      <c r="C1164" s="3">
        <v>7.81</v>
      </c>
      <c r="D1164" s="3">
        <v>136.8</v>
      </c>
      <c r="E1164" s="3"/>
    </row>
    <row r="1165">
      <c r="B1165" s="3">
        <v>5680807.0</v>
      </c>
      <c r="C1165" s="3">
        <v>7.81</v>
      </c>
      <c r="D1165" s="3">
        <v>136.8</v>
      </c>
      <c r="E1165" s="3"/>
    </row>
    <row r="1166">
      <c r="B1166" s="3">
        <v>5700810.0</v>
      </c>
      <c r="C1166" s="3">
        <v>7.81</v>
      </c>
      <c r="D1166" s="3">
        <v>136.9</v>
      </c>
      <c r="E1166" s="3"/>
    </row>
    <row r="1167">
      <c r="B1167" s="3">
        <v>5720813.0</v>
      </c>
      <c r="C1167" s="3">
        <v>7.81</v>
      </c>
      <c r="D1167" s="3">
        <v>136.8</v>
      </c>
      <c r="E1167" s="3"/>
    </row>
    <row r="1168">
      <c r="B1168" s="3">
        <v>5740816.0</v>
      </c>
      <c r="C1168" s="3">
        <v>7.81</v>
      </c>
      <c r="D1168" s="3">
        <v>136.8</v>
      </c>
      <c r="E1168" s="3"/>
    </row>
    <row r="1169">
      <c r="B1169" s="3">
        <v>5760819.0</v>
      </c>
      <c r="C1169" s="3">
        <v>7.81</v>
      </c>
      <c r="D1169" s="3">
        <v>136.8</v>
      </c>
      <c r="E1169" s="3"/>
    </row>
    <row r="1170">
      <c r="B1170" s="3">
        <v>5780822.0</v>
      </c>
      <c r="C1170" s="3">
        <v>7.81</v>
      </c>
      <c r="D1170" s="3">
        <v>136.8</v>
      </c>
      <c r="E1170" s="3"/>
    </row>
    <row r="1171">
      <c r="B1171" s="3">
        <v>5800824.0</v>
      </c>
      <c r="C1171" s="3">
        <v>7.81</v>
      </c>
      <c r="D1171" s="3">
        <v>136.8</v>
      </c>
      <c r="E1171" s="3"/>
    </row>
    <row r="1172">
      <c r="B1172" s="3">
        <v>5820827.0</v>
      </c>
      <c r="C1172" s="3">
        <v>7.81</v>
      </c>
      <c r="D1172" s="3">
        <v>136.8</v>
      </c>
      <c r="E1172" s="3"/>
    </row>
    <row r="1173">
      <c r="B1173" s="3">
        <v>5840830.0</v>
      </c>
      <c r="C1173" s="3">
        <v>7.8</v>
      </c>
      <c r="D1173" s="3">
        <v>136.8</v>
      </c>
      <c r="E1173" s="3"/>
    </row>
    <row r="1174">
      <c r="B1174" s="3">
        <v>5860833.0</v>
      </c>
      <c r="C1174" s="3">
        <v>7.8</v>
      </c>
      <c r="D1174" s="3">
        <v>136.7</v>
      </c>
      <c r="E1174" s="3"/>
    </row>
    <row r="1175">
      <c r="B1175" s="3">
        <v>5880836.0</v>
      </c>
      <c r="C1175" s="3">
        <v>7.8</v>
      </c>
      <c r="D1175" s="3">
        <v>136.8</v>
      </c>
      <c r="E1175" s="3"/>
    </row>
    <row r="1176">
      <c r="B1176" s="3">
        <v>5900838.0</v>
      </c>
      <c r="C1176" s="3">
        <v>7.8</v>
      </c>
      <c r="D1176" s="3">
        <v>136.7</v>
      </c>
      <c r="E1176" s="3"/>
    </row>
    <row r="1177">
      <c r="B1177" s="3">
        <v>5920841.0</v>
      </c>
      <c r="C1177" s="3">
        <v>7.8</v>
      </c>
      <c r="D1177" s="3">
        <v>136.7</v>
      </c>
      <c r="E1177" s="3"/>
    </row>
    <row r="1178">
      <c r="B1178" s="3">
        <v>5940844.0</v>
      </c>
      <c r="C1178" s="3">
        <v>7.8</v>
      </c>
      <c r="D1178" s="3">
        <v>136.7</v>
      </c>
      <c r="E1178" s="3"/>
    </row>
    <row r="1179">
      <c r="B1179" s="3">
        <v>5960848.0</v>
      </c>
      <c r="C1179" s="3">
        <v>7.8</v>
      </c>
      <c r="D1179" s="3">
        <v>136.7</v>
      </c>
      <c r="E1179" s="3"/>
    </row>
    <row r="1180">
      <c r="B1180" s="3">
        <v>5980851.0</v>
      </c>
      <c r="C1180" s="3">
        <v>7.8</v>
      </c>
      <c r="D1180" s="3">
        <v>136.7</v>
      </c>
      <c r="E1180" s="3"/>
    </row>
    <row r="1181">
      <c r="B1181" s="3">
        <v>6000854.0</v>
      </c>
      <c r="C1181" s="3">
        <v>7.8</v>
      </c>
      <c r="D1181" s="3">
        <v>136.6</v>
      </c>
      <c r="E1181" s="3"/>
    </row>
    <row r="1182">
      <c r="B1182" s="3">
        <v>6020856.0</v>
      </c>
      <c r="C1182" s="3">
        <v>7.8</v>
      </c>
      <c r="D1182" s="3">
        <v>136.7</v>
      </c>
      <c r="E1182" s="3"/>
    </row>
    <row r="1183">
      <c r="B1183" s="3">
        <v>6040859.0</v>
      </c>
      <c r="C1183" s="3">
        <v>7.8</v>
      </c>
      <c r="D1183" s="3">
        <v>136.7</v>
      </c>
      <c r="E1183" s="3"/>
    </row>
    <row r="1184">
      <c r="B1184" s="3">
        <v>6060862.0</v>
      </c>
      <c r="C1184" s="3">
        <v>7.8</v>
      </c>
      <c r="D1184" s="3">
        <v>136.6</v>
      </c>
      <c r="E1184" s="3"/>
    </row>
    <row r="1185">
      <c r="B1185" s="3">
        <v>6080865.0</v>
      </c>
      <c r="C1185" s="3">
        <v>7.8</v>
      </c>
      <c r="D1185" s="3">
        <v>136.6</v>
      </c>
      <c r="E1185" s="3"/>
    </row>
    <row r="1186">
      <c r="B1186" s="3">
        <v>6100868.0</v>
      </c>
      <c r="C1186" s="3">
        <v>7.8</v>
      </c>
      <c r="D1186" s="3">
        <v>136.6</v>
      </c>
      <c r="E1186" s="3"/>
    </row>
    <row r="1187">
      <c r="B1187" s="3">
        <v>6120870.0</v>
      </c>
      <c r="C1187" s="3">
        <v>7.8</v>
      </c>
      <c r="D1187" s="3">
        <v>136.6</v>
      </c>
      <c r="E1187" s="3"/>
    </row>
    <row r="1188">
      <c r="B1188" s="3">
        <v>6140873.0</v>
      </c>
      <c r="C1188" s="3">
        <v>7.8</v>
      </c>
      <c r="D1188" s="3">
        <v>136.6</v>
      </c>
      <c r="E1188" s="3"/>
    </row>
    <row r="1189">
      <c r="B1189" s="3">
        <v>6160876.0</v>
      </c>
      <c r="C1189" s="3">
        <v>7.8</v>
      </c>
      <c r="D1189" s="3">
        <v>136.6</v>
      </c>
      <c r="E1189" s="3"/>
    </row>
    <row r="1190">
      <c r="B1190" s="3">
        <v>6180879.0</v>
      </c>
      <c r="C1190" s="3">
        <v>7.8</v>
      </c>
      <c r="D1190" s="3">
        <v>136.6</v>
      </c>
      <c r="E1190" s="3"/>
    </row>
    <row r="1191">
      <c r="B1191" s="3">
        <v>6200882.0</v>
      </c>
      <c r="C1191" s="3">
        <v>7.8</v>
      </c>
      <c r="D1191" s="3">
        <v>136.6</v>
      </c>
      <c r="E1191" s="3"/>
    </row>
    <row r="1192">
      <c r="B1192" s="3">
        <v>6220884.0</v>
      </c>
      <c r="C1192" s="3">
        <v>7.8</v>
      </c>
      <c r="D1192" s="3">
        <v>136.5</v>
      </c>
      <c r="E1192" s="3"/>
    </row>
    <row r="1193">
      <c r="B1193" s="3">
        <v>6240887.0</v>
      </c>
      <c r="C1193" s="3">
        <v>7.79</v>
      </c>
      <c r="D1193" s="3">
        <v>136.5</v>
      </c>
      <c r="E1193" s="3"/>
    </row>
    <row r="1194">
      <c r="B1194" s="3">
        <v>6260890.0</v>
      </c>
      <c r="C1194" s="3">
        <v>7.8</v>
      </c>
      <c r="D1194" s="3">
        <v>136.6</v>
      </c>
      <c r="E1194" s="3"/>
    </row>
    <row r="1195">
      <c r="B1195" s="3">
        <v>6280893.0</v>
      </c>
      <c r="C1195" s="3">
        <v>7.79</v>
      </c>
      <c r="D1195" s="3">
        <v>136.5</v>
      </c>
      <c r="E1195" s="3"/>
    </row>
    <row r="1196">
      <c r="B1196" s="3">
        <v>6300896.0</v>
      </c>
      <c r="C1196" s="3">
        <v>7.79</v>
      </c>
      <c r="D1196" s="3">
        <v>136.4</v>
      </c>
      <c r="E1196" s="3"/>
    </row>
    <row r="1197">
      <c r="B1197" s="3">
        <v>6320899.0</v>
      </c>
      <c r="C1197" s="3">
        <v>7.79</v>
      </c>
      <c r="D1197" s="3">
        <v>136.5</v>
      </c>
      <c r="E1197" s="3"/>
    </row>
    <row r="1198">
      <c r="B1198" s="3">
        <v>6340901.0</v>
      </c>
      <c r="C1198" s="3">
        <v>7.79</v>
      </c>
      <c r="D1198" s="3">
        <v>136.5</v>
      </c>
      <c r="E1198" s="3"/>
    </row>
    <row r="1199">
      <c r="B1199" s="3">
        <v>6360904.0</v>
      </c>
      <c r="C1199" s="3">
        <v>7.79</v>
      </c>
      <c r="D1199" s="3">
        <v>136.5</v>
      </c>
      <c r="E1199" s="3"/>
    </row>
    <row r="1200">
      <c r="B1200" s="3">
        <v>6380907.0</v>
      </c>
      <c r="C1200" s="3">
        <v>7.79</v>
      </c>
      <c r="D1200" s="3">
        <v>136.5</v>
      </c>
      <c r="E1200" s="3"/>
    </row>
    <row r="1201">
      <c r="B1201" s="3">
        <v>6400910.0</v>
      </c>
      <c r="C1201" s="3">
        <v>7.79</v>
      </c>
      <c r="D1201" s="3">
        <v>136.5</v>
      </c>
      <c r="E1201" s="3"/>
    </row>
    <row r="1202">
      <c r="B1202" s="3">
        <v>6420913.0</v>
      </c>
      <c r="C1202" s="3">
        <v>7.79</v>
      </c>
      <c r="D1202" s="3">
        <v>136.5</v>
      </c>
      <c r="E1202" s="3"/>
    </row>
    <row r="1203">
      <c r="B1203" s="3">
        <v>6440915.0</v>
      </c>
      <c r="C1203" s="3">
        <v>7.79</v>
      </c>
      <c r="D1203" s="3">
        <v>136.5</v>
      </c>
      <c r="E1203" s="3"/>
    </row>
    <row r="1204">
      <c r="B1204" s="3">
        <v>6460918.0</v>
      </c>
      <c r="C1204" s="3">
        <v>7.79</v>
      </c>
      <c r="D1204" s="3">
        <v>136.4</v>
      </c>
      <c r="E1204" s="3"/>
    </row>
    <row r="1205">
      <c r="B1205" s="3">
        <v>6480921.0</v>
      </c>
      <c r="C1205" s="3">
        <v>7.79</v>
      </c>
      <c r="D1205" s="3">
        <v>136.5</v>
      </c>
      <c r="E1205" s="3"/>
    </row>
    <row r="1206">
      <c r="B1206" s="3">
        <v>6500924.0</v>
      </c>
      <c r="C1206" s="3">
        <v>7.79</v>
      </c>
      <c r="D1206" s="3">
        <v>136.4</v>
      </c>
      <c r="E1206" s="3"/>
    </row>
    <row r="1207">
      <c r="B1207" s="3">
        <v>6520927.0</v>
      </c>
      <c r="C1207" s="3">
        <v>7.79</v>
      </c>
      <c r="D1207" s="3">
        <v>136.4</v>
      </c>
      <c r="E1207" s="3"/>
    </row>
    <row r="1208">
      <c r="B1208" s="3">
        <v>6540930.0</v>
      </c>
      <c r="C1208" s="3">
        <v>7.78</v>
      </c>
      <c r="D1208" s="3">
        <v>136.4</v>
      </c>
      <c r="E1208" s="3"/>
    </row>
    <row r="1209">
      <c r="B1209" s="3">
        <v>6560932.0</v>
      </c>
      <c r="C1209" s="3">
        <v>7.78</v>
      </c>
      <c r="D1209" s="3">
        <v>136.4</v>
      </c>
      <c r="E1209" s="3"/>
    </row>
    <row r="1210">
      <c r="B1210" s="3">
        <v>6580935.0</v>
      </c>
      <c r="C1210" s="3">
        <v>7.78</v>
      </c>
      <c r="D1210" s="3">
        <v>136.3</v>
      </c>
      <c r="E1210" s="3"/>
    </row>
    <row r="1211">
      <c r="B1211" s="3">
        <v>6600938.0</v>
      </c>
      <c r="C1211" s="3">
        <v>7.78</v>
      </c>
      <c r="D1211" s="3">
        <v>136.4</v>
      </c>
      <c r="E1211" s="3"/>
    </row>
    <row r="1212">
      <c r="B1212" s="3">
        <v>6620941.0</v>
      </c>
      <c r="C1212" s="3">
        <v>7.78</v>
      </c>
      <c r="D1212" s="3">
        <v>136.3</v>
      </c>
      <c r="E1212" s="3"/>
    </row>
    <row r="1213">
      <c r="B1213" s="3">
        <v>6640944.0</v>
      </c>
      <c r="C1213" s="3">
        <v>7.78</v>
      </c>
      <c r="D1213" s="3">
        <v>136.3</v>
      </c>
      <c r="E1213" s="3"/>
    </row>
    <row r="1214">
      <c r="B1214" s="3">
        <v>6660946.0</v>
      </c>
      <c r="C1214" s="3">
        <v>7.78</v>
      </c>
      <c r="D1214" s="3">
        <v>136.3</v>
      </c>
      <c r="E1214" s="3"/>
    </row>
    <row r="1215">
      <c r="B1215" s="3">
        <v>6680949.0</v>
      </c>
      <c r="C1215" s="3">
        <v>7.78</v>
      </c>
      <c r="D1215" s="3">
        <v>136.3</v>
      </c>
      <c r="E1215" s="3"/>
    </row>
    <row r="1216">
      <c r="B1216" s="3">
        <v>6700952.0</v>
      </c>
      <c r="C1216" s="3">
        <v>7.78</v>
      </c>
      <c r="D1216" s="3">
        <v>136.3</v>
      </c>
      <c r="E1216" s="3"/>
    </row>
    <row r="1217">
      <c r="B1217" s="3">
        <v>6720955.0</v>
      </c>
      <c r="C1217" s="3">
        <v>7.78</v>
      </c>
      <c r="D1217" s="3">
        <v>136.2</v>
      </c>
      <c r="E1217" s="3"/>
    </row>
    <row r="1218">
      <c r="B1218" s="3">
        <v>6740958.0</v>
      </c>
      <c r="C1218" s="3">
        <v>7.78</v>
      </c>
      <c r="D1218" s="3">
        <v>136.3</v>
      </c>
      <c r="E1218" s="3"/>
    </row>
    <row r="1219">
      <c r="B1219" s="3">
        <v>6760961.0</v>
      </c>
      <c r="C1219" s="3">
        <v>7.78</v>
      </c>
      <c r="D1219" s="3">
        <v>136.2</v>
      </c>
      <c r="E1219" s="3"/>
    </row>
    <row r="1220">
      <c r="B1220" s="3">
        <v>6780964.0</v>
      </c>
      <c r="C1220" s="3">
        <v>7.78</v>
      </c>
      <c r="D1220" s="3">
        <v>136.2</v>
      </c>
      <c r="E1220" s="3"/>
    </row>
    <row r="1221">
      <c r="B1221" s="3">
        <v>6800967.0</v>
      </c>
      <c r="C1221" s="3">
        <v>7.78</v>
      </c>
      <c r="D1221" s="3">
        <v>136.2</v>
      </c>
      <c r="E1221" s="3"/>
    </row>
    <row r="1222">
      <c r="B1222" s="3">
        <v>6820970.0</v>
      </c>
      <c r="C1222" s="3">
        <v>7.78</v>
      </c>
      <c r="D1222" s="3">
        <v>136.2</v>
      </c>
      <c r="E1222" s="3"/>
    </row>
    <row r="1223">
      <c r="B1223" s="3">
        <v>6840973.0</v>
      </c>
      <c r="C1223" s="3">
        <v>7.77</v>
      </c>
      <c r="D1223" s="3">
        <v>136.2</v>
      </c>
      <c r="E1223" s="3"/>
    </row>
    <row r="1224">
      <c r="B1224" s="3">
        <v>6860976.0</v>
      </c>
      <c r="C1224" s="3">
        <v>7.77</v>
      </c>
      <c r="D1224" s="3">
        <v>136.2</v>
      </c>
      <c r="E1224" s="3"/>
    </row>
    <row r="1225">
      <c r="B1225" s="3">
        <v>6880978.0</v>
      </c>
      <c r="C1225" s="3">
        <v>7.77</v>
      </c>
      <c r="D1225" s="3">
        <v>136.2</v>
      </c>
      <c r="E1225" s="3"/>
    </row>
    <row r="1226">
      <c r="B1226" s="3">
        <v>6900981.0</v>
      </c>
      <c r="C1226" s="3">
        <v>7.77</v>
      </c>
      <c r="D1226" s="3">
        <v>136.1</v>
      </c>
      <c r="E1226" s="3"/>
    </row>
    <row r="1227">
      <c r="B1227" s="3">
        <v>6920984.0</v>
      </c>
      <c r="C1227" s="3">
        <v>7.77</v>
      </c>
      <c r="D1227" s="3">
        <v>136.2</v>
      </c>
      <c r="E1227" s="3"/>
    </row>
    <row r="1228">
      <c r="B1228" s="3">
        <v>6940987.0</v>
      </c>
      <c r="C1228" s="3">
        <v>7.77</v>
      </c>
      <c r="D1228" s="3">
        <v>136.2</v>
      </c>
      <c r="E1228" s="3"/>
    </row>
    <row r="1229">
      <c r="B1229" s="3">
        <v>6960990.0</v>
      </c>
      <c r="C1229" s="3">
        <v>7.77</v>
      </c>
      <c r="D1229" s="3">
        <v>136.1</v>
      </c>
      <c r="E1229" s="3"/>
    </row>
    <row r="1230">
      <c r="B1230" s="3">
        <v>6980993.0</v>
      </c>
      <c r="C1230" s="3">
        <v>7.77</v>
      </c>
      <c r="D1230" s="3">
        <v>136.1</v>
      </c>
      <c r="E1230" s="3"/>
    </row>
    <row r="1231">
      <c r="B1231" s="3">
        <v>7000995.0</v>
      </c>
      <c r="C1231" s="3">
        <v>7.77</v>
      </c>
      <c r="D1231" s="3">
        <v>136.1</v>
      </c>
      <c r="E1231" s="3"/>
    </row>
    <row r="1232">
      <c r="B1232" s="3">
        <v>7020998.0</v>
      </c>
      <c r="C1232" s="3">
        <v>7.77</v>
      </c>
      <c r="D1232" s="3">
        <v>136.0</v>
      </c>
      <c r="E1232" s="3"/>
    </row>
    <row r="1233">
      <c r="B1233" s="3">
        <v>7041001.0</v>
      </c>
      <c r="C1233" s="3">
        <v>7.77</v>
      </c>
      <c r="D1233" s="3">
        <v>136.0</v>
      </c>
      <c r="E1233" s="3"/>
    </row>
    <row r="1234">
      <c r="B1234" s="3">
        <v>7061004.0</v>
      </c>
      <c r="C1234" s="3">
        <v>7.76</v>
      </c>
      <c r="D1234" s="3">
        <v>136.0</v>
      </c>
      <c r="E1234" s="3"/>
    </row>
    <row r="1235">
      <c r="B1235" s="3">
        <v>7081007.0</v>
      </c>
      <c r="C1235" s="3">
        <v>7.77</v>
      </c>
      <c r="D1235" s="3">
        <v>136.0</v>
      </c>
      <c r="E1235" s="3"/>
    </row>
    <row r="1236">
      <c r="B1236" s="3">
        <v>7101009.0</v>
      </c>
      <c r="C1236" s="3">
        <v>7.77</v>
      </c>
      <c r="D1236" s="3">
        <v>136.1</v>
      </c>
      <c r="E1236" s="3"/>
    </row>
    <row r="1237">
      <c r="B1237" s="3">
        <v>7121012.0</v>
      </c>
      <c r="C1237" s="3">
        <v>7.77</v>
      </c>
      <c r="D1237" s="3">
        <v>136.1</v>
      </c>
      <c r="E1237" s="3"/>
    </row>
    <row r="1238">
      <c r="B1238" s="3">
        <v>7141015.0</v>
      </c>
      <c r="C1238" s="3">
        <v>7.77</v>
      </c>
      <c r="D1238" s="3">
        <v>136.2</v>
      </c>
      <c r="E1238" s="3"/>
    </row>
    <row r="1239">
      <c r="B1239" s="3">
        <v>7161018.0</v>
      </c>
      <c r="C1239" s="3">
        <v>7.77</v>
      </c>
      <c r="D1239" s="3">
        <v>136.2</v>
      </c>
      <c r="E1239" s="3"/>
    </row>
    <row r="1240">
      <c r="B1240" s="3">
        <v>7181021.0</v>
      </c>
      <c r="C1240" s="3">
        <v>7.77</v>
      </c>
      <c r="D1240" s="3">
        <v>136.1</v>
      </c>
      <c r="E1240" s="3"/>
    </row>
    <row r="1241">
      <c r="B1241" s="3">
        <v>7201024.0</v>
      </c>
      <c r="C1241" s="3">
        <v>7.77</v>
      </c>
      <c r="D1241" s="3">
        <v>136.1</v>
      </c>
      <c r="E1241" s="3"/>
    </row>
    <row r="1242">
      <c r="B1242" s="3">
        <v>7221026.0</v>
      </c>
      <c r="C1242" s="3">
        <v>7.77</v>
      </c>
      <c r="D1242" s="3">
        <v>136.0</v>
      </c>
      <c r="E1242" s="3"/>
    </row>
    <row r="1243">
      <c r="B1243" s="3">
        <v>7241029.0</v>
      </c>
      <c r="C1243" s="3">
        <v>7.77</v>
      </c>
      <c r="D1243" s="3">
        <v>136.0</v>
      </c>
      <c r="E1243" s="3"/>
    </row>
    <row r="1244">
      <c r="B1244" s="3">
        <v>7261032.0</v>
      </c>
      <c r="C1244" s="3">
        <v>7.77</v>
      </c>
      <c r="D1244" s="3">
        <v>136.1</v>
      </c>
      <c r="E1244" s="3"/>
    </row>
    <row r="1245">
      <c r="B1245" s="3">
        <v>7281035.0</v>
      </c>
      <c r="C1245" s="3">
        <v>7.77</v>
      </c>
      <c r="D1245" s="3">
        <v>136.1</v>
      </c>
      <c r="E1245" s="3"/>
    </row>
    <row r="1246">
      <c r="B1246" s="3">
        <v>7301038.0</v>
      </c>
      <c r="C1246" s="3">
        <v>7.76</v>
      </c>
      <c r="D1246" s="3">
        <v>136.0</v>
      </c>
      <c r="E1246" s="3"/>
    </row>
    <row r="1247">
      <c r="B1247" s="3">
        <v>7321040.0</v>
      </c>
      <c r="C1247" s="3">
        <v>7.76</v>
      </c>
      <c r="D1247" s="3">
        <v>136.0</v>
      </c>
      <c r="E1247" s="3"/>
    </row>
    <row r="1248">
      <c r="B1248" s="3">
        <v>7341043.0</v>
      </c>
      <c r="C1248" s="3">
        <v>7.76</v>
      </c>
      <c r="D1248" s="3">
        <v>136.0</v>
      </c>
      <c r="E1248" s="3"/>
    </row>
    <row r="1249">
      <c r="B1249" s="3">
        <v>7361046.0</v>
      </c>
      <c r="C1249" s="3">
        <v>7.76</v>
      </c>
      <c r="D1249" s="3">
        <v>135.9</v>
      </c>
      <c r="E1249" s="3"/>
    </row>
    <row r="1250">
      <c r="B1250" s="3">
        <v>7381049.0</v>
      </c>
      <c r="C1250" s="3">
        <v>7.76</v>
      </c>
      <c r="D1250" s="3">
        <v>136.0</v>
      </c>
      <c r="E1250" s="3"/>
    </row>
    <row r="1251">
      <c r="B1251" s="3">
        <v>7401052.0</v>
      </c>
      <c r="C1251" s="3">
        <v>7.76</v>
      </c>
      <c r="D1251" s="3">
        <v>135.9</v>
      </c>
      <c r="E1251" s="3"/>
    </row>
    <row r="1252">
      <c r="B1252" s="3">
        <v>7421054.0</v>
      </c>
      <c r="C1252" s="3">
        <v>7.76</v>
      </c>
      <c r="D1252" s="3">
        <v>136.0</v>
      </c>
      <c r="E1252" s="3"/>
    </row>
    <row r="1253">
      <c r="B1253" s="3">
        <v>7441057.0</v>
      </c>
      <c r="C1253" s="3">
        <v>7.76</v>
      </c>
      <c r="D1253" s="3">
        <v>135.9</v>
      </c>
      <c r="E1253" s="3"/>
    </row>
    <row r="1254">
      <c r="B1254" s="3">
        <v>7461060.0</v>
      </c>
      <c r="C1254" s="3">
        <v>7.76</v>
      </c>
      <c r="D1254" s="3">
        <v>136.0</v>
      </c>
      <c r="E1254" s="3"/>
    </row>
    <row r="1255">
      <c r="B1255" s="3">
        <v>7481063.0</v>
      </c>
      <c r="C1255" s="3">
        <v>7.76</v>
      </c>
      <c r="D1255" s="3">
        <v>135.9</v>
      </c>
      <c r="E1255" s="3"/>
    </row>
    <row r="1256">
      <c r="B1256" s="3">
        <v>7501066.0</v>
      </c>
      <c r="C1256" s="3">
        <v>7.76</v>
      </c>
      <c r="D1256" s="3">
        <v>136.0</v>
      </c>
      <c r="E1256" s="3"/>
    </row>
    <row r="1257">
      <c r="B1257" s="3">
        <v>7521069.0</v>
      </c>
      <c r="C1257" s="3">
        <v>7.76</v>
      </c>
      <c r="D1257" s="3">
        <v>135.9</v>
      </c>
      <c r="E1257" s="3"/>
    </row>
    <row r="1258">
      <c r="B1258" s="3">
        <v>7541071.0</v>
      </c>
      <c r="C1258" s="3">
        <v>7.76</v>
      </c>
      <c r="D1258" s="3">
        <v>135.9</v>
      </c>
      <c r="E1258" s="3"/>
    </row>
    <row r="1259">
      <c r="B1259" s="3">
        <v>7561074.0</v>
      </c>
      <c r="C1259" s="3">
        <v>7.76</v>
      </c>
      <c r="D1259" s="3">
        <v>135.9</v>
      </c>
      <c r="E1259" s="3"/>
    </row>
    <row r="1260">
      <c r="B1260" s="3">
        <v>7581078.0</v>
      </c>
      <c r="C1260" s="3">
        <v>7.76</v>
      </c>
      <c r="D1260" s="3">
        <v>135.9</v>
      </c>
      <c r="E1260" s="3"/>
    </row>
    <row r="1261">
      <c r="B1261" s="3">
        <v>7601081.0</v>
      </c>
      <c r="C1261" s="3">
        <v>7.76</v>
      </c>
      <c r="D1261" s="3">
        <v>135.8</v>
      </c>
      <c r="E1261" s="3"/>
    </row>
    <row r="1262">
      <c r="B1262" s="3">
        <v>7621084.0</v>
      </c>
      <c r="C1262" s="3">
        <v>7.76</v>
      </c>
      <c r="D1262" s="3">
        <v>135.9</v>
      </c>
      <c r="E1262" s="3"/>
    </row>
    <row r="1263">
      <c r="B1263" s="3">
        <v>7641086.0</v>
      </c>
      <c r="C1263" s="3">
        <v>7.76</v>
      </c>
      <c r="D1263" s="3">
        <v>135.8</v>
      </c>
      <c r="E1263" s="3"/>
    </row>
    <row r="1264">
      <c r="B1264" s="3">
        <v>7661089.0</v>
      </c>
      <c r="C1264" s="3">
        <v>7.76</v>
      </c>
      <c r="D1264" s="3">
        <v>135.8</v>
      </c>
      <c r="E1264" s="3"/>
    </row>
    <row r="1265">
      <c r="B1265" s="3">
        <v>7681092.0</v>
      </c>
      <c r="C1265" s="3">
        <v>7.76</v>
      </c>
      <c r="D1265" s="3">
        <v>135.8</v>
      </c>
      <c r="E1265" s="3"/>
    </row>
    <row r="1266">
      <c r="B1266" s="3">
        <v>7701095.0</v>
      </c>
      <c r="C1266" s="3">
        <v>7.75</v>
      </c>
      <c r="D1266" s="3">
        <v>135.8</v>
      </c>
      <c r="E1266" s="3"/>
    </row>
    <row r="1267">
      <c r="B1267" s="3">
        <v>7721098.0</v>
      </c>
      <c r="C1267" s="3">
        <v>7.75</v>
      </c>
      <c r="D1267" s="3">
        <v>135.8</v>
      </c>
      <c r="E1267" s="3"/>
    </row>
    <row r="1268">
      <c r="B1268" s="3">
        <v>7741101.0</v>
      </c>
      <c r="C1268" s="3">
        <v>7.75</v>
      </c>
      <c r="D1268" s="3">
        <v>135.8</v>
      </c>
      <c r="E1268" s="3"/>
    </row>
    <row r="1269">
      <c r="B1269" s="3">
        <v>7761103.0</v>
      </c>
      <c r="C1269" s="3">
        <v>7.75</v>
      </c>
      <c r="D1269" s="3">
        <v>135.8</v>
      </c>
      <c r="E1269" s="3"/>
    </row>
    <row r="1270">
      <c r="B1270" s="3">
        <v>7781106.0</v>
      </c>
      <c r="C1270" s="3">
        <v>7.75</v>
      </c>
      <c r="D1270" s="3">
        <v>135.8</v>
      </c>
      <c r="E1270" s="3"/>
    </row>
    <row r="1271">
      <c r="B1271" s="3">
        <v>7801109.0</v>
      </c>
      <c r="C1271" s="3">
        <v>7.75</v>
      </c>
      <c r="D1271" s="3">
        <v>135.7</v>
      </c>
      <c r="E1271" s="3"/>
    </row>
    <row r="1272">
      <c r="B1272" s="3">
        <v>7821112.0</v>
      </c>
      <c r="C1272" s="3">
        <v>7.75</v>
      </c>
      <c r="D1272" s="3">
        <v>135.7</v>
      </c>
      <c r="E1272" s="3"/>
    </row>
    <row r="1273">
      <c r="B1273" s="3">
        <v>7841115.0</v>
      </c>
      <c r="C1273" s="3">
        <v>7.75</v>
      </c>
      <c r="D1273" s="3">
        <v>135.7</v>
      </c>
      <c r="E1273" s="3"/>
    </row>
    <row r="1274">
      <c r="B1274" s="3">
        <v>7861117.0</v>
      </c>
      <c r="C1274" s="3">
        <v>7.75</v>
      </c>
      <c r="D1274" s="3">
        <v>135.8</v>
      </c>
      <c r="E1274" s="3"/>
    </row>
    <row r="1275">
      <c r="B1275" s="3">
        <v>7881120.0</v>
      </c>
      <c r="C1275" s="3">
        <v>7.75</v>
      </c>
      <c r="D1275" s="3">
        <v>135.7</v>
      </c>
      <c r="E1275" s="3"/>
    </row>
    <row r="1276">
      <c r="B1276" s="3">
        <v>7901123.0</v>
      </c>
      <c r="C1276" s="3">
        <v>7.75</v>
      </c>
      <c r="D1276" s="3">
        <v>135.6</v>
      </c>
      <c r="E1276" s="3"/>
    </row>
    <row r="1277">
      <c r="B1277" s="3">
        <v>7921126.0</v>
      </c>
      <c r="C1277" s="3">
        <v>7.75</v>
      </c>
      <c r="D1277" s="3">
        <v>135.7</v>
      </c>
      <c r="E1277" s="3"/>
    </row>
    <row r="1278">
      <c r="B1278" s="3">
        <v>7941129.0</v>
      </c>
      <c r="C1278" s="3">
        <v>7.74</v>
      </c>
      <c r="D1278" s="3">
        <v>135.6</v>
      </c>
      <c r="E1278" s="3"/>
    </row>
    <row r="1279">
      <c r="B1279" s="3">
        <v>7961132.0</v>
      </c>
      <c r="C1279" s="3">
        <v>7.74</v>
      </c>
      <c r="D1279" s="3">
        <v>135.7</v>
      </c>
      <c r="E1279" s="3"/>
    </row>
    <row r="1280">
      <c r="B1280" s="3">
        <v>7981134.0</v>
      </c>
      <c r="C1280" s="3">
        <v>7.74</v>
      </c>
      <c r="D1280" s="3">
        <v>135.6</v>
      </c>
      <c r="E1280" s="3"/>
    </row>
    <row r="1281">
      <c r="B1281" s="3">
        <v>8001137.0</v>
      </c>
      <c r="C1281" s="3">
        <v>7.74</v>
      </c>
      <c r="D1281" s="3">
        <v>135.7</v>
      </c>
      <c r="E1281" s="3"/>
    </row>
    <row r="1282">
      <c r="B1282" s="3">
        <v>8021140.0</v>
      </c>
      <c r="C1282" s="3">
        <v>7.74</v>
      </c>
      <c r="D1282" s="3">
        <v>135.6</v>
      </c>
      <c r="E1282" s="3"/>
    </row>
    <row r="1283">
      <c r="B1283" s="3">
        <v>8041143.0</v>
      </c>
      <c r="C1283" s="3">
        <v>7.74</v>
      </c>
      <c r="D1283" s="3">
        <v>135.6</v>
      </c>
      <c r="E1283" s="3"/>
    </row>
    <row r="1284">
      <c r="B1284" s="3">
        <v>8061146.0</v>
      </c>
      <c r="C1284" s="3">
        <v>7.74</v>
      </c>
      <c r="D1284" s="3">
        <v>135.6</v>
      </c>
      <c r="E1284" s="3"/>
    </row>
    <row r="1285">
      <c r="B1285" s="3">
        <v>8081148.0</v>
      </c>
      <c r="C1285" s="3">
        <v>7.74</v>
      </c>
      <c r="D1285" s="3">
        <v>135.5</v>
      </c>
      <c r="E1285" s="3"/>
    </row>
    <row r="1286">
      <c r="B1286" s="3">
        <v>8101151.0</v>
      </c>
      <c r="C1286" s="3">
        <v>7.74</v>
      </c>
      <c r="D1286" s="3">
        <v>135.5</v>
      </c>
      <c r="E1286" s="3"/>
    </row>
    <row r="1287">
      <c r="B1287" s="3">
        <v>8121154.0</v>
      </c>
      <c r="C1287" s="3">
        <v>7.74</v>
      </c>
      <c r="D1287" s="3">
        <v>135.5</v>
      </c>
      <c r="E1287" s="3"/>
    </row>
    <row r="1288">
      <c r="B1288" s="3">
        <v>8141157.0</v>
      </c>
      <c r="C1288" s="3">
        <v>7.74</v>
      </c>
      <c r="D1288" s="3">
        <v>135.6</v>
      </c>
      <c r="E1288" s="3"/>
    </row>
    <row r="1289">
      <c r="B1289" s="3">
        <v>8161160.0</v>
      </c>
      <c r="C1289" s="3">
        <v>7.74</v>
      </c>
      <c r="D1289" s="3">
        <v>135.6</v>
      </c>
      <c r="E1289" s="3"/>
    </row>
    <row r="1290">
      <c r="B1290" s="3">
        <v>8181163.0</v>
      </c>
      <c r="C1290" s="3">
        <v>7.74</v>
      </c>
      <c r="D1290" s="3">
        <v>135.6</v>
      </c>
      <c r="E1290" s="3"/>
    </row>
    <row r="1291">
      <c r="B1291" s="3">
        <v>8201165.0</v>
      </c>
      <c r="C1291" s="3">
        <v>7.74</v>
      </c>
      <c r="D1291" s="3">
        <v>135.5</v>
      </c>
      <c r="E1291" s="3"/>
    </row>
    <row r="1292">
      <c r="B1292" s="3">
        <v>8221168.0</v>
      </c>
      <c r="C1292" s="3">
        <v>7.74</v>
      </c>
      <c r="D1292" s="3">
        <v>135.4</v>
      </c>
      <c r="E1292" s="3"/>
    </row>
    <row r="1293">
      <c r="B1293" s="3">
        <v>8241171.0</v>
      </c>
      <c r="C1293" s="3">
        <v>7.74</v>
      </c>
      <c r="D1293" s="3">
        <v>135.5</v>
      </c>
      <c r="E1293" s="3"/>
    </row>
    <row r="1294">
      <c r="B1294" s="3">
        <v>8261175.0</v>
      </c>
      <c r="C1294" s="3">
        <v>7.74</v>
      </c>
      <c r="D1294" s="3">
        <v>135.4</v>
      </c>
      <c r="E1294" s="3"/>
    </row>
    <row r="1295">
      <c r="B1295" s="3">
        <v>8281178.0</v>
      </c>
      <c r="C1295" s="3">
        <v>7.74</v>
      </c>
      <c r="D1295" s="3">
        <v>135.4</v>
      </c>
      <c r="E1295" s="3"/>
    </row>
    <row r="1296">
      <c r="B1296" s="3">
        <v>8301180.0</v>
      </c>
      <c r="C1296" s="3">
        <v>7.73</v>
      </c>
      <c r="D1296" s="3">
        <v>135.4</v>
      </c>
      <c r="E1296" s="3"/>
    </row>
    <row r="1297">
      <c r="B1297" s="3">
        <v>8321183.0</v>
      </c>
      <c r="C1297" s="3">
        <v>7.73</v>
      </c>
      <c r="D1297" s="3">
        <v>135.4</v>
      </c>
      <c r="E1297" s="3"/>
    </row>
    <row r="1298">
      <c r="B1298" s="3">
        <v>8341186.0</v>
      </c>
      <c r="C1298" s="3">
        <v>7.73</v>
      </c>
      <c r="D1298" s="3">
        <v>135.4</v>
      </c>
      <c r="E1298" s="3"/>
    </row>
    <row r="1299">
      <c r="B1299" s="3">
        <v>8361189.0</v>
      </c>
      <c r="C1299" s="3">
        <v>7.73</v>
      </c>
      <c r="D1299" s="3">
        <v>135.4</v>
      </c>
      <c r="E1299" s="3"/>
    </row>
    <row r="1300">
      <c r="B1300" s="3">
        <v>8381192.0</v>
      </c>
      <c r="C1300" s="3">
        <v>7.73</v>
      </c>
      <c r="D1300" s="3">
        <v>135.3</v>
      </c>
      <c r="E1300" s="3"/>
    </row>
    <row r="1301">
      <c r="B1301" s="3">
        <v>8401195.0</v>
      </c>
      <c r="C1301" s="3">
        <v>7.73</v>
      </c>
      <c r="D1301" s="3">
        <v>135.3</v>
      </c>
      <c r="E1301" s="3"/>
    </row>
    <row r="1302">
      <c r="B1302" s="3">
        <v>8421197.0</v>
      </c>
      <c r="C1302" s="3">
        <v>7.73</v>
      </c>
      <c r="D1302" s="3">
        <v>135.4</v>
      </c>
      <c r="E1302" s="3"/>
    </row>
    <row r="1303">
      <c r="B1303" s="3">
        <v>8441200.0</v>
      </c>
      <c r="C1303" s="3">
        <v>7.73</v>
      </c>
      <c r="D1303" s="3">
        <v>135.3</v>
      </c>
      <c r="E1303" s="3"/>
    </row>
    <row r="1304">
      <c r="B1304" s="3">
        <v>8461203.0</v>
      </c>
      <c r="C1304" s="3">
        <v>7.73</v>
      </c>
      <c r="D1304" s="3">
        <v>135.3</v>
      </c>
      <c r="E1304" s="3"/>
    </row>
    <row r="1305">
      <c r="B1305" s="3">
        <v>8481206.0</v>
      </c>
      <c r="C1305" s="3">
        <v>7.73</v>
      </c>
      <c r="D1305" s="3">
        <v>135.3</v>
      </c>
      <c r="E1305" s="3"/>
    </row>
    <row r="1306">
      <c r="B1306" s="3">
        <v>8501209.0</v>
      </c>
      <c r="C1306" s="3">
        <v>7.73</v>
      </c>
      <c r="D1306" s="3">
        <v>135.3</v>
      </c>
      <c r="E1306" s="3"/>
    </row>
    <row r="1307">
      <c r="B1307" s="3">
        <v>8521211.0</v>
      </c>
      <c r="C1307" s="3">
        <v>7.73</v>
      </c>
      <c r="D1307" s="3">
        <v>135.3</v>
      </c>
      <c r="E1307" s="3"/>
    </row>
    <row r="1308">
      <c r="B1308" s="3">
        <v>8541214.0</v>
      </c>
      <c r="C1308" s="3">
        <v>7.73</v>
      </c>
      <c r="D1308" s="3">
        <v>135.3</v>
      </c>
      <c r="E1308" s="3"/>
    </row>
    <row r="1309">
      <c r="B1309" s="3">
        <v>8561217.0</v>
      </c>
      <c r="C1309" s="3">
        <v>7.72</v>
      </c>
      <c r="D1309" s="3">
        <v>135.3</v>
      </c>
      <c r="E1309" s="3"/>
    </row>
    <row r="1310">
      <c r="B1310" s="3">
        <v>8581220.0</v>
      </c>
      <c r="C1310" s="3">
        <v>7.72</v>
      </c>
      <c r="D1310" s="3">
        <v>135.2</v>
      </c>
      <c r="E1310" s="3"/>
    </row>
    <row r="1311">
      <c r="B1311" s="3">
        <v>8601223.0</v>
      </c>
      <c r="C1311" s="3">
        <v>7.72</v>
      </c>
      <c r="D1311" s="3">
        <v>135.2</v>
      </c>
      <c r="E1311" s="3"/>
    </row>
    <row r="1312">
      <c r="B1312" s="3">
        <v>8621225.0</v>
      </c>
      <c r="C1312" s="3">
        <v>7.72</v>
      </c>
      <c r="D1312" s="3">
        <v>135.2</v>
      </c>
      <c r="E1312" s="3"/>
    </row>
    <row r="1313">
      <c r="B1313" s="3">
        <v>8641228.0</v>
      </c>
      <c r="C1313" s="3">
        <v>7.72</v>
      </c>
      <c r="D1313" s="3">
        <v>135.2</v>
      </c>
      <c r="E1313" s="3"/>
    </row>
    <row r="1314">
      <c r="B1314" s="3">
        <v>8661231.0</v>
      </c>
      <c r="C1314" s="3">
        <v>7.72</v>
      </c>
      <c r="D1314" s="3">
        <v>135.3</v>
      </c>
      <c r="E1314" s="3"/>
    </row>
    <row r="1315">
      <c r="B1315" s="3">
        <v>8681234.0</v>
      </c>
      <c r="C1315" s="3">
        <v>7.72</v>
      </c>
      <c r="D1315" s="3">
        <v>135.2</v>
      </c>
      <c r="E1315" s="3"/>
    </row>
    <row r="1316">
      <c r="B1316" s="3">
        <v>8701237.0</v>
      </c>
      <c r="C1316" s="3">
        <v>7.72</v>
      </c>
      <c r="D1316" s="3">
        <v>135.2</v>
      </c>
      <c r="E1316" s="3"/>
    </row>
    <row r="1317">
      <c r="B1317" s="3">
        <v>8721240.0</v>
      </c>
      <c r="C1317" s="3">
        <v>7.72</v>
      </c>
      <c r="D1317" s="3">
        <v>135.2</v>
      </c>
      <c r="E1317" s="3"/>
    </row>
    <row r="1318">
      <c r="B1318" s="3">
        <v>8741242.0</v>
      </c>
      <c r="C1318" s="3">
        <v>7.72</v>
      </c>
      <c r="D1318" s="3">
        <v>135.1</v>
      </c>
      <c r="E1318" s="3"/>
    </row>
    <row r="1319">
      <c r="B1319" s="3">
        <v>8761245.0</v>
      </c>
      <c r="C1319" s="3">
        <v>7.72</v>
      </c>
      <c r="D1319" s="3">
        <v>135.1</v>
      </c>
      <c r="E1319" s="3"/>
    </row>
    <row r="1320">
      <c r="B1320" s="3">
        <v>8781248.0</v>
      </c>
      <c r="C1320" s="3">
        <v>7.72</v>
      </c>
      <c r="D1320" s="3">
        <v>135.2</v>
      </c>
      <c r="E1320" s="3"/>
    </row>
    <row r="1321">
      <c r="B1321" s="3">
        <v>8801251.0</v>
      </c>
      <c r="C1321" s="3">
        <v>7.72</v>
      </c>
      <c r="D1321" s="3">
        <v>135.1</v>
      </c>
      <c r="E1321" s="3"/>
    </row>
    <row r="1322">
      <c r="B1322" s="3">
        <v>8821254.0</v>
      </c>
      <c r="C1322" s="3">
        <v>7.72</v>
      </c>
      <c r="D1322" s="3">
        <v>135.1</v>
      </c>
      <c r="E1322" s="3"/>
    </row>
    <row r="1323">
      <c r="B1323" s="3">
        <v>8841256.0</v>
      </c>
      <c r="C1323" s="3">
        <v>7.72</v>
      </c>
      <c r="D1323" s="3">
        <v>135.2</v>
      </c>
      <c r="E1323" s="3"/>
    </row>
    <row r="1324">
      <c r="B1324" s="3">
        <v>8861259.0</v>
      </c>
      <c r="C1324" s="3">
        <v>7.72</v>
      </c>
      <c r="D1324" s="3">
        <v>135.1</v>
      </c>
      <c r="E1324" s="3"/>
    </row>
    <row r="1325">
      <c r="B1325" s="3">
        <v>8881262.0</v>
      </c>
      <c r="C1325" s="3">
        <v>7.72</v>
      </c>
      <c r="D1325" s="3">
        <v>135.1</v>
      </c>
      <c r="E1325" s="3"/>
    </row>
    <row r="1326">
      <c r="B1326" s="3">
        <v>8901265.0</v>
      </c>
      <c r="C1326" s="3">
        <v>7.72</v>
      </c>
      <c r="D1326" s="3">
        <v>135.1</v>
      </c>
      <c r="E1326" s="3"/>
    </row>
    <row r="1327">
      <c r="B1327" s="3">
        <v>8921269.0</v>
      </c>
      <c r="C1327" s="3">
        <v>7.72</v>
      </c>
      <c r="D1327" s="3">
        <v>135.1</v>
      </c>
      <c r="E1327" s="3"/>
    </row>
    <row r="1328">
      <c r="B1328" s="3">
        <v>8941272.0</v>
      </c>
      <c r="C1328" s="3">
        <v>7.72</v>
      </c>
      <c r="D1328" s="3">
        <v>135.1</v>
      </c>
      <c r="E1328" s="3"/>
    </row>
    <row r="1329">
      <c r="B1329" s="3">
        <v>8961274.0</v>
      </c>
      <c r="C1329" s="3">
        <v>7.71</v>
      </c>
      <c r="D1329" s="3">
        <v>135.1</v>
      </c>
      <c r="E1329" s="3"/>
    </row>
    <row r="1330">
      <c r="B1330" s="3">
        <v>8981277.0</v>
      </c>
      <c r="C1330" s="3">
        <v>7.71</v>
      </c>
      <c r="D1330" s="3">
        <v>135.0</v>
      </c>
      <c r="E1330" s="3"/>
    </row>
    <row r="1331">
      <c r="B1331" s="3">
        <v>9001280.0</v>
      </c>
      <c r="C1331" s="3">
        <v>7.71</v>
      </c>
      <c r="D1331" s="3">
        <v>135.1</v>
      </c>
      <c r="E1331" s="3"/>
    </row>
    <row r="1332">
      <c r="B1332" s="3">
        <v>9021283.0</v>
      </c>
      <c r="C1332" s="3">
        <v>7.71</v>
      </c>
      <c r="D1332" s="3">
        <v>135.0</v>
      </c>
      <c r="E1332" s="3"/>
    </row>
    <row r="1333">
      <c r="B1333" s="3">
        <v>9041286.0</v>
      </c>
      <c r="C1333" s="3">
        <v>7.71</v>
      </c>
      <c r="D1333" s="3">
        <v>135.1</v>
      </c>
      <c r="E1333" s="3"/>
    </row>
    <row r="1334">
      <c r="B1334" s="3">
        <v>9061288.0</v>
      </c>
      <c r="C1334" s="3">
        <v>7.71</v>
      </c>
      <c r="D1334" s="3">
        <v>135.0</v>
      </c>
      <c r="E1334" s="3"/>
    </row>
    <row r="1335">
      <c r="B1335" s="3">
        <v>9081291.0</v>
      </c>
      <c r="C1335" s="3">
        <v>7.71</v>
      </c>
      <c r="D1335" s="3">
        <v>135.0</v>
      </c>
      <c r="E1335" s="3"/>
    </row>
    <row r="1336">
      <c r="B1336" s="3">
        <v>9101294.0</v>
      </c>
      <c r="C1336" s="3">
        <v>7.71</v>
      </c>
      <c r="D1336" s="3">
        <v>135.0</v>
      </c>
      <c r="E1336" s="3"/>
    </row>
    <row r="1337">
      <c r="B1337" s="3">
        <v>9121297.0</v>
      </c>
      <c r="C1337" s="3">
        <v>7.71</v>
      </c>
      <c r="D1337" s="3">
        <v>135.0</v>
      </c>
      <c r="E1337" s="3"/>
    </row>
    <row r="1338">
      <c r="B1338" s="3">
        <v>9141300.0</v>
      </c>
      <c r="C1338" s="3">
        <v>7.71</v>
      </c>
      <c r="D1338" s="3">
        <v>134.9</v>
      </c>
      <c r="E1338" s="3"/>
    </row>
    <row r="1339">
      <c r="B1339" s="3">
        <v>9161303.0</v>
      </c>
      <c r="C1339" s="3">
        <v>7.71</v>
      </c>
      <c r="D1339" s="3">
        <v>135.0</v>
      </c>
      <c r="E1339" s="3"/>
    </row>
    <row r="1340">
      <c r="B1340" s="3">
        <v>9181305.0</v>
      </c>
      <c r="C1340" s="3">
        <v>7.71</v>
      </c>
      <c r="D1340" s="3">
        <v>134.9</v>
      </c>
      <c r="E1340" s="3"/>
    </row>
    <row r="1341">
      <c r="B1341" s="3">
        <v>9201308.0</v>
      </c>
      <c r="C1341" s="3">
        <v>7.71</v>
      </c>
      <c r="D1341" s="3">
        <v>134.9</v>
      </c>
      <c r="E1341" s="3"/>
    </row>
    <row r="1342">
      <c r="B1342" s="3">
        <v>9221311.0</v>
      </c>
      <c r="C1342" s="3">
        <v>7.71</v>
      </c>
      <c r="D1342" s="3">
        <v>135.0</v>
      </c>
      <c r="E1342" s="3"/>
    </row>
    <row r="1343">
      <c r="B1343" s="3">
        <v>9241314.0</v>
      </c>
      <c r="C1343" s="3">
        <v>7.7</v>
      </c>
      <c r="D1343" s="3">
        <v>134.9</v>
      </c>
      <c r="E1343" s="3"/>
    </row>
    <row r="1344">
      <c r="B1344" s="3">
        <v>9261317.0</v>
      </c>
      <c r="C1344" s="3">
        <v>7.7</v>
      </c>
      <c r="D1344" s="3">
        <v>134.9</v>
      </c>
      <c r="E1344" s="3"/>
    </row>
    <row r="1345">
      <c r="B1345" s="3">
        <v>9281319.0</v>
      </c>
      <c r="C1345" s="3">
        <v>7.7</v>
      </c>
      <c r="D1345" s="3">
        <v>135.0</v>
      </c>
      <c r="E1345" s="3"/>
    </row>
    <row r="1346">
      <c r="B1346" s="3">
        <v>9301322.0</v>
      </c>
      <c r="C1346" s="3">
        <v>7.7</v>
      </c>
      <c r="D1346" s="3">
        <v>134.9</v>
      </c>
      <c r="E1346" s="3"/>
    </row>
    <row r="1347">
      <c r="B1347" s="3">
        <v>9321325.0</v>
      </c>
      <c r="C1347" s="3">
        <v>7.7</v>
      </c>
      <c r="D1347" s="3">
        <v>134.9</v>
      </c>
      <c r="E1347" s="3"/>
    </row>
    <row r="1348">
      <c r="B1348" s="3">
        <v>9341328.0</v>
      </c>
      <c r="C1348" s="3">
        <v>7.7</v>
      </c>
      <c r="D1348" s="3">
        <v>134.9</v>
      </c>
      <c r="E1348" s="3"/>
    </row>
    <row r="1349">
      <c r="B1349" s="3">
        <v>9361331.0</v>
      </c>
      <c r="C1349" s="3">
        <v>7.7</v>
      </c>
      <c r="D1349" s="3">
        <v>134.8</v>
      </c>
      <c r="E1349" s="3"/>
    </row>
    <row r="1350">
      <c r="B1350" s="3">
        <v>9381334.0</v>
      </c>
      <c r="C1350" s="3">
        <v>7.7</v>
      </c>
      <c r="D1350" s="3">
        <v>134.8</v>
      </c>
      <c r="E1350" s="3"/>
    </row>
    <row r="1351">
      <c r="B1351" s="3">
        <v>9401336.0</v>
      </c>
      <c r="C1351" s="3">
        <v>7.7</v>
      </c>
      <c r="D1351" s="3">
        <v>134.8</v>
      </c>
      <c r="E1351" s="3"/>
    </row>
    <row r="1352">
      <c r="B1352" s="3">
        <v>9421339.0</v>
      </c>
      <c r="C1352" s="3">
        <v>7.7</v>
      </c>
      <c r="D1352" s="3">
        <v>134.8</v>
      </c>
      <c r="E1352" s="3"/>
    </row>
    <row r="1353">
      <c r="B1353" s="3">
        <v>9441342.0</v>
      </c>
      <c r="C1353" s="3">
        <v>7.7</v>
      </c>
      <c r="D1353" s="3">
        <v>134.8</v>
      </c>
      <c r="E1353" s="3"/>
    </row>
    <row r="1354">
      <c r="B1354" s="3">
        <v>9461345.0</v>
      </c>
      <c r="C1354" s="3">
        <v>7.7</v>
      </c>
      <c r="D1354" s="3">
        <v>134.8</v>
      </c>
      <c r="E1354" s="3"/>
    </row>
    <row r="1355">
      <c r="B1355" s="3">
        <v>9481348.0</v>
      </c>
      <c r="C1355" s="3">
        <v>7.7</v>
      </c>
      <c r="D1355" s="3">
        <v>134.8</v>
      </c>
      <c r="E1355" s="3"/>
    </row>
    <row r="1356">
      <c r="B1356" s="3">
        <v>9501350.0</v>
      </c>
      <c r="C1356" s="3">
        <v>7.7</v>
      </c>
      <c r="D1356" s="3">
        <v>134.8</v>
      </c>
      <c r="E1356" s="3"/>
    </row>
    <row r="1357">
      <c r="B1357" s="3">
        <v>9521353.0</v>
      </c>
      <c r="C1357" s="3">
        <v>7.7</v>
      </c>
      <c r="D1357" s="3">
        <v>134.8</v>
      </c>
      <c r="E1357" s="3"/>
    </row>
    <row r="1358">
      <c r="B1358" s="3">
        <v>9541356.0</v>
      </c>
      <c r="C1358" s="3">
        <v>7.7</v>
      </c>
      <c r="D1358" s="3">
        <v>134.7</v>
      </c>
      <c r="E1358" s="3"/>
    </row>
    <row r="1359">
      <c r="B1359" s="3">
        <v>9561359.0</v>
      </c>
      <c r="C1359" s="3">
        <v>7.7</v>
      </c>
      <c r="D1359" s="3">
        <v>134.7</v>
      </c>
      <c r="E1359" s="3"/>
    </row>
    <row r="1360">
      <c r="B1360" s="3">
        <v>9581362.0</v>
      </c>
      <c r="C1360" s="3">
        <v>7.7</v>
      </c>
      <c r="D1360" s="3">
        <v>134.7</v>
      </c>
      <c r="E1360" s="3"/>
    </row>
    <row r="1361">
      <c r="B1361" s="3">
        <v>9601364.0</v>
      </c>
      <c r="C1361" s="3">
        <v>7.69</v>
      </c>
      <c r="D1361" s="3">
        <v>134.7</v>
      </c>
      <c r="E1361" s="3"/>
    </row>
    <row r="1362">
      <c r="B1362" s="3">
        <v>9621367.0</v>
      </c>
      <c r="C1362" s="3">
        <v>7.7</v>
      </c>
      <c r="D1362" s="3">
        <v>134.7</v>
      </c>
      <c r="E1362" s="3"/>
    </row>
    <row r="1363">
      <c r="B1363" s="3">
        <v>9641370.0</v>
      </c>
      <c r="C1363" s="3">
        <v>7.7</v>
      </c>
      <c r="D1363" s="3">
        <v>134.7</v>
      </c>
      <c r="E1363" s="3"/>
    </row>
    <row r="1364">
      <c r="B1364" s="3">
        <v>9661373.0</v>
      </c>
      <c r="C1364" s="3">
        <v>7.69</v>
      </c>
      <c r="D1364" s="3">
        <v>134.7</v>
      </c>
      <c r="E1364" s="3"/>
    </row>
    <row r="1365">
      <c r="B1365" s="3">
        <v>9681376.0</v>
      </c>
      <c r="C1365" s="3">
        <v>7.69</v>
      </c>
      <c r="D1365" s="3">
        <v>134.6</v>
      </c>
      <c r="E1365" s="3"/>
    </row>
    <row r="1366">
      <c r="B1366" s="3">
        <v>9701379.0</v>
      </c>
      <c r="C1366" s="3">
        <v>7.69</v>
      </c>
      <c r="D1366" s="3">
        <v>134.7</v>
      </c>
      <c r="E1366" s="3"/>
    </row>
    <row r="1367">
      <c r="B1367" s="3">
        <v>9721381.0</v>
      </c>
      <c r="C1367" s="3">
        <v>7.69</v>
      </c>
      <c r="D1367" s="3">
        <v>134.7</v>
      </c>
      <c r="E1367" s="3"/>
    </row>
    <row r="1368">
      <c r="B1368" s="3">
        <v>9741385.0</v>
      </c>
      <c r="C1368" s="3">
        <v>7.69</v>
      </c>
      <c r="D1368" s="3">
        <v>134.6</v>
      </c>
      <c r="E1368" s="3"/>
    </row>
    <row r="1369">
      <c r="B1369" s="3">
        <v>9761388.0</v>
      </c>
      <c r="C1369" s="3">
        <v>7.69</v>
      </c>
      <c r="D1369" s="3">
        <v>134.7</v>
      </c>
      <c r="E1369" s="3"/>
    </row>
    <row r="1370">
      <c r="B1370" s="3">
        <v>9781391.0</v>
      </c>
      <c r="C1370" s="3">
        <v>7.69</v>
      </c>
      <c r="D1370" s="3">
        <v>134.7</v>
      </c>
      <c r="E1370" s="3"/>
    </row>
    <row r="1371">
      <c r="B1371" s="3">
        <v>9801394.0</v>
      </c>
      <c r="C1371" s="3">
        <v>7.69</v>
      </c>
      <c r="D1371" s="3">
        <v>134.6</v>
      </c>
      <c r="E1371" s="3"/>
    </row>
    <row r="1372">
      <c r="B1372" s="3">
        <v>9821396.0</v>
      </c>
      <c r="C1372" s="3">
        <v>7.69</v>
      </c>
      <c r="D1372" s="3">
        <v>134.6</v>
      </c>
      <c r="E1372" s="3"/>
    </row>
    <row r="1373">
      <c r="B1373" s="3">
        <v>9841399.0</v>
      </c>
      <c r="C1373" s="3">
        <v>7.69</v>
      </c>
      <c r="D1373" s="3">
        <v>134.6</v>
      </c>
      <c r="E1373" s="3"/>
    </row>
    <row r="1374">
      <c r="B1374" s="3">
        <v>9861402.0</v>
      </c>
      <c r="C1374" s="3">
        <v>7.69</v>
      </c>
      <c r="D1374" s="3">
        <v>134.6</v>
      </c>
      <c r="E1374" s="3"/>
    </row>
    <row r="1375">
      <c r="B1375" s="3">
        <v>9881405.0</v>
      </c>
      <c r="C1375" s="3">
        <v>7.69</v>
      </c>
      <c r="D1375" s="3">
        <v>134.6</v>
      </c>
      <c r="E1375" s="3"/>
    </row>
    <row r="1376">
      <c r="B1376" s="3">
        <v>9901408.0</v>
      </c>
      <c r="C1376" s="3">
        <v>7.69</v>
      </c>
      <c r="D1376" s="3">
        <v>134.6</v>
      </c>
      <c r="E1376" s="3"/>
    </row>
    <row r="1377">
      <c r="B1377" s="3">
        <v>9921411.0</v>
      </c>
      <c r="C1377" s="3">
        <v>7.69</v>
      </c>
      <c r="D1377" s="3">
        <v>134.6</v>
      </c>
      <c r="E1377" s="3"/>
    </row>
    <row r="1378">
      <c r="B1378" s="3">
        <v>9941413.0</v>
      </c>
      <c r="C1378" s="3">
        <v>7.69</v>
      </c>
      <c r="D1378" s="3">
        <v>134.6</v>
      </c>
      <c r="E1378" s="3"/>
    </row>
    <row r="1379">
      <c r="B1379" s="3">
        <v>9961416.0</v>
      </c>
      <c r="C1379" s="3">
        <v>7.68</v>
      </c>
      <c r="D1379" s="3">
        <v>134.6</v>
      </c>
      <c r="E1379" s="3"/>
    </row>
    <row r="1380">
      <c r="B1380" s="3">
        <v>9981419.0</v>
      </c>
      <c r="C1380" s="3">
        <v>7.68</v>
      </c>
      <c r="D1380" s="3">
        <v>134.5</v>
      </c>
      <c r="E1380" s="3"/>
    </row>
    <row r="1381">
      <c r="B1381" s="3">
        <v>1.0001422E7</v>
      </c>
      <c r="C1381" s="3">
        <v>7.68</v>
      </c>
      <c r="D1381" s="3">
        <v>134.6</v>
      </c>
      <c r="E1381" s="3"/>
    </row>
    <row r="1382">
      <c r="B1382" s="3">
        <v>1.0021425E7</v>
      </c>
      <c r="C1382" s="3">
        <v>7.68</v>
      </c>
      <c r="D1382" s="3">
        <v>134.5</v>
      </c>
      <c r="E1382" s="3"/>
    </row>
    <row r="1383">
      <c r="B1383" s="3">
        <v>1.0041427E7</v>
      </c>
      <c r="C1383" s="3">
        <v>7.68</v>
      </c>
      <c r="D1383" s="3">
        <v>134.6</v>
      </c>
      <c r="E1383" s="3"/>
    </row>
    <row r="1384">
      <c r="B1384" s="3">
        <v>1.006143E7</v>
      </c>
      <c r="C1384" s="3">
        <v>7.68</v>
      </c>
      <c r="D1384" s="3">
        <v>134.5</v>
      </c>
      <c r="E1384" s="3"/>
    </row>
    <row r="1385">
      <c r="B1385" s="3">
        <v>1.0081433E7</v>
      </c>
      <c r="C1385" s="3">
        <v>7.68</v>
      </c>
      <c r="D1385" s="3">
        <v>134.5</v>
      </c>
      <c r="E1385" s="3"/>
    </row>
    <row r="1386">
      <c r="B1386" s="3">
        <v>1.0101436E7</v>
      </c>
      <c r="C1386" s="3">
        <v>7.68</v>
      </c>
      <c r="D1386" s="3">
        <v>134.5</v>
      </c>
      <c r="E1386" s="3"/>
    </row>
    <row r="1387">
      <c r="B1387" s="3">
        <v>1.0121439E7</v>
      </c>
      <c r="C1387" s="3">
        <v>7.68</v>
      </c>
      <c r="D1387" s="3">
        <v>134.5</v>
      </c>
      <c r="E1387" s="3"/>
    </row>
    <row r="1388">
      <c r="B1388" s="3">
        <v>1.0141442E7</v>
      </c>
      <c r="C1388" s="3">
        <v>7.68</v>
      </c>
      <c r="D1388" s="3">
        <v>134.5</v>
      </c>
      <c r="E1388" s="3"/>
    </row>
    <row r="1389">
      <c r="B1389" s="3">
        <v>1.0161444E7</v>
      </c>
      <c r="C1389" s="3">
        <v>7.68</v>
      </c>
      <c r="D1389" s="3">
        <v>134.5</v>
      </c>
      <c r="E1389" s="3"/>
    </row>
    <row r="1390">
      <c r="B1390" s="3">
        <v>1.0181447E7</v>
      </c>
      <c r="C1390" s="3">
        <v>7.68</v>
      </c>
      <c r="D1390" s="3">
        <v>134.5</v>
      </c>
      <c r="E1390" s="3"/>
    </row>
    <row r="1391">
      <c r="B1391" s="3">
        <v>1.0201451E7</v>
      </c>
      <c r="C1391" s="3">
        <v>7.68</v>
      </c>
      <c r="D1391" s="3">
        <v>134.5</v>
      </c>
      <c r="E1391" s="3"/>
    </row>
    <row r="1392">
      <c r="B1392" s="3">
        <v>1.0221454E7</v>
      </c>
      <c r="C1392" s="3">
        <v>7.68</v>
      </c>
      <c r="D1392" s="3">
        <v>134.5</v>
      </c>
      <c r="E1392" s="3"/>
    </row>
    <row r="1393">
      <c r="B1393" s="3">
        <v>1.0241457E7</v>
      </c>
      <c r="C1393" s="3">
        <v>7.68</v>
      </c>
      <c r="D1393" s="3">
        <v>134.4</v>
      </c>
      <c r="E1393" s="3"/>
    </row>
    <row r="1394">
      <c r="B1394" s="3">
        <v>1.0261459E7</v>
      </c>
      <c r="C1394" s="3">
        <v>7.68</v>
      </c>
      <c r="D1394" s="3">
        <v>134.4</v>
      </c>
      <c r="E1394" s="3"/>
    </row>
    <row r="1395">
      <c r="B1395" s="3">
        <v>1.0281462E7</v>
      </c>
      <c r="C1395" s="3">
        <v>7.68</v>
      </c>
      <c r="D1395" s="3">
        <v>134.4</v>
      </c>
      <c r="E1395" s="3"/>
    </row>
    <row r="1396">
      <c r="B1396" s="3">
        <v>1.0301465E7</v>
      </c>
      <c r="C1396" s="3">
        <v>7.68</v>
      </c>
      <c r="D1396" s="3">
        <v>134.4</v>
      </c>
      <c r="E1396" s="3"/>
    </row>
    <row r="1397">
      <c r="B1397" s="3">
        <v>1.0321468E7</v>
      </c>
      <c r="C1397" s="3">
        <v>7.68</v>
      </c>
      <c r="D1397" s="3">
        <v>134.4</v>
      </c>
      <c r="E1397" s="3"/>
    </row>
    <row r="1398">
      <c r="B1398" s="3">
        <v>1.0341471E7</v>
      </c>
      <c r="C1398" s="3">
        <v>7.68</v>
      </c>
      <c r="D1398" s="3">
        <v>134.4</v>
      </c>
      <c r="E1398" s="3"/>
    </row>
    <row r="1399">
      <c r="B1399" s="3">
        <v>1.0361474E7</v>
      </c>
      <c r="C1399" s="3">
        <v>7.68</v>
      </c>
      <c r="D1399" s="3">
        <v>134.4</v>
      </c>
      <c r="E1399" s="3"/>
    </row>
    <row r="1400">
      <c r="B1400" s="3">
        <v>1.0381476E7</v>
      </c>
      <c r="C1400" s="3">
        <v>7.68</v>
      </c>
      <c r="D1400" s="3">
        <v>134.4</v>
      </c>
      <c r="E1400" s="3"/>
    </row>
    <row r="1401">
      <c r="B1401" s="3">
        <v>1.0401479E7</v>
      </c>
      <c r="C1401" s="3">
        <v>7.68</v>
      </c>
      <c r="D1401" s="3">
        <v>134.3</v>
      </c>
      <c r="E1401" s="3"/>
    </row>
    <row r="1402">
      <c r="B1402" s="3">
        <v>1.0421482E7</v>
      </c>
      <c r="C1402" s="3">
        <v>7.68</v>
      </c>
      <c r="D1402" s="3">
        <v>134.4</v>
      </c>
      <c r="E1402" s="3"/>
    </row>
    <row r="1403">
      <c r="B1403" s="3">
        <v>1.0441485E7</v>
      </c>
      <c r="C1403" s="3">
        <v>7.68</v>
      </c>
      <c r="D1403" s="3">
        <v>134.3</v>
      </c>
      <c r="E1403" s="3"/>
    </row>
    <row r="1404">
      <c r="B1404" s="3">
        <v>1.0461489E7</v>
      </c>
      <c r="C1404" s="3">
        <v>7.68</v>
      </c>
      <c r="D1404" s="3">
        <v>134.3</v>
      </c>
      <c r="E1404" s="3"/>
    </row>
    <row r="1405">
      <c r="B1405" s="3">
        <v>1.0481491E7</v>
      </c>
      <c r="C1405" s="3">
        <v>7.68</v>
      </c>
      <c r="D1405" s="3">
        <v>134.4</v>
      </c>
      <c r="E1405" s="3"/>
    </row>
    <row r="1406">
      <c r="B1406" s="3">
        <v>1.0501494E7</v>
      </c>
      <c r="C1406" s="3">
        <v>7.67</v>
      </c>
      <c r="D1406" s="3">
        <v>134.4</v>
      </c>
      <c r="E1406" s="3"/>
    </row>
    <row r="1407">
      <c r="B1407" s="3">
        <v>1.0521497E7</v>
      </c>
      <c r="C1407" s="3">
        <v>7.68</v>
      </c>
      <c r="D1407" s="3">
        <v>134.4</v>
      </c>
      <c r="E1407" s="3"/>
    </row>
    <row r="1408">
      <c r="B1408" s="3">
        <v>1.05415E7</v>
      </c>
      <c r="C1408" s="3">
        <v>7.67</v>
      </c>
      <c r="D1408" s="3">
        <v>134.3</v>
      </c>
      <c r="E1408" s="3"/>
    </row>
    <row r="1409">
      <c r="B1409" s="3">
        <v>1.0561503E7</v>
      </c>
      <c r="C1409" s="3">
        <v>7.67</v>
      </c>
      <c r="D1409" s="3">
        <v>134.3</v>
      </c>
      <c r="E1409" s="3"/>
    </row>
    <row r="1410">
      <c r="B1410" s="3">
        <v>1.0581506E7</v>
      </c>
      <c r="C1410" s="3">
        <v>7.67</v>
      </c>
      <c r="D1410" s="3">
        <v>134.3</v>
      </c>
      <c r="E1410" s="3"/>
    </row>
    <row r="1411">
      <c r="B1411" s="3">
        <v>1.0601508E7</v>
      </c>
      <c r="C1411" s="3">
        <v>7.67</v>
      </c>
      <c r="D1411" s="3">
        <v>134.3</v>
      </c>
      <c r="E1411" s="3"/>
    </row>
    <row r="1412">
      <c r="B1412" s="3">
        <v>1.0621511E7</v>
      </c>
      <c r="C1412" s="3">
        <v>7.67</v>
      </c>
      <c r="D1412" s="3">
        <v>134.3</v>
      </c>
      <c r="E1412" s="3"/>
    </row>
    <row r="1413">
      <c r="B1413" s="3">
        <v>1.0641514E7</v>
      </c>
      <c r="C1413" s="3">
        <v>7.67</v>
      </c>
      <c r="D1413" s="3">
        <v>134.3</v>
      </c>
      <c r="E1413" s="3"/>
    </row>
    <row r="1414">
      <c r="B1414" s="3">
        <v>1.0661517E7</v>
      </c>
      <c r="C1414" s="3">
        <v>7.67</v>
      </c>
      <c r="D1414" s="3">
        <v>134.3</v>
      </c>
      <c r="E1414" s="3"/>
    </row>
    <row r="1415">
      <c r="B1415" s="3">
        <v>1.068152E7</v>
      </c>
      <c r="C1415" s="3">
        <v>7.67</v>
      </c>
      <c r="D1415" s="3">
        <v>134.3</v>
      </c>
      <c r="E1415" s="3"/>
    </row>
    <row r="1416">
      <c r="B1416" s="3">
        <v>1.0701522E7</v>
      </c>
      <c r="C1416" s="3">
        <v>7.67</v>
      </c>
      <c r="D1416" s="3">
        <v>134.3</v>
      </c>
      <c r="E1416" s="3"/>
    </row>
    <row r="1417">
      <c r="B1417" s="3">
        <v>1.0721525E7</v>
      </c>
      <c r="C1417" s="3">
        <v>7.67</v>
      </c>
      <c r="D1417" s="3">
        <v>134.3</v>
      </c>
      <c r="E1417" s="3"/>
    </row>
    <row r="1418">
      <c r="B1418" s="3">
        <v>1.0741529E7</v>
      </c>
      <c r="C1418" s="3">
        <v>7.67</v>
      </c>
      <c r="D1418" s="3">
        <v>134.2</v>
      </c>
      <c r="E1418" s="3"/>
    </row>
    <row r="1419">
      <c r="B1419" s="3">
        <v>1.0761532E7</v>
      </c>
      <c r="C1419" s="3">
        <v>7.67</v>
      </c>
      <c r="D1419" s="3">
        <v>134.2</v>
      </c>
      <c r="E1419" s="3"/>
    </row>
    <row r="1420">
      <c r="B1420" s="3">
        <v>1.0781535E7</v>
      </c>
      <c r="C1420" s="3">
        <v>7.67</v>
      </c>
      <c r="D1420" s="3">
        <v>134.2</v>
      </c>
      <c r="E1420" s="3"/>
    </row>
    <row r="1421">
      <c r="B1421" s="3">
        <v>1.0801538E7</v>
      </c>
      <c r="C1421" s="3">
        <v>7.67</v>
      </c>
      <c r="D1421" s="3">
        <v>134.3</v>
      </c>
      <c r="E1421" s="3"/>
    </row>
    <row r="1422">
      <c r="B1422" s="3">
        <v>1.082154E7</v>
      </c>
      <c r="C1422" s="3">
        <v>7.66</v>
      </c>
      <c r="D1422" s="3">
        <v>134.3</v>
      </c>
      <c r="E1422" s="3"/>
    </row>
    <row r="1423">
      <c r="B1423" s="3">
        <v>1.0841543E7</v>
      </c>
      <c r="C1423" s="3">
        <v>7.67</v>
      </c>
      <c r="D1423" s="3">
        <v>134.2</v>
      </c>
      <c r="E1423" s="3"/>
    </row>
    <row r="1424">
      <c r="B1424" s="3">
        <v>1.0861546E7</v>
      </c>
      <c r="C1424" s="3">
        <v>7.66</v>
      </c>
      <c r="D1424" s="3">
        <v>134.2</v>
      </c>
      <c r="E1424" s="3"/>
    </row>
    <row r="1425">
      <c r="B1425" s="3">
        <v>1.0881549E7</v>
      </c>
      <c r="C1425" s="3">
        <v>7.67</v>
      </c>
      <c r="D1425" s="3">
        <v>134.2</v>
      </c>
      <c r="E1425" s="3"/>
    </row>
    <row r="1426">
      <c r="B1426" s="3">
        <v>1.0901552E7</v>
      </c>
      <c r="C1426" s="3">
        <v>7.66</v>
      </c>
      <c r="D1426" s="3">
        <v>134.2</v>
      </c>
      <c r="E1426" s="3"/>
    </row>
    <row r="1427">
      <c r="B1427" s="3">
        <v>1.0921554E7</v>
      </c>
      <c r="C1427" s="3">
        <v>7.66</v>
      </c>
      <c r="D1427" s="3">
        <v>134.2</v>
      </c>
      <c r="E1427" s="3"/>
    </row>
    <row r="1428">
      <c r="B1428" s="3">
        <v>1.0941557E7</v>
      </c>
      <c r="C1428" s="3">
        <v>7.66</v>
      </c>
      <c r="D1428" s="3">
        <v>134.2</v>
      </c>
      <c r="E1428" s="3"/>
    </row>
    <row r="1429">
      <c r="B1429" s="3">
        <v>1.096156E7</v>
      </c>
      <c r="C1429" s="3">
        <v>7.66</v>
      </c>
      <c r="D1429" s="3">
        <v>134.1</v>
      </c>
      <c r="E1429" s="3"/>
    </row>
    <row r="1430">
      <c r="B1430" s="3">
        <v>1.0981563E7</v>
      </c>
      <c r="C1430" s="3">
        <v>7.66</v>
      </c>
      <c r="D1430" s="3">
        <v>134.1</v>
      </c>
      <c r="E1430" s="3"/>
    </row>
    <row r="1431">
      <c r="B1431" s="3">
        <v>1.1001566E7</v>
      </c>
      <c r="C1431" s="3">
        <v>7.66</v>
      </c>
      <c r="D1431" s="3">
        <v>134.2</v>
      </c>
      <c r="E1431" s="3"/>
    </row>
    <row r="1432">
      <c r="B1432" s="3">
        <v>1.102157E7</v>
      </c>
      <c r="C1432" s="3">
        <v>7.66</v>
      </c>
      <c r="D1432" s="3">
        <v>134.2</v>
      </c>
      <c r="E1432" s="3"/>
    </row>
    <row r="1433">
      <c r="B1433" s="3">
        <v>1.1041572E7</v>
      </c>
      <c r="C1433" s="3">
        <v>7.66</v>
      </c>
      <c r="D1433" s="3">
        <v>134.1</v>
      </c>
      <c r="E1433" s="3"/>
    </row>
    <row r="1434">
      <c r="B1434" s="3">
        <v>1.1061575E7</v>
      </c>
      <c r="C1434" s="3">
        <v>7.66</v>
      </c>
      <c r="D1434" s="3">
        <v>134.1</v>
      </c>
      <c r="E1434" s="3"/>
    </row>
    <row r="1435">
      <c r="B1435" s="3">
        <v>1.1081578E7</v>
      </c>
      <c r="C1435" s="3">
        <v>7.66</v>
      </c>
      <c r="D1435" s="3">
        <v>134.1</v>
      </c>
      <c r="E1435" s="3"/>
    </row>
    <row r="1436">
      <c r="B1436" s="3">
        <v>1.1101581E7</v>
      </c>
      <c r="C1436" s="3">
        <v>7.66</v>
      </c>
      <c r="D1436" s="3">
        <v>134.1</v>
      </c>
      <c r="E1436" s="3"/>
    </row>
    <row r="1437">
      <c r="B1437" s="3">
        <v>1.1121584E7</v>
      </c>
      <c r="C1437" s="3">
        <v>7.66</v>
      </c>
      <c r="D1437" s="3">
        <v>134.1</v>
      </c>
      <c r="E1437" s="3"/>
    </row>
    <row r="1438">
      <c r="B1438" s="3">
        <v>1.1141586E7</v>
      </c>
      <c r="C1438" s="3">
        <v>7.66</v>
      </c>
      <c r="D1438" s="3">
        <v>134.2</v>
      </c>
      <c r="E1438" s="3"/>
    </row>
    <row r="1439">
      <c r="B1439" s="3">
        <v>1.1161589E7</v>
      </c>
      <c r="C1439" s="3">
        <v>7.66</v>
      </c>
      <c r="D1439" s="3">
        <v>134.1</v>
      </c>
      <c r="E1439" s="3"/>
    </row>
    <row r="1440">
      <c r="B1440" s="3">
        <v>1.1181592E7</v>
      </c>
      <c r="C1440" s="3">
        <v>7.66</v>
      </c>
      <c r="D1440" s="3">
        <v>134.1</v>
      </c>
      <c r="E1440" s="3"/>
    </row>
    <row r="1441">
      <c r="B1441" s="3">
        <v>1.1201595E7</v>
      </c>
      <c r="C1441" s="3">
        <v>7.66</v>
      </c>
      <c r="D1441" s="3">
        <v>134.1</v>
      </c>
      <c r="E1441" s="3"/>
    </row>
    <row r="1442">
      <c r="B1442" s="3">
        <v>1.1221598E7</v>
      </c>
      <c r="C1442" s="3">
        <v>7.66</v>
      </c>
      <c r="D1442" s="3">
        <v>134.1</v>
      </c>
      <c r="E1442" s="3"/>
    </row>
    <row r="1443">
      <c r="B1443" s="3">
        <v>1.1241601E7</v>
      </c>
      <c r="C1443" s="3">
        <v>7.66</v>
      </c>
      <c r="D1443" s="3">
        <v>134.1</v>
      </c>
      <c r="E1443" s="3"/>
    </row>
    <row r="1444">
      <c r="B1444" s="3">
        <v>1.1261603E7</v>
      </c>
      <c r="C1444" s="3">
        <v>7.66</v>
      </c>
      <c r="D1444" s="3">
        <v>134.1</v>
      </c>
      <c r="E1444" s="3"/>
    </row>
    <row r="1445">
      <c r="B1445" s="3">
        <v>1.1281607E7</v>
      </c>
      <c r="C1445" s="3">
        <v>7.66</v>
      </c>
      <c r="D1445" s="3">
        <v>134.0</v>
      </c>
      <c r="E1445" s="3"/>
    </row>
    <row r="1446">
      <c r="B1446" s="3">
        <v>1.130161E7</v>
      </c>
      <c r="C1446" s="3">
        <v>7.66</v>
      </c>
      <c r="D1446" s="3">
        <v>134.1</v>
      </c>
      <c r="E1446" s="3"/>
    </row>
    <row r="1447">
      <c r="B1447" s="3">
        <v>1.1321613E7</v>
      </c>
      <c r="C1447" s="3">
        <v>7.66</v>
      </c>
      <c r="D1447" s="3">
        <v>134.0</v>
      </c>
      <c r="E1447" s="3"/>
    </row>
    <row r="1448">
      <c r="B1448" s="3">
        <v>1.1341616E7</v>
      </c>
      <c r="C1448" s="3">
        <v>7.66</v>
      </c>
      <c r="D1448" s="3">
        <v>134.0</v>
      </c>
      <c r="E1448" s="3"/>
    </row>
    <row r="1449">
      <c r="B1449" s="3">
        <v>1.1361618E7</v>
      </c>
      <c r="C1449" s="3">
        <v>7.66</v>
      </c>
      <c r="D1449" s="3">
        <v>134.0</v>
      </c>
      <c r="E1449" s="3"/>
    </row>
    <row r="1450">
      <c r="B1450" s="3">
        <v>1.1381621E7</v>
      </c>
      <c r="C1450" s="3">
        <v>7.66</v>
      </c>
      <c r="D1450" s="3">
        <v>134.0</v>
      </c>
      <c r="E1450" s="3"/>
    </row>
    <row r="1451">
      <c r="B1451" s="3">
        <v>1.1401624E7</v>
      </c>
      <c r="C1451" s="3">
        <v>7.65</v>
      </c>
      <c r="D1451" s="3">
        <v>134.0</v>
      </c>
      <c r="E1451" s="3"/>
    </row>
    <row r="1452">
      <c r="B1452" s="3">
        <v>1.1421627E7</v>
      </c>
      <c r="C1452" s="3">
        <v>7.66</v>
      </c>
      <c r="D1452" s="3">
        <v>134.0</v>
      </c>
      <c r="E1452" s="3"/>
    </row>
    <row r="1453">
      <c r="B1453" s="3">
        <v>1.144163E7</v>
      </c>
      <c r="C1453" s="3">
        <v>7.65</v>
      </c>
      <c r="D1453" s="3">
        <v>134.0</v>
      </c>
      <c r="E1453" s="3"/>
    </row>
    <row r="1454">
      <c r="B1454" s="3">
        <v>1.1461633E7</v>
      </c>
      <c r="C1454" s="3">
        <v>7.65</v>
      </c>
      <c r="D1454" s="3">
        <v>134.0</v>
      </c>
      <c r="E1454" s="3"/>
    </row>
    <row r="1455">
      <c r="B1455" s="3">
        <v>1.1481635E7</v>
      </c>
      <c r="C1455" s="3">
        <v>7.65</v>
      </c>
      <c r="D1455" s="3">
        <v>134.0</v>
      </c>
      <c r="E1455" s="3"/>
    </row>
    <row r="1456">
      <c r="B1456" s="3">
        <v>1.1501638E7</v>
      </c>
      <c r="C1456" s="3">
        <v>7.66</v>
      </c>
      <c r="D1456" s="3">
        <v>134.0</v>
      </c>
      <c r="E1456" s="3"/>
    </row>
    <row r="1457">
      <c r="B1457" s="3">
        <v>1.1521641E7</v>
      </c>
      <c r="C1457" s="3">
        <v>7.65</v>
      </c>
      <c r="D1457" s="3">
        <v>134.0</v>
      </c>
      <c r="E1457" s="3"/>
    </row>
    <row r="1458">
      <c r="B1458" s="3">
        <v>1.1541644E7</v>
      </c>
      <c r="C1458" s="3">
        <v>7.66</v>
      </c>
      <c r="D1458" s="3">
        <v>133.9</v>
      </c>
      <c r="E1458" s="3"/>
    </row>
    <row r="1459">
      <c r="B1459" s="3">
        <v>1.1561647E7</v>
      </c>
      <c r="C1459" s="3">
        <v>7.65</v>
      </c>
      <c r="D1459" s="3">
        <v>133.9</v>
      </c>
      <c r="E1459" s="3"/>
    </row>
    <row r="1460">
      <c r="B1460" s="3">
        <v>1.158165E7</v>
      </c>
      <c r="C1460" s="3">
        <v>7.65</v>
      </c>
      <c r="D1460" s="3">
        <v>133.9</v>
      </c>
      <c r="E1460" s="3"/>
    </row>
    <row r="1461">
      <c r="B1461" s="3">
        <v>1.1601653E7</v>
      </c>
      <c r="C1461" s="3">
        <v>7.65</v>
      </c>
      <c r="D1461" s="3">
        <v>133.9</v>
      </c>
      <c r="E1461" s="3"/>
    </row>
    <row r="1462">
      <c r="B1462" s="3">
        <v>1.1621656E7</v>
      </c>
      <c r="C1462" s="3">
        <v>7.65</v>
      </c>
      <c r="D1462" s="3">
        <v>133.9</v>
      </c>
      <c r="E1462" s="3"/>
    </row>
    <row r="1463">
      <c r="B1463" s="3">
        <v>1.1641659E7</v>
      </c>
      <c r="C1463" s="3">
        <v>7.65</v>
      </c>
      <c r="D1463" s="3">
        <v>133.9</v>
      </c>
      <c r="E1463" s="3"/>
    </row>
    <row r="1464">
      <c r="B1464" s="3">
        <v>1.1661662E7</v>
      </c>
      <c r="C1464" s="3">
        <v>7.65</v>
      </c>
      <c r="D1464" s="3">
        <v>134.0</v>
      </c>
      <c r="E1464" s="3"/>
    </row>
    <row r="1465">
      <c r="B1465" s="3">
        <v>1.1681665E7</v>
      </c>
      <c r="C1465" s="3">
        <v>7.65</v>
      </c>
      <c r="D1465" s="3">
        <v>134.0</v>
      </c>
      <c r="E1465" s="3"/>
    </row>
    <row r="1466">
      <c r="B1466" s="3">
        <v>1.1701667E7</v>
      </c>
      <c r="C1466" s="3">
        <v>7.65</v>
      </c>
      <c r="D1466" s="3">
        <v>133.9</v>
      </c>
      <c r="E1466" s="3"/>
    </row>
    <row r="1467">
      <c r="B1467" s="3">
        <v>1.172167E7</v>
      </c>
      <c r="C1467" s="3">
        <v>7.65</v>
      </c>
      <c r="D1467" s="3">
        <v>134.0</v>
      </c>
      <c r="E1467" s="3"/>
    </row>
    <row r="1468">
      <c r="B1468" s="3">
        <v>1.1741673E7</v>
      </c>
      <c r="C1468" s="3">
        <v>7.65</v>
      </c>
      <c r="D1468" s="3">
        <v>133.9</v>
      </c>
      <c r="E1468" s="3"/>
    </row>
    <row r="1469">
      <c r="B1469" s="3">
        <v>1.1761676E7</v>
      </c>
      <c r="C1469" s="3">
        <v>7.65</v>
      </c>
      <c r="D1469" s="3">
        <v>133.9</v>
      </c>
      <c r="E1469" s="3"/>
    </row>
    <row r="1470">
      <c r="B1470" s="3">
        <v>1.1781679E7</v>
      </c>
      <c r="C1470" s="3">
        <v>7.65</v>
      </c>
      <c r="D1470" s="3">
        <v>133.9</v>
      </c>
      <c r="E1470" s="3"/>
    </row>
    <row r="1471">
      <c r="B1471" s="3">
        <v>1.1801681E7</v>
      </c>
      <c r="C1471" s="3">
        <v>7.65</v>
      </c>
      <c r="D1471" s="3">
        <v>133.9</v>
      </c>
      <c r="E1471" s="3"/>
    </row>
    <row r="1472">
      <c r="B1472" s="3">
        <v>1.1821684E7</v>
      </c>
      <c r="C1472" s="3">
        <v>7.65</v>
      </c>
      <c r="D1472" s="3">
        <v>133.9</v>
      </c>
      <c r="E1472" s="3"/>
    </row>
    <row r="1473">
      <c r="B1473" s="3">
        <v>1.1841687E7</v>
      </c>
      <c r="C1473" s="3">
        <v>7.65</v>
      </c>
      <c r="D1473" s="3">
        <v>133.9</v>
      </c>
      <c r="E1473" s="3"/>
    </row>
    <row r="1474">
      <c r="B1474" s="3">
        <v>1.1861691E7</v>
      </c>
      <c r="C1474" s="3">
        <v>7.65</v>
      </c>
      <c r="D1474" s="3">
        <v>133.9</v>
      </c>
      <c r="E1474" s="3"/>
    </row>
    <row r="1475">
      <c r="B1475" s="3">
        <v>1.1881694E7</v>
      </c>
      <c r="C1475" s="3">
        <v>7.65</v>
      </c>
      <c r="D1475" s="3">
        <v>133.9</v>
      </c>
      <c r="E1475" s="3"/>
    </row>
    <row r="1476">
      <c r="B1476" s="3">
        <v>1.1901697E7</v>
      </c>
      <c r="C1476" s="3">
        <v>7.64</v>
      </c>
      <c r="D1476" s="3">
        <v>133.9</v>
      </c>
      <c r="E1476" s="3"/>
    </row>
    <row r="1477">
      <c r="B1477" s="3">
        <v>1.1921699E7</v>
      </c>
      <c r="C1477" s="3">
        <v>7.64</v>
      </c>
      <c r="D1477" s="3">
        <v>133.9</v>
      </c>
      <c r="E1477" s="3"/>
    </row>
    <row r="1478">
      <c r="B1478" s="3">
        <v>1.1941702E7</v>
      </c>
      <c r="C1478" s="3">
        <v>7.64</v>
      </c>
      <c r="D1478" s="3">
        <v>133.9</v>
      </c>
      <c r="E1478" s="3"/>
    </row>
    <row r="1479">
      <c r="B1479" s="3">
        <v>1.1961705E7</v>
      </c>
      <c r="C1479" s="3">
        <v>7.65</v>
      </c>
      <c r="D1479" s="3">
        <v>133.8</v>
      </c>
      <c r="E1479" s="3"/>
    </row>
    <row r="1480">
      <c r="B1480" s="3">
        <v>1.1981708E7</v>
      </c>
      <c r="C1480" s="3">
        <v>7.65</v>
      </c>
      <c r="D1480" s="3">
        <v>133.8</v>
      </c>
      <c r="E1480" s="3"/>
    </row>
    <row r="1481">
      <c r="B1481" s="3">
        <v>1.2001711E7</v>
      </c>
      <c r="C1481" s="3">
        <v>7.64</v>
      </c>
      <c r="D1481" s="3">
        <v>133.9</v>
      </c>
      <c r="E1481" s="3"/>
    </row>
    <row r="1482">
      <c r="B1482" s="3">
        <v>1.2021713E7</v>
      </c>
      <c r="C1482" s="3">
        <v>7.64</v>
      </c>
      <c r="D1482" s="3">
        <v>133.8</v>
      </c>
      <c r="E1482" s="3"/>
    </row>
    <row r="1483">
      <c r="B1483" s="3">
        <v>1.2041716E7</v>
      </c>
      <c r="C1483" s="3">
        <v>7.64</v>
      </c>
      <c r="D1483" s="3">
        <v>133.8</v>
      </c>
      <c r="E1483" s="3"/>
    </row>
    <row r="1484">
      <c r="B1484" s="3">
        <v>1.2061719E7</v>
      </c>
      <c r="C1484" s="3">
        <v>7.64</v>
      </c>
      <c r="D1484" s="3">
        <v>133.9</v>
      </c>
      <c r="E1484" s="3"/>
    </row>
    <row r="1485">
      <c r="B1485" s="3">
        <v>1.2081722E7</v>
      </c>
      <c r="C1485" s="3">
        <v>7.64</v>
      </c>
      <c r="D1485" s="3">
        <v>133.7</v>
      </c>
      <c r="E1485" s="3"/>
    </row>
    <row r="1486">
      <c r="B1486" s="3">
        <v>1.2101725E7</v>
      </c>
      <c r="C1486" s="3">
        <v>7.64</v>
      </c>
      <c r="D1486" s="3">
        <v>133.8</v>
      </c>
      <c r="E1486" s="3"/>
    </row>
    <row r="1487">
      <c r="B1487" s="3">
        <v>1.2121728E7</v>
      </c>
      <c r="C1487" s="3">
        <v>7.64</v>
      </c>
      <c r="D1487" s="3">
        <v>133.8</v>
      </c>
      <c r="E1487" s="3"/>
    </row>
    <row r="1488">
      <c r="B1488" s="3">
        <v>1.2141731E7</v>
      </c>
      <c r="C1488" s="3">
        <v>7.64</v>
      </c>
      <c r="D1488" s="3">
        <v>133.7</v>
      </c>
      <c r="E1488" s="3"/>
    </row>
    <row r="1489">
      <c r="B1489" s="3">
        <v>1.2161734E7</v>
      </c>
      <c r="C1489" s="3">
        <v>7.64</v>
      </c>
      <c r="D1489" s="3">
        <v>133.8</v>
      </c>
      <c r="E1489" s="3"/>
    </row>
    <row r="1490">
      <c r="B1490" s="3">
        <v>1.2181737E7</v>
      </c>
      <c r="C1490" s="3">
        <v>7.64</v>
      </c>
      <c r="D1490" s="3">
        <v>133.8</v>
      </c>
      <c r="E1490" s="3"/>
    </row>
    <row r="1491">
      <c r="B1491" s="3">
        <v>1.220174E7</v>
      </c>
      <c r="C1491" s="3">
        <v>7.64</v>
      </c>
      <c r="D1491" s="3">
        <v>133.8</v>
      </c>
      <c r="E1491" s="3"/>
    </row>
    <row r="1492">
      <c r="B1492" s="3">
        <v>1.2221743E7</v>
      </c>
      <c r="C1492" s="3">
        <v>7.64</v>
      </c>
      <c r="D1492" s="3">
        <v>133.8</v>
      </c>
      <c r="E1492" s="3"/>
    </row>
    <row r="1493">
      <c r="B1493" s="3">
        <v>1.2241745E7</v>
      </c>
      <c r="C1493" s="3">
        <v>7.64</v>
      </c>
      <c r="D1493" s="3">
        <v>133.7</v>
      </c>
      <c r="E1493" s="3"/>
    </row>
    <row r="1494">
      <c r="B1494" s="3">
        <v>1.2261748E7</v>
      </c>
      <c r="C1494" s="3">
        <v>7.64</v>
      </c>
      <c r="D1494" s="3">
        <v>133.8</v>
      </c>
      <c r="E1494" s="3"/>
    </row>
    <row r="1495">
      <c r="B1495" s="3">
        <v>1.2281751E7</v>
      </c>
      <c r="C1495" s="3">
        <v>7.64</v>
      </c>
      <c r="D1495" s="3">
        <v>133.8</v>
      </c>
      <c r="E1495" s="3"/>
    </row>
    <row r="1496">
      <c r="B1496" s="3">
        <v>1.2301754E7</v>
      </c>
      <c r="C1496" s="3">
        <v>7.64</v>
      </c>
      <c r="D1496" s="3">
        <v>133.8</v>
      </c>
      <c r="E1496" s="3"/>
    </row>
    <row r="1497">
      <c r="B1497" s="3">
        <v>1.2321757E7</v>
      </c>
      <c r="C1497" s="3">
        <v>7.64</v>
      </c>
      <c r="D1497" s="3">
        <v>133.7</v>
      </c>
      <c r="E1497" s="3"/>
    </row>
    <row r="1498">
      <c r="B1498" s="3">
        <v>1.234176E7</v>
      </c>
      <c r="C1498" s="3">
        <v>7.64</v>
      </c>
      <c r="D1498" s="3">
        <v>133.7</v>
      </c>
      <c r="E1498" s="3"/>
    </row>
    <row r="1499">
      <c r="B1499" s="3">
        <v>1.2361762E7</v>
      </c>
      <c r="C1499" s="3">
        <v>7.64</v>
      </c>
      <c r="D1499" s="3">
        <v>133.7</v>
      </c>
      <c r="E1499" s="3"/>
    </row>
    <row r="1500">
      <c r="B1500" s="3">
        <v>1.2381765E7</v>
      </c>
      <c r="C1500" s="3">
        <v>7.64</v>
      </c>
      <c r="D1500" s="3">
        <v>133.7</v>
      </c>
      <c r="E1500" s="3"/>
    </row>
    <row r="1501">
      <c r="B1501" s="3">
        <v>1.2401768E7</v>
      </c>
      <c r="C1501" s="3">
        <v>7.64</v>
      </c>
      <c r="D1501" s="3">
        <v>133.7</v>
      </c>
      <c r="E1501" s="3"/>
    </row>
    <row r="1502">
      <c r="B1502" s="3">
        <v>1.2421772E7</v>
      </c>
      <c r="C1502" s="3">
        <v>7.64</v>
      </c>
      <c r="D1502" s="3">
        <v>133.7</v>
      </c>
      <c r="E1502" s="3"/>
    </row>
    <row r="1503">
      <c r="B1503" s="3">
        <v>1.2441775E7</v>
      </c>
      <c r="C1503" s="3">
        <v>7.64</v>
      </c>
      <c r="D1503" s="3">
        <v>133.7</v>
      </c>
      <c r="E1503" s="3"/>
    </row>
    <row r="1504">
      <c r="B1504" s="3">
        <v>1.2461777E7</v>
      </c>
      <c r="C1504" s="3">
        <v>7.64</v>
      </c>
      <c r="D1504" s="3">
        <v>133.7</v>
      </c>
      <c r="E1504" s="3"/>
    </row>
    <row r="1505">
      <c r="B1505" s="3">
        <v>1.248178E7</v>
      </c>
      <c r="C1505" s="3">
        <v>7.64</v>
      </c>
      <c r="D1505" s="3">
        <v>133.8</v>
      </c>
      <c r="E1505" s="3"/>
    </row>
    <row r="1506">
      <c r="B1506" s="3">
        <v>1.2501783E7</v>
      </c>
      <c r="C1506" s="3">
        <v>7.64</v>
      </c>
      <c r="D1506" s="3">
        <v>133.7</v>
      </c>
      <c r="E1506" s="3"/>
    </row>
    <row r="1507">
      <c r="B1507" s="3">
        <v>1.2521786E7</v>
      </c>
      <c r="C1507" s="3">
        <v>7.64</v>
      </c>
      <c r="D1507" s="3">
        <v>133.7</v>
      </c>
      <c r="E1507" s="3"/>
    </row>
    <row r="1508">
      <c r="B1508" s="3">
        <v>1.2541789E7</v>
      </c>
      <c r="C1508" s="3">
        <v>7.64</v>
      </c>
      <c r="D1508" s="3">
        <v>133.7</v>
      </c>
      <c r="E1508" s="3"/>
    </row>
    <row r="1509">
      <c r="B1509" s="3">
        <v>1.2561792E7</v>
      </c>
      <c r="C1509" s="3">
        <v>7.64</v>
      </c>
      <c r="D1509" s="3">
        <v>133.7</v>
      </c>
      <c r="E1509" s="3"/>
    </row>
    <row r="1510">
      <c r="B1510" s="3">
        <v>1.2581794E7</v>
      </c>
      <c r="C1510" s="3">
        <v>7.64</v>
      </c>
      <c r="D1510" s="3">
        <v>133.7</v>
      </c>
      <c r="E1510" s="3"/>
    </row>
    <row r="1511">
      <c r="B1511" s="3">
        <v>1.2601797E7</v>
      </c>
      <c r="C1511" s="3">
        <v>7.64</v>
      </c>
      <c r="D1511" s="3">
        <v>133.7</v>
      </c>
      <c r="E1511" s="3"/>
    </row>
    <row r="1512">
      <c r="B1512" s="3">
        <v>1.26218E7</v>
      </c>
      <c r="C1512" s="3">
        <v>7.64</v>
      </c>
      <c r="D1512" s="3">
        <v>133.7</v>
      </c>
      <c r="E1512" s="3"/>
    </row>
    <row r="1513">
      <c r="B1513" s="3">
        <v>1.2641803E7</v>
      </c>
      <c r="C1513" s="3">
        <v>7.64</v>
      </c>
      <c r="D1513" s="3">
        <v>133.7</v>
      </c>
      <c r="E1513" s="3"/>
    </row>
    <row r="1514">
      <c r="B1514" s="3">
        <v>1.2661806E7</v>
      </c>
      <c r="C1514" s="3">
        <v>7.64</v>
      </c>
      <c r="D1514" s="3">
        <v>133.6</v>
      </c>
      <c r="E1514" s="3"/>
    </row>
    <row r="1515">
      <c r="B1515" s="3">
        <v>1.2681809E7</v>
      </c>
      <c r="C1515" s="3">
        <v>7.64</v>
      </c>
      <c r="D1515" s="3">
        <v>133.6</v>
      </c>
      <c r="E1515" s="3"/>
    </row>
    <row r="1516">
      <c r="B1516" s="3">
        <v>1.2701812E7</v>
      </c>
      <c r="C1516" s="3">
        <v>7.64</v>
      </c>
      <c r="D1516" s="3">
        <v>133.6</v>
      </c>
      <c r="E1516" s="3"/>
    </row>
    <row r="1517">
      <c r="B1517" s="3">
        <v>1.2721815E7</v>
      </c>
      <c r="C1517" s="3">
        <v>7.63</v>
      </c>
      <c r="D1517" s="3">
        <v>133.6</v>
      </c>
      <c r="E1517" s="3"/>
    </row>
    <row r="1518">
      <c r="B1518" s="3">
        <v>1.2741818E7</v>
      </c>
      <c r="C1518" s="3">
        <v>7.63</v>
      </c>
      <c r="D1518" s="3">
        <v>133.6</v>
      </c>
      <c r="E1518" s="3"/>
    </row>
    <row r="1519">
      <c r="B1519" s="3">
        <v>1.2761821E7</v>
      </c>
      <c r="C1519" s="3">
        <v>7.63</v>
      </c>
      <c r="D1519" s="3">
        <v>133.6</v>
      </c>
      <c r="E1519" s="3"/>
    </row>
    <row r="1520">
      <c r="B1520" s="3">
        <v>1.2781824E7</v>
      </c>
      <c r="C1520" s="3">
        <v>7.63</v>
      </c>
      <c r="D1520" s="3">
        <v>133.6</v>
      </c>
      <c r="E1520" s="3"/>
    </row>
    <row r="1521">
      <c r="B1521" s="3">
        <v>1.2801826E7</v>
      </c>
      <c r="C1521" s="3">
        <v>7.63</v>
      </c>
      <c r="D1521" s="3">
        <v>133.6</v>
      </c>
      <c r="E1521" s="3"/>
    </row>
    <row r="1522">
      <c r="B1522" s="3">
        <v>1.2821829E7</v>
      </c>
      <c r="C1522" s="3">
        <v>7.63</v>
      </c>
      <c r="D1522" s="3">
        <v>133.6</v>
      </c>
      <c r="E1522" s="3"/>
    </row>
    <row r="1523">
      <c r="B1523" s="3">
        <v>1.2841832E7</v>
      </c>
      <c r="C1523" s="3">
        <v>7.63</v>
      </c>
      <c r="D1523" s="3">
        <v>133.6</v>
      </c>
      <c r="E1523" s="3"/>
    </row>
    <row r="1524">
      <c r="B1524" s="3">
        <v>1.2861835E7</v>
      </c>
      <c r="C1524" s="3">
        <v>7.63</v>
      </c>
      <c r="D1524" s="3">
        <v>133.6</v>
      </c>
      <c r="E1524" s="3"/>
    </row>
    <row r="1525">
      <c r="B1525" s="3">
        <v>1.2881838E7</v>
      </c>
      <c r="C1525" s="3">
        <v>7.63</v>
      </c>
      <c r="D1525" s="3">
        <v>133.6</v>
      </c>
      <c r="E1525" s="3"/>
    </row>
    <row r="1526">
      <c r="B1526" s="3">
        <v>1.290184E7</v>
      </c>
      <c r="C1526" s="3">
        <v>7.63</v>
      </c>
      <c r="D1526" s="3">
        <v>133.6</v>
      </c>
      <c r="E1526" s="3"/>
    </row>
    <row r="1527">
      <c r="B1527" s="3">
        <v>1.2921843E7</v>
      </c>
      <c r="C1527" s="3">
        <v>7.63</v>
      </c>
      <c r="D1527" s="3">
        <v>133.6</v>
      </c>
      <c r="E1527" s="3"/>
    </row>
    <row r="1528">
      <c r="B1528" s="3">
        <v>1.2941846E7</v>
      </c>
      <c r="C1528" s="3">
        <v>7.63</v>
      </c>
      <c r="D1528" s="3">
        <v>133.6</v>
      </c>
      <c r="E1528" s="3"/>
    </row>
    <row r="1529">
      <c r="B1529" s="3">
        <v>1.296185E7</v>
      </c>
      <c r="C1529" s="3">
        <v>7.63</v>
      </c>
      <c r="D1529" s="3">
        <v>133.6</v>
      </c>
      <c r="E1529" s="3"/>
    </row>
    <row r="1530">
      <c r="B1530" s="3">
        <v>1.2981853E7</v>
      </c>
      <c r="C1530" s="3">
        <v>7.63</v>
      </c>
      <c r="D1530" s="3">
        <v>133.5</v>
      </c>
      <c r="E1530" s="3"/>
    </row>
    <row r="1531">
      <c r="B1531" s="3">
        <v>1.3001856E7</v>
      </c>
      <c r="C1531" s="3">
        <v>7.63</v>
      </c>
      <c r="D1531" s="3">
        <v>133.6</v>
      </c>
      <c r="E1531" s="3"/>
    </row>
    <row r="1532">
      <c r="B1532" s="3">
        <v>1.3021858E7</v>
      </c>
      <c r="C1532" s="3">
        <v>7.63</v>
      </c>
      <c r="D1532" s="3">
        <v>133.5</v>
      </c>
      <c r="E1532" s="3"/>
    </row>
    <row r="1533">
      <c r="B1533" s="3">
        <v>1.3041861E7</v>
      </c>
      <c r="C1533" s="3">
        <v>7.63</v>
      </c>
      <c r="D1533" s="3">
        <v>133.6</v>
      </c>
      <c r="E1533" s="3"/>
    </row>
    <row r="1534">
      <c r="B1534" s="3">
        <v>1.3061864E7</v>
      </c>
      <c r="C1534" s="3">
        <v>7.63</v>
      </c>
      <c r="D1534" s="3">
        <v>133.5</v>
      </c>
      <c r="E1534" s="3"/>
    </row>
    <row r="1535">
      <c r="B1535" s="3">
        <v>1.3081867E7</v>
      </c>
      <c r="C1535" s="3">
        <v>7.63</v>
      </c>
      <c r="D1535" s="3">
        <v>133.6</v>
      </c>
      <c r="E1535" s="3"/>
    </row>
    <row r="1536">
      <c r="B1536" s="3">
        <v>1.310187E7</v>
      </c>
      <c r="C1536" s="3">
        <v>7.63</v>
      </c>
      <c r="D1536" s="3">
        <v>133.5</v>
      </c>
      <c r="E1536" s="3"/>
    </row>
    <row r="1537">
      <c r="B1537" s="3">
        <v>1.3121872E7</v>
      </c>
      <c r="C1537" s="3">
        <v>7.63</v>
      </c>
      <c r="D1537" s="3">
        <v>133.5</v>
      </c>
      <c r="E1537" s="3"/>
    </row>
    <row r="1538">
      <c r="B1538" s="3">
        <v>1.3141875E7</v>
      </c>
      <c r="C1538" s="3">
        <v>7.63</v>
      </c>
      <c r="D1538" s="3">
        <v>133.5</v>
      </c>
      <c r="E1538" s="3"/>
    </row>
    <row r="1539">
      <c r="B1539" s="3">
        <v>1.3161878E7</v>
      </c>
      <c r="C1539" s="3">
        <v>7.63</v>
      </c>
      <c r="D1539" s="3">
        <v>133.5</v>
      </c>
      <c r="E1539" s="3"/>
    </row>
    <row r="1540">
      <c r="B1540" s="3">
        <v>1.3181881E7</v>
      </c>
      <c r="C1540" s="3">
        <v>7.63</v>
      </c>
      <c r="D1540" s="3">
        <v>133.5</v>
      </c>
      <c r="E1540" s="3"/>
    </row>
    <row r="1541">
      <c r="B1541" s="3">
        <v>1.3201884E7</v>
      </c>
      <c r="C1541" s="3">
        <v>7.63</v>
      </c>
      <c r="D1541" s="3">
        <v>133.5</v>
      </c>
      <c r="E1541" s="3"/>
    </row>
    <row r="1542">
      <c r="B1542" s="3">
        <v>1.3221886E7</v>
      </c>
      <c r="C1542" s="3">
        <v>7.63</v>
      </c>
      <c r="D1542" s="3">
        <v>133.5</v>
      </c>
      <c r="E1542" s="3"/>
    </row>
    <row r="1543">
      <c r="B1543" s="3">
        <v>1.324189E7</v>
      </c>
      <c r="C1543" s="3">
        <v>7.63</v>
      </c>
      <c r="D1543" s="3">
        <v>133.5</v>
      </c>
      <c r="E1543" s="3"/>
    </row>
    <row r="1544">
      <c r="B1544" s="3">
        <v>1.3261893E7</v>
      </c>
      <c r="C1544" s="3">
        <v>7.63</v>
      </c>
      <c r="D1544" s="3">
        <v>133.5</v>
      </c>
      <c r="E1544" s="3"/>
    </row>
    <row r="1545">
      <c r="B1545" s="3">
        <v>1.3281896E7</v>
      </c>
      <c r="C1545" s="3">
        <v>7.63</v>
      </c>
      <c r="D1545" s="3">
        <v>133.5</v>
      </c>
      <c r="E1545" s="3"/>
    </row>
    <row r="1546">
      <c r="B1546" s="3">
        <v>1.3301899E7</v>
      </c>
      <c r="C1546" s="3">
        <v>7.63</v>
      </c>
      <c r="D1546" s="3">
        <v>133.5</v>
      </c>
      <c r="E1546" s="3"/>
    </row>
    <row r="1547">
      <c r="B1547" s="3">
        <v>1.3321902E7</v>
      </c>
      <c r="C1547" s="3">
        <v>7.63</v>
      </c>
      <c r="D1547" s="3">
        <v>133.5</v>
      </c>
      <c r="E1547" s="3"/>
    </row>
    <row r="1548">
      <c r="B1548" s="3">
        <v>1.3341904E7</v>
      </c>
      <c r="C1548" s="3">
        <v>7.63</v>
      </c>
      <c r="D1548" s="3">
        <v>133.5</v>
      </c>
      <c r="E1548" s="3"/>
    </row>
    <row r="1549">
      <c r="B1549" s="3">
        <v>1.3361907E7</v>
      </c>
      <c r="C1549" s="3">
        <v>7.63</v>
      </c>
      <c r="D1549" s="3">
        <v>133.5</v>
      </c>
      <c r="E1549" s="3"/>
    </row>
    <row r="1550">
      <c r="B1550" s="3">
        <v>1.338191E7</v>
      </c>
      <c r="C1550" s="3">
        <v>7.62</v>
      </c>
      <c r="D1550" s="3">
        <v>133.4</v>
      </c>
      <c r="E1550" s="3"/>
    </row>
    <row r="1551">
      <c r="B1551" s="3">
        <v>1.3401913E7</v>
      </c>
      <c r="C1551" s="3">
        <v>7.63</v>
      </c>
      <c r="D1551" s="3">
        <v>133.4</v>
      </c>
      <c r="E1551" s="3"/>
    </row>
    <row r="1552">
      <c r="B1552" s="3">
        <v>1.3421916E7</v>
      </c>
      <c r="C1552" s="3">
        <v>7.63</v>
      </c>
      <c r="D1552" s="3">
        <v>133.5</v>
      </c>
      <c r="E1552" s="3"/>
    </row>
    <row r="1553">
      <c r="B1553" s="3">
        <v>1.3441918E7</v>
      </c>
      <c r="C1553" s="3">
        <v>7.62</v>
      </c>
      <c r="D1553" s="3">
        <v>133.4</v>
      </c>
      <c r="E1553" s="3"/>
    </row>
    <row r="1554">
      <c r="B1554" s="3">
        <v>1.3461921E7</v>
      </c>
      <c r="C1554" s="3">
        <v>7.63</v>
      </c>
      <c r="D1554" s="3">
        <v>133.5</v>
      </c>
      <c r="E1554" s="3"/>
    </row>
    <row r="1555">
      <c r="B1555" s="3">
        <v>1.3481924E7</v>
      </c>
      <c r="C1555" s="3">
        <v>7.63</v>
      </c>
      <c r="D1555" s="3">
        <v>133.5</v>
      </c>
      <c r="E1555" s="3"/>
    </row>
    <row r="1556">
      <c r="B1556" s="3">
        <v>1.3501927E7</v>
      </c>
      <c r="C1556" s="3">
        <v>7.62</v>
      </c>
      <c r="D1556" s="3">
        <v>133.4</v>
      </c>
      <c r="E1556" s="3"/>
    </row>
    <row r="1557">
      <c r="B1557" s="3">
        <v>1.352193E7</v>
      </c>
      <c r="C1557" s="3">
        <v>7.62</v>
      </c>
      <c r="D1557" s="3">
        <v>133.5</v>
      </c>
      <c r="E1557" s="3"/>
    </row>
    <row r="1558">
      <c r="B1558" s="3">
        <v>1.3541934E7</v>
      </c>
      <c r="C1558" s="3">
        <v>7.62</v>
      </c>
      <c r="D1558" s="3">
        <v>133.5</v>
      </c>
      <c r="E1558" s="3"/>
    </row>
    <row r="1559">
      <c r="B1559" s="3">
        <v>1.3561936E7</v>
      </c>
      <c r="C1559" s="3">
        <v>7.62</v>
      </c>
      <c r="D1559" s="3">
        <v>133.4</v>
      </c>
      <c r="E1559" s="3"/>
    </row>
    <row r="1560">
      <c r="B1560" s="3">
        <v>1.3581939E7</v>
      </c>
      <c r="C1560" s="3">
        <v>7.62</v>
      </c>
      <c r="D1560" s="3">
        <v>133.5</v>
      </c>
      <c r="E1560" s="3"/>
    </row>
    <row r="1561">
      <c r="B1561" s="3">
        <v>1.3601942E7</v>
      </c>
      <c r="C1561" s="3">
        <v>7.62</v>
      </c>
      <c r="D1561" s="3">
        <v>133.5</v>
      </c>
      <c r="E1561" s="3"/>
    </row>
    <row r="1562">
      <c r="B1562" s="3">
        <v>1.3621945E7</v>
      </c>
      <c r="C1562" s="3">
        <v>7.62</v>
      </c>
      <c r="D1562" s="3">
        <v>133.4</v>
      </c>
      <c r="E1562" s="3"/>
    </row>
    <row r="1563">
      <c r="B1563" s="3">
        <v>1.3641948E7</v>
      </c>
      <c r="C1563" s="3">
        <v>7.62</v>
      </c>
      <c r="D1563" s="3">
        <v>133.3</v>
      </c>
      <c r="E1563" s="3"/>
    </row>
    <row r="1564">
      <c r="B1564" s="3">
        <v>1.366195E7</v>
      </c>
      <c r="C1564" s="3">
        <v>7.62</v>
      </c>
      <c r="D1564" s="3">
        <v>133.4</v>
      </c>
      <c r="E1564" s="3"/>
    </row>
    <row r="1565">
      <c r="B1565" s="3">
        <v>1.3681953E7</v>
      </c>
      <c r="C1565" s="3">
        <v>7.62</v>
      </c>
      <c r="D1565" s="3">
        <v>133.4</v>
      </c>
      <c r="E1565" s="3"/>
    </row>
    <row r="1566">
      <c r="B1566" s="3">
        <v>1.3701956E7</v>
      </c>
      <c r="C1566" s="3">
        <v>7.62</v>
      </c>
      <c r="D1566" s="3">
        <v>133.4</v>
      </c>
      <c r="E1566" s="3"/>
    </row>
    <row r="1567">
      <c r="B1567" s="3">
        <v>1.3721959E7</v>
      </c>
      <c r="C1567" s="3">
        <v>7.62</v>
      </c>
      <c r="D1567" s="3">
        <v>133.5</v>
      </c>
      <c r="E1567" s="3"/>
    </row>
    <row r="1568">
      <c r="B1568" s="3">
        <v>1.3741962E7</v>
      </c>
      <c r="C1568" s="3">
        <v>7.62</v>
      </c>
      <c r="D1568" s="3">
        <v>133.3</v>
      </c>
      <c r="E1568" s="3"/>
    </row>
    <row r="1569">
      <c r="B1569" s="3">
        <v>1.3761965E7</v>
      </c>
      <c r="C1569" s="3">
        <v>7.62</v>
      </c>
      <c r="D1569" s="3">
        <v>133.4</v>
      </c>
      <c r="E1569" s="3"/>
    </row>
    <row r="1570">
      <c r="B1570" s="3">
        <v>1.3781967E7</v>
      </c>
      <c r="C1570" s="3">
        <v>7.62</v>
      </c>
      <c r="D1570" s="3">
        <v>133.3</v>
      </c>
      <c r="E1570" s="3"/>
    </row>
    <row r="1571">
      <c r="B1571" s="3">
        <v>1.3801971E7</v>
      </c>
      <c r="C1571" s="3">
        <v>7.62</v>
      </c>
      <c r="D1571" s="3">
        <v>133.3</v>
      </c>
      <c r="E1571" s="3"/>
    </row>
    <row r="1572">
      <c r="B1572" s="3">
        <v>1.3821974E7</v>
      </c>
      <c r="C1572" s="3">
        <v>7.62</v>
      </c>
      <c r="D1572" s="3">
        <v>133.4</v>
      </c>
      <c r="E1572" s="3"/>
    </row>
    <row r="1573">
      <c r="B1573" s="3">
        <v>1.3841977E7</v>
      </c>
      <c r="C1573" s="3">
        <v>7.62</v>
      </c>
      <c r="D1573" s="3">
        <v>133.4</v>
      </c>
      <c r="E1573" s="3"/>
    </row>
    <row r="1574">
      <c r="B1574" s="3">
        <v>1.386198E7</v>
      </c>
      <c r="C1574" s="3">
        <v>7.62</v>
      </c>
      <c r="D1574" s="3">
        <v>133.4</v>
      </c>
      <c r="E1574" s="3"/>
    </row>
    <row r="1575">
      <c r="B1575" s="3">
        <v>1.3881982E7</v>
      </c>
      <c r="C1575" s="3">
        <v>7.62</v>
      </c>
      <c r="D1575" s="3">
        <v>133.4</v>
      </c>
      <c r="E1575" s="3"/>
    </row>
    <row r="1576">
      <c r="B1576" s="3">
        <v>1.3901985E7</v>
      </c>
      <c r="C1576" s="3">
        <v>7.62</v>
      </c>
      <c r="D1576" s="3">
        <v>133.4</v>
      </c>
      <c r="E1576" s="3"/>
    </row>
    <row r="1577">
      <c r="B1577" s="3">
        <v>1.3921988E7</v>
      </c>
      <c r="C1577" s="3">
        <v>7.62</v>
      </c>
      <c r="D1577" s="3">
        <v>133.4</v>
      </c>
      <c r="E1577" s="3"/>
    </row>
    <row r="1578">
      <c r="B1578" s="3">
        <v>1.3941991E7</v>
      </c>
      <c r="C1578" s="3">
        <v>7.62</v>
      </c>
      <c r="D1578" s="3">
        <v>133.4</v>
      </c>
      <c r="E1578" s="3"/>
    </row>
    <row r="1579">
      <c r="B1579" s="3">
        <v>1.3961994E7</v>
      </c>
      <c r="C1579" s="3">
        <v>7.62</v>
      </c>
      <c r="D1579" s="3">
        <v>133.4</v>
      </c>
      <c r="E1579" s="3"/>
    </row>
    <row r="1580">
      <c r="B1580" s="3">
        <v>1.3981997E7</v>
      </c>
      <c r="C1580" s="3">
        <v>7.62</v>
      </c>
      <c r="D1580" s="3">
        <v>133.3</v>
      </c>
      <c r="E1580" s="3"/>
    </row>
    <row r="1581">
      <c r="B1581" s="3">
        <v>1.4001999E7</v>
      </c>
      <c r="C1581" s="3">
        <v>7.62</v>
      </c>
      <c r="D1581" s="3">
        <v>133.4</v>
      </c>
      <c r="E1581" s="3"/>
    </row>
    <row r="1582">
      <c r="B1582" s="3">
        <v>1.4022002E7</v>
      </c>
      <c r="C1582" s="3">
        <v>7.62</v>
      </c>
      <c r="D1582" s="3">
        <v>133.3</v>
      </c>
      <c r="E1582" s="3"/>
    </row>
    <row r="1583">
      <c r="B1583" s="3">
        <v>1.4042005E7</v>
      </c>
      <c r="C1583" s="3">
        <v>7.62</v>
      </c>
      <c r="D1583" s="3">
        <v>133.3</v>
      </c>
      <c r="E1583" s="3"/>
    </row>
    <row r="1584">
      <c r="B1584" s="3">
        <v>1.4062008E7</v>
      </c>
      <c r="C1584" s="3">
        <v>7.62</v>
      </c>
      <c r="D1584" s="3">
        <v>133.4</v>
      </c>
      <c r="E1584" s="3"/>
    </row>
    <row r="1585">
      <c r="B1585" s="3">
        <v>1.4082012E7</v>
      </c>
      <c r="C1585" s="3">
        <v>7.62</v>
      </c>
      <c r="D1585" s="3">
        <v>133.3</v>
      </c>
      <c r="E1585" s="3"/>
    </row>
    <row r="1586">
      <c r="B1586" s="3">
        <v>1.4102014E7</v>
      </c>
      <c r="C1586" s="3">
        <v>7.62</v>
      </c>
      <c r="D1586" s="3">
        <v>133.3</v>
      </c>
      <c r="E1586" s="3"/>
    </row>
    <row r="1587">
      <c r="B1587" s="3">
        <v>1.4122017E7</v>
      </c>
      <c r="C1587" s="3">
        <v>7.62</v>
      </c>
      <c r="D1587" s="3">
        <v>133.3</v>
      </c>
      <c r="E1587" s="3"/>
    </row>
    <row r="1588">
      <c r="B1588" s="3">
        <v>1.414202E7</v>
      </c>
      <c r="C1588" s="3">
        <v>7.62</v>
      </c>
      <c r="D1588" s="3">
        <v>133.3</v>
      </c>
      <c r="E1588" s="3"/>
    </row>
    <row r="1589">
      <c r="B1589" s="3">
        <v>1.4162023E7</v>
      </c>
      <c r="C1589" s="3">
        <v>7.62</v>
      </c>
      <c r="D1589" s="3">
        <v>133.3</v>
      </c>
      <c r="E1589" s="3"/>
    </row>
    <row r="1590">
      <c r="B1590" s="3">
        <v>1.4182026E7</v>
      </c>
      <c r="C1590" s="3">
        <v>7.62</v>
      </c>
      <c r="D1590" s="3">
        <v>133.3</v>
      </c>
      <c r="E1590" s="3"/>
    </row>
    <row r="1591">
      <c r="B1591" s="3">
        <v>1.4202029E7</v>
      </c>
      <c r="C1591" s="3">
        <v>7.62</v>
      </c>
      <c r="D1591" s="3">
        <v>133.3</v>
      </c>
      <c r="E1591" s="3"/>
    </row>
    <row r="1592">
      <c r="B1592" s="3">
        <v>1.4222031E7</v>
      </c>
      <c r="C1592" s="3">
        <v>7.62</v>
      </c>
      <c r="D1592" s="3">
        <v>133.3</v>
      </c>
      <c r="E1592" s="3"/>
    </row>
    <row r="1593">
      <c r="B1593" s="3">
        <v>1.4242034E7</v>
      </c>
      <c r="C1593" s="3">
        <v>7.62</v>
      </c>
      <c r="D1593" s="3">
        <v>133.3</v>
      </c>
      <c r="E1593" s="3"/>
    </row>
    <row r="1594">
      <c r="B1594" s="3">
        <v>1.4262037E7</v>
      </c>
      <c r="C1594" s="3">
        <v>7.62</v>
      </c>
      <c r="D1594" s="3">
        <v>133.3</v>
      </c>
      <c r="E1594" s="3"/>
    </row>
    <row r="1595">
      <c r="B1595" s="3">
        <v>1.428204E7</v>
      </c>
      <c r="C1595" s="3">
        <v>7.62</v>
      </c>
      <c r="D1595" s="3">
        <v>133.3</v>
      </c>
      <c r="E1595" s="3"/>
    </row>
    <row r="1596">
      <c r="B1596" s="3">
        <v>1.4302043E7</v>
      </c>
      <c r="C1596" s="3">
        <v>7.62</v>
      </c>
      <c r="D1596" s="3">
        <v>133.2</v>
      </c>
      <c r="E1596" s="3"/>
    </row>
    <row r="1597">
      <c r="B1597" s="3">
        <v>1.4322045E7</v>
      </c>
      <c r="C1597" s="3">
        <v>7.62</v>
      </c>
      <c r="D1597" s="3">
        <v>133.3</v>
      </c>
      <c r="E1597" s="3"/>
    </row>
    <row r="1598">
      <c r="B1598" s="3">
        <v>1.4342049E7</v>
      </c>
      <c r="C1598" s="3">
        <v>7.62</v>
      </c>
      <c r="D1598" s="3">
        <v>133.2</v>
      </c>
      <c r="E1598" s="3"/>
    </row>
    <row r="1599">
      <c r="B1599" s="3">
        <v>1.4362052E7</v>
      </c>
      <c r="C1599" s="3">
        <v>7.61</v>
      </c>
      <c r="D1599" s="3">
        <v>133.3</v>
      </c>
      <c r="E1599" s="3"/>
    </row>
    <row r="1600">
      <c r="B1600" s="3">
        <v>1.4382055E7</v>
      </c>
      <c r="C1600" s="3">
        <v>7.61</v>
      </c>
      <c r="D1600" s="3">
        <v>133.3</v>
      </c>
      <c r="E1600" s="3"/>
    </row>
    <row r="1601">
      <c r="B1601" s="3">
        <v>1.4402058E7</v>
      </c>
      <c r="C1601" s="3">
        <v>7.61</v>
      </c>
      <c r="D1601" s="3">
        <v>133.3</v>
      </c>
      <c r="E1601" s="3"/>
    </row>
    <row r="1602">
      <c r="B1602" s="3">
        <v>1.4422061E7</v>
      </c>
      <c r="C1602" s="3">
        <v>7.62</v>
      </c>
      <c r="D1602" s="3">
        <v>133.2</v>
      </c>
      <c r="E1602" s="3"/>
    </row>
    <row r="1603">
      <c r="B1603" s="3">
        <v>1.4442063E7</v>
      </c>
      <c r="C1603" s="3">
        <v>7.62</v>
      </c>
      <c r="D1603" s="3">
        <v>133.2</v>
      </c>
      <c r="E1603" s="3"/>
    </row>
    <row r="1604">
      <c r="B1604" s="3">
        <v>1.4462066E7</v>
      </c>
      <c r="C1604" s="3">
        <v>7.61</v>
      </c>
      <c r="D1604" s="3">
        <v>133.2</v>
      </c>
      <c r="E1604" s="3"/>
    </row>
    <row r="1605">
      <c r="B1605" s="3">
        <v>1.4482069E7</v>
      </c>
      <c r="C1605" s="3">
        <v>7.61</v>
      </c>
      <c r="D1605" s="3">
        <v>133.2</v>
      </c>
      <c r="E1605" s="3"/>
    </row>
    <row r="1606">
      <c r="B1606" s="3">
        <v>1.4502072E7</v>
      </c>
      <c r="C1606" s="3">
        <v>7.61</v>
      </c>
      <c r="D1606" s="3">
        <v>133.2</v>
      </c>
      <c r="E1606" s="3"/>
    </row>
    <row r="1607">
      <c r="B1607" s="3">
        <v>1.4522075E7</v>
      </c>
      <c r="C1607" s="3">
        <v>7.61</v>
      </c>
      <c r="D1607" s="3">
        <v>133.2</v>
      </c>
      <c r="E1607" s="3"/>
    </row>
    <row r="1608">
      <c r="B1608" s="3">
        <v>1.4542077E7</v>
      </c>
      <c r="C1608" s="3">
        <v>7.61</v>
      </c>
      <c r="D1608" s="3">
        <v>133.2</v>
      </c>
      <c r="E1608" s="3"/>
    </row>
    <row r="1609">
      <c r="B1609" s="3">
        <v>1.456208E7</v>
      </c>
      <c r="C1609" s="3">
        <v>7.61</v>
      </c>
      <c r="D1609" s="3">
        <v>133.2</v>
      </c>
      <c r="E1609" s="3"/>
    </row>
    <row r="1610">
      <c r="B1610" s="3">
        <v>1.4582083E7</v>
      </c>
      <c r="C1610" s="3">
        <v>7.61</v>
      </c>
      <c r="D1610" s="3">
        <v>133.2</v>
      </c>
      <c r="E1610" s="3"/>
    </row>
    <row r="1611">
      <c r="B1611" s="3">
        <v>1.4602086E7</v>
      </c>
      <c r="C1611" s="3">
        <v>7.61</v>
      </c>
      <c r="D1611" s="3">
        <v>133.2</v>
      </c>
      <c r="E1611" s="3"/>
    </row>
    <row r="1612">
      <c r="B1612" s="3">
        <v>1.462209E7</v>
      </c>
      <c r="C1612" s="3">
        <v>7.61</v>
      </c>
      <c r="D1612" s="3">
        <v>133.2</v>
      </c>
      <c r="E1612" s="3"/>
    </row>
    <row r="1613">
      <c r="B1613" s="3">
        <v>1.4642093E7</v>
      </c>
      <c r="C1613" s="3">
        <v>7.61</v>
      </c>
      <c r="D1613" s="3">
        <v>133.2</v>
      </c>
      <c r="E1613" s="3"/>
    </row>
    <row r="1614">
      <c r="B1614" s="3">
        <v>1.4662095E7</v>
      </c>
      <c r="C1614" s="3">
        <v>7.61</v>
      </c>
      <c r="D1614" s="3">
        <v>133.2</v>
      </c>
      <c r="E1614" s="3"/>
    </row>
    <row r="1615">
      <c r="B1615" s="3">
        <v>1.4682098E7</v>
      </c>
      <c r="C1615" s="3">
        <v>7.61</v>
      </c>
      <c r="D1615" s="3">
        <v>133.2</v>
      </c>
      <c r="E1615" s="3"/>
    </row>
    <row r="1616">
      <c r="B1616" s="3">
        <v>1.4702101E7</v>
      </c>
      <c r="C1616" s="3">
        <v>7.61</v>
      </c>
      <c r="D1616" s="3">
        <v>133.2</v>
      </c>
      <c r="E1616" s="3"/>
    </row>
    <row r="1617">
      <c r="B1617" s="3">
        <v>1.4722104E7</v>
      </c>
      <c r="C1617" s="3">
        <v>7.61</v>
      </c>
      <c r="D1617" s="3">
        <v>133.2</v>
      </c>
      <c r="E1617" s="3"/>
    </row>
    <row r="1618">
      <c r="B1618" s="3">
        <v>1.4742107E7</v>
      </c>
      <c r="C1618" s="3">
        <v>7.61</v>
      </c>
      <c r="D1618" s="3">
        <v>133.2</v>
      </c>
      <c r="E1618" s="3"/>
    </row>
    <row r="1619">
      <c r="B1619" s="3">
        <v>1.4762109E7</v>
      </c>
      <c r="C1619" s="3">
        <v>7.61</v>
      </c>
      <c r="D1619" s="3">
        <v>133.2</v>
      </c>
      <c r="E1619" s="3"/>
    </row>
    <row r="1620">
      <c r="B1620" s="3">
        <v>1.4782112E7</v>
      </c>
      <c r="C1620" s="3">
        <v>7.61</v>
      </c>
      <c r="D1620" s="3">
        <v>133.2</v>
      </c>
      <c r="E1620" s="3"/>
    </row>
    <row r="1621">
      <c r="B1621" s="3">
        <v>1.4802115E7</v>
      </c>
      <c r="C1621" s="3">
        <v>7.61</v>
      </c>
      <c r="D1621" s="3">
        <v>133.2</v>
      </c>
      <c r="E1621" s="3"/>
    </row>
    <row r="1622">
      <c r="B1622" s="3">
        <v>1.4822118E7</v>
      </c>
      <c r="C1622" s="3">
        <v>7.61</v>
      </c>
      <c r="D1622" s="3">
        <v>133.2</v>
      </c>
      <c r="E1622" s="3"/>
    </row>
    <row r="1623">
      <c r="B1623" s="3">
        <v>1.4842121E7</v>
      </c>
      <c r="C1623" s="3">
        <v>7.61</v>
      </c>
      <c r="D1623" s="3">
        <v>133.2</v>
      </c>
      <c r="E1623" s="3"/>
    </row>
    <row r="1624">
      <c r="B1624" s="3">
        <v>1.4862124E7</v>
      </c>
      <c r="C1624" s="3">
        <v>7.61</v>
      </c>
      <c r="D1624" s="3">
        <v>133.1</v>
      </c>
      <c r="E1624" s="3"/>
    </row>
    <row r="1625">
      <c r="B1625" s="3">
        <v>1.4882127E7</v>
      </c>
      <c r="C1625" s="3">
        <v>7.61</v>
      </c>
      <c r="D1625" s="3">
        <v>133.2</v>
      </c>
      <c r="E1625" s="3"/>
    </row>
    <row r="1626">
      <c r="B1626" s="3">
        <v>1.490213E7</v>
      </c>
      <c r="C1626" s="3">
        <v>7.61</v>
      </c>
      <c r="D1626" s="3">
        <v>133.1</v>
      </c>
      <c r="E1626" s="3"/>
    </row>
    <row r="1627">
      <c r="B1627" s="3">
        <v>1.4922133E7</v>
      </c>
      <c r="C1627" s="3">
        <v>7.61</v>
      </c>
      <c r="D1627" s="3">
        <v>133.1</v>
      </c>
      <c r="E1627" s="3"/>
    </row>
    <row r="1628">
      <c r="B1628" s="3">
        <v>1.4942136E7</v>
      </c>
      <c r="C1628" s="3">
        <v>7.61</v>
      </c>
      <c r="D1628" s="3">
        <v>133.2</v>
      </c>
      <c r="E1628" s="3"/>
    </row>
    <row r="1629">
      <c r="B1629" s="3">
        <v>1.4962139E7</v>
      </c>
      <c r="C1629" s="3">
        <v>7.61</v>
      </c>
      <c r="D1629" s="3">
        <v>133.2</v>
      </c>
      <c r="E1629" s="3"/>
    </row>
    <row r="1630">
      <c r="B1630" s="3">
        <v>1.4982141E7</v>
      </c>
      <c r="C1630" s="3">
        <v>7.61</v>
      </c>
      <c r="D1630" s="3">
        <v>133.1</v>
      </c>
      <c r="E1630" s="3"/>
    </row>
    <row r="1631">
      <c r="B1631" s="3">
        <v>1.5002144E7</v>
      </c>
      <c r="C1631" s="3">
        <v>7.61</v>
      </c>
      <c r="D1631" s="3">
        <v>133.2</v>
      </c>
      <c r="E1631" s="3"/>
    </row>
    <row r="1632">
      <c r="B1632" s="3">
        <v>1.5022147E7</v>
      </c>
      <c r="C1632" s="3">
        <v>7.61</v>
      </c>
      <c r="D1632" s="3">
        <v>133.1</v>
      </c>
      <c r="E1632" s="3"/>
    </row>
    <row r="1633">
      <c r="B1633" s="3">
        <v>1.504215E7</v>
      </c>
      <c r="C1633" s="3">
        <v>7.61</v>
      </c>
      <c r="D1633" s="3">
        <v>133.1</v>
      </c>
      <c r="E1633" s="3"/>
    </row>
    <row r="1634">
      <c r="B1634" s="3">
        <v>1.5062153E7</v>
      </c>
      <c r="C1634" s="3">
        <v>7.61</v>
      </c>
      <c r="D1634" s="3">
        <v>133.1</v>
      </c>
      <c r="E1634" s="3"/>
    </row>
    <row r="1635">
      <c r="B1635" s="3">
        <v>1.5082156E7</v>
      </c>
      <c r="C1635" s="3">
        <v>7.61</v>
      </c>
      <c r="D1635" s="3">
        <v>133.1</v>
      </c>
      <c r="E1635" s="3"/>
    </row>
    <row r="1636">
      <c r="B1636" s="3">
        <v>1.5102158E7</v>
      </c>
      <c r="C1636" s="3">
        <v>7.61</v>
      </c>
      <c r="D1636" s="3">
        <v>133.1</v>
      </c>
      <c r="E1636" s="3"/>
    </row>
    <row r="1637">
      <c r="B1637" s="3">
        <v>1.5122161E7</v>
      </c>
      <c r="C1637" s="3">
        <v>7.61</v>
      </c>
      <c r="D1637" s="3">
        <v>133.1</v>
      </c>
      <c r="E1637" s="3"/>
    </row>
    <row r="1638">
      <c r="B1638" s="3">
        <v>1.5142164E7</v>
      </c>
      <c r="C1638" s="3">
        <v>7.61</v>
      </c>
      <c r="D1638" s="3">
        <v>133.1</v>
      </c>
      <c r="E1638" s="3"/>
    </row>
    <row r="1639">
      <c r="B1639" s="3">
        <v>1.5162168E7</v>
      </c>
      <c r="C1639" s="3">
        <v>7.6</v>
      </c>
      <c r="D1639" s="3">
        <v>133.1</v>
      </c>
      <c r="E1639" s="3"/>
    </row>
    <row r="1640">
      <c r="B1640" s="3">
        <v>1.5182171E7</v>
      </c>
      <c r="C1640" s="3">
        <v>7.6</v>
      </c>
      <c r="D1640" s="3">
        <v>133.1</v>
      </c>
      <c r="E1640" s="3"/>
    </row>
    <row r="1641">
      <c r="B1641" s="3">
        <v>1.5202173E7</v>
      </c>
      <c r="C1641" s="3">
        <v>7.6</v>
      </c>
      <c r="D1641" s="3">
        <v>133.1</v>
      </c>
      <c r="E1641" s="3"/>
    </row>
    <row r="1642">
      <c r="B1642" s="3">
        <v>1.5222176E7</v>
      </c>
      <c r="C1642" s="3">
        <v>7.6</v>
      </c>
      <c r="D1642" s="3">
        <v>133.1</v>
      </c>
      <c r="E1642" s="3"/>
    </row>
    <row r="1643">
      <c r="B1643" s="3">
        <v>1.5242179E7</v>
      </c>
      <c r="C1643" s="3">
        <v>7.6</v>
      </c>
      <c r="D1643" s="3">
        <v>133.0</v>
      </c>
      <c r="E1643" s="3"/>
    </row>
    <row r="1644">
      <c r="B1644" s="3">
        <v>1.5262182E7</v>
      </c>
      <c r="C1644" s="3">
        <v>7.6</v>
      </c>
      <c r="D1644" s="3">
        <v>133.1</v>
      </c>
      <c r="E1644" s="3"/>
    </row>
    <row r="1645">
      <c r="B1645" s="3">
        <v>1.5282185E7</v>
      </c>
      <c r="C1645" s="3">
        <v>7.6</v>
      </c>
      <c r="D1645" s="3">
        <v>133.1</v>
      </c>
      <c r="E1645" s="3"/>
    </row>
    <row r="1646">
      <c r="B1646" s="3">
        <v>1.5302188E7</v>
      </c>
      <c r="C1646" s="3">
        <v>7.6</v>
      </c>
      <c r="D1646" s="3">
        <v>133.1</v>
      </c>
      <c r="E1646" s="3"/>
    </row>
    <row r="1647">
      <c r="B1647" s="3">
        <v>1.532219E7</v>
      </c>
      <c r="C1647" s="3">
        <v>7.6</v>
      </c>
      <c r="D1647" s="3">
        <v>133.1</v>
      </c>
      <c r="E1647" s="3"/>
    </row>
    <row r="1648">
      <c r="B1648" s="3">
        <v>1.5342193E7</v>
      </c>
      <c r="C1648" s="3">
        <v>7.6</v>
      </c>
      <c r="D1648" s="3">
        <v>133.0</v>
      </c>
      <c r="E1648" s="3"/>
    </row>
    <row r="1649">
      <c r="B1649" s="3">
        <v>1.5362196E7</v>
      </c>
      <c r="C1649" s="3">
        <v>7.6</v>
      </c>
      <c r="D1649" s="3">
        <v>133.0</v>
      </c>
      <c r="E1649" s="3"/>
    </row>
    <row r="1650">
      <c r="B1650" s="3">
        <v>1.5382199E7</v>
      </c>
      <c r="C1650" s="3">
        <v>7.6</v>
      </c>
      <c r="D1650" s="3">
        <v>133.0</v>
      </c>
      <c r="E1650" s="3"/>
    </row>
    <row r="1651">
      <c r="B1651" s="3">
        <v>1.5402202E7</v>
      </c>
      <c r="C1651" s="3">
        <v>7.6</v>
      </c>
      <c r="D1651" s="3">
        <v>133.0</v>
      </c>
      <c r="E1651" s="3"/>
    </row>
    <row r="1652">
      <c r="B1652" s="3">
        <v>1.5422204E7</v>
      </c>
      <c r="C1652" s="3">
        <v>7.6</v>
      </c>
      <c r="D1652" s="3">
        <v>133.0</v>
      </c>
      <c r="E1652" s="3"/>
    </row>
    <row r="1653">
      <c r="B1653" s="3">
        <v>1.5442207E7</v>
      </c>
      <c r="C1653" s="3">
        <v>7.6</v>
      </c>
      <c r="D1653" s="3">
        <v>133.0</v>
      </c>
      <c r="E1653" s="3"/>
    </row>
    <row r="1654">
      <c r="B1654" s="3">
        <v>1.5462211E7</v>
      </c>
      <c r="C1654" s="3">
        <v>7.6</v>
      </c>
      <c r="D1654" s="3">
        <v>133.0</v>
      </c>
      <c r="E1654" s="3"/>
    </row>
    <row r="1655">
      <c r="B1655" s="3">
        <v>1.5482214E7</v>
      </c>
      <c r="C1655" s="3">
        <v>7.6</v>
      </c>
      <c r="D1655" s="3">
        <v>133.0</v>
      </c>
      <c r="E1655" s="3"/>
    </row>
    <row r="1656">
      <c r="B1656" s="3">
        <v>1.5502217E7</v>
      </c>
      <c r="C1656" s="3">
        <v>7.6</v>
      </c>
      <c r="D1656" s="3">
        <v>133.0</v>
      </c>
      <c r="E1656" s="3"/>
    </row>
    <row r="1657">
      <c r="B1657" s="3">
        <v>1.552222E7</v>
      </c>
      <c r="C1657" s="3">
        <v>7.6</v>
      </c>
      <c r="D1657" s="3">
        <v>133.0</v>
      </c>
      <c r="E1657" s="3"/>
    </row>
    <row r="1658">
      <c r="B1658" s="3">
        <v>1.5542222E7</v>
      </c>
      <c r="C1658" s="3">
        <v>7.6</v>
      </c>
      <c r="D1658" s="3">
        <v>133.0</v>
      </c>
      <c r="E1658" s="3"/>
    </row>
    <row r="1659">
      <c r="B1659" s="3">
        <v>1.5562225E7</v>
      </c>
      <c r="C1659" s="3">
        <v>7.6</v>
      </c>
      <c r="D1659" s="3">
        <v>133.0</v>
      </c>
      <c r="E1659" s="3"/>
    </row>
    <row r="1660">
      <c r="B1660" s="3">
        <v>1.5582228E7</v>
      </c>
      <c r="C1660" s="3">
        <v>7.6</v>
      </c>
      <c r="D1660" s="3">
        <v>132.9</v>
      </c>
      <c r="E1660" s="3"/>
    </row>
    <row r="1661">
      <c r="B1661" s="3">
        <v>1.5602231E7</v>
      </c>
      <c r="C1661" s="3">
        <v>7.6</v>
      </c>
      <c r="D1661" s="3">
        <v>132.9</v>
      </c>
      <c r="E1661" s="3"/>
    </row>
    <row r="1662">
      <c r="B1662" s="3">
        <v>1.5622234E7</v>
      </c>
      <c r="C1662" s="3">
        <v>7.6</v>
      </c>
      <c r="D1662" s="3">
        <v>133.1</v>
      </c>
      <c r="E1662" s="3"/>
    </row>
    <row r="1663">
      <c r="B1663" s="3">
        <v>1.5642236E7</v>
      </c>
      <c r="C1663" s="3">
        <v>7.6</v>
      </c>
      <c r="D1663" s="3">
        <v>133.0</v>
      </c>
      <c r="E1663" s="3"/>
    </row>
    <row r="1664">
      <c r="B1664" s="3">
        <v>1.5662239E7</v>
      </c>
      <c r="C1664" s="3">
        <v>7.6</v>
      </c>
      <c r="D1664" s="3">
        <v>133.0</v>
      </c>
      <c r="E1664" s="3"/>
    </row>
    <row r="1665">
      <c r="B1665" s="3">
        <v>1.5682242E7</v>
      </c>
      <c r="C1665" s="3">
        <v>7.6</v>
      </c>
      <c r="D1665" s="3">
        <v>133.0</v>
      </c>
      <c r="E1665" s="3"/>
    </row>
    <row r="1666">
      <c r="B1666" s="3">
        <v>1.5702245E7</v>
      </c>
      <c r="C1666" s="3">
        <v>7.6</v>
      </c>
      <c r="D1666" s="3">
        <v>132.9</v>
      </c>
      <c r="E1666" s="3"/>
    </row>
    <row r="1667">
      <c r="B1667" s="3">
        <v>1.5722248E7</v>
      </c>
      <c r="C1667" s="3">
        <v>7.6</v>
      </c>
      <c r="D1667" s="3">
        <v>133.0</v>
      </c>
      <c r="E1667" s="3"/>
    </row>
    <row r="1668">
      <c r="B1668" s="3">
        <v>1.5742251E7</v>
      </c>
      <c r="C1668" s="3">
        <v>7.6</v>
      </c>
      <c r="D1668" s="3">
        <v>133.0</v>
      </c>
      <c r="E1668" s="3"/>
    </row>
    <row r="1669">
      <c r="B1669" s="3">
        <v>1.5762253E7</v>
      </c>
      <c r="C1669" s="3">
        <v>7.6</v>
      </c>
      <c r="D1669" s="3">
        <v>133.0</v>
      </c>
      <c r="E1669" s="3"/>
    </row>
    <row r="1670">
      <c r="B1670" s="3">
        <v>1.5782257E7</v>
      </c>
      <c r="C1670" s="3">
        <v>7.6</v>
      </c>
      <c r="D1670" s="3">
        <v>133.0</v>
      </c>
      <c r="E1670" s="3"/>
    </row>
    <row r="1671">
      <c r="B1671" s="3">
        <v>1.580226E7</v>
      </c>
      <c r="C1671" s="3">
        <v>7.6</v>
      </c>
      <c r="D1671" s="3">
        <v>133.0</v>
      </c>
      <c r="E1671" s="3"/>
    </row>
    <row r="1672">
      <c r="B1672" s="3">
        <v>1.5822263E7</v>
      </c>
      <c r="C1672" s="3">
        <v>7.6</v>
      </c>
      <c r="D1672" s="3">
        <v>132.9</v>
      </c>
      <c r="E1672" s="3"/>
    </row>
    <row r="1673">
      <c r="B1673" s="3">
        <v>1.5842266E7</v>
      </c>
      <c r="C1673" s="3">
        <v>7.6</v>
      </c>
      <c r="D1673" s="3">
        <v>132.9</v>
      </c>
      <c r="E1673" s="3"/>
    </row>
    <row r="1674">
      <c r="B1674" s="3">
        <v>1.5862268E7</v>
      </c>
      <c r="C1674" s="3">
        <v>7.6</v>
      </c>
      <c r="D1674" s="3">
        <v>132.9</v>
      </c>
      <c r="E1674" s="3"/>
    </row>
    <row r="1675">
      <c r="B1675" s="3">
        <v>1.5882271E7</v>
      </c>
      <c r="C1675" s="3">
        <v>7.6</v>
      </c>
      <c r="D1675" s="3">
        <v>132.8</v>
      </c>
      <c r="E1675" s="3"/>
    </row>
    <row r="1676">
      <c r="B1676" s="3">
        <v>1.5902274E7</v>
      </c>
      <c r="C1676" s="3">
        <v>7.6</v>
      </c>
      <c r="D1676" s="3">
        <v>132.9</v>
      </c>
      <c r="E1676" s="3"/>
    </row>
    <row r="1677">
      <c r="B1677" s="3">
        <v>1.5922277E7</v>
      </c>
      <c r="C1677" s="3">
        <v>7.6</v>
      </c>
      <c r="D1677" s="3">
        <v>132.9</v>
      </c>
      <c r="E1677" s="3"/>
    </row>
    <row r="1678">
      <c r="B1678" s="3">
        <v>1.594228E7</v>
      </c>
      <c r="C1678" s="3">
        <v>7.6</v>
      </c>
      <c r="D1678" s="3">
        <v>132.9</v>
      </c>
      <c r="E1678" s="3"/>
    </row>
    <row r="1679">
      <c r="B1679" s="3">
        <v>1.5962283E7</v>
      </c>
      <c r="C1679" s="3">
        <v>7.6</v>
      </c>
      <c r="D1679" s="3">
        <v>132.9</v>
      </c>
      <c r="E1679" s="3"/>
    </row>
    <row r="1680">
      <c r="B1680" s="3">
        <v>1.5982285E7</v>
      </c>
      <c r="C1680" s="3">
        <v>7.6</v>
      </c>
      <c r="D1680" s="3">
        <v>132.9</v>
      </c>
      <c r="E1680" s="3"/>
    </row>
    <row r="1681">
      <c r="B1681" s="3">
        <v>1.6002288E7</v>
      </c>
      <c r="C1681" s="3">
        <v>7.59</v>
      </c>
      <c r="D1681" s="3">
        <v>132.9</v>
      </c>
      <c r="E1681" s="3"/>
    </row>
    <row r="1682">
      <c r="B1682" s="3">
        <v>1.6022291E7</v>
      </c>
      <c r="C1682" s="3">
        <v>7.6</v>
      </c>
      <c r="D1682" s="3">
        <v>132.9</v>
      </c>
      <c r="E1682" s="3"/>
    </row>
    <row r="1683">
      <c r="B1683" s="3">
        <v>1.6042294E7</v>
      </c>
      <c r="C1683" s="3">
        <v>7.59</v>
      </c>
      <c r="D1683" s="3">
        <v>132.9</v>
      </c>
      <c r="E1683" s="3"/>
    </row>
    <row r="1684">
      <c r="B1684" s="3">
        <v>1.6062297E7</v>
      </c>
      <c r="C1684" s="3">
        <v>7.59</v>
      </c>
      <c r="D1684" s="3">
        <v>132.9</v>
      </c>
      <c r="E1684" s="3"/>
    </row>
    <row r="1685">
      <c r="B1685" s="3">
        <v>1.60823E7</v>
      </c>
      <c r="C1685" s="3">
        <v>7.59</v>
      </c>
      <c r="D1685" s="3">
        <v>132.9</v>
      </c>
      <c r="E1685" s="3"/>
    </row>
    <row r="1686">
      <c r="B1686" s="3">
        <v>1.6102303E7</v>
      </c>
      <c r="C1686" s="3">
        <v>7.6</v>
      </c>
      <c r="D1686" s="3">
        <v>132.9</v>
      </c>
      <c r="E1686" s="3"/>
    </row>
    <row r="1687">
      <c r="B1687" s="3">
        <v>1.6122306E7</v>
      </c>
      <c r="C1687" s="3">
        <v>7.59</v>
      </c>
      <c r="D1687" s="3">
        <v>132.9</v>
      </c>
      <c r="E1687" s="3"/>
    </row>
    <row r="1688">
      <c r="B1688" s="3">
        <v>1.6142309E7</v>
      </c>
      <c r="C1688" s="3">
        <v>7.6</v>
      </c>
      <c r="D1688" s="3">
        <v>132.9</v>
      </c>
      <c r="E1688" s="3"/>
    </row>
    <row r="1689">
      <c r="B1689" s="3">
        <v>1.6162312E7</v>
      </c>
      <c r="C1689" s="3">
        <v>7.59</v>
      </c>
      <c r="D1689" s="3">
        <v>132.9</v>
      </c>
      <c r="E1689" s="3"/>
    </row>
    <row r="1690">
      <c r="B1690" s="3">
        <v>1.6182315E7</v>
      </c>
      <c r="C1690" s="3">
        <v>7.59</v>
      </c>
      <c r="D1690" s="3">
        <v>132.9</v>
      </c>
      <c r="E1690" s="3"/>
    </row>
    <row r="1691">
      <c r="B1691" s="3">
        <v>1.6202317E7</v>
      </c>
      <c r="C1691" s="3">
        <v>7.59</v>
      </c>
      <c r="D1691" s="3">
        <v>132.9</v>
      </c>
      <c r="E1691" s="3"/>
    </row>
    <row r="1692">
      <c r="B1692" s="3">
        <v>1.622232E7</v>
      </c>
      <c r="C1692" s="3">
        <v>7.6</v>
      </c>
      <c r="D1692" s="3">
        <v>132.9</v>
      </c>
      <c r="E1692" s="3"/>
    </row>
    <row r="1693">
      <c r="B1693" s="3">
        <v>1.6242323E7</v>
      </c>
      <c r="C1693" s="3">
        <v>7.59</v>
      </c>
      <c r="D1693" s="3">
        <v>132.9</v>
      </c>
      <c r="E1693" s="3"/>
    </row>
    <row r="1694">
      <c r="B1694" s="3">
        <v>1.6262326E7</v>
      </c>
      <c r="C1694" s="3">
        <v>7.59</v>
      </c>
      <c r="D1694" s="3">
        <v>132.9</v>
      </c>
      <c r="E1694" s="3"/>
    </row>
    <row r="1695">
      <c r="B1695" s="3">
        <v>1.6282329E7</v>
      </c>
      <c r="C1695" s="3">
        <v>7.59</v>
      </c>
      <c r="D1695" s="3">
        <v>132.9</v>
      </c>
      <c r="E1695" s="3"/>
    </row>
    <row r="1696">
      <c r="B1696" s="3">
        <v>1.6302331E7</v>
      </c>
      <c r="C1696" s="3">
        <v>7.59</v>
      </c>
      <c r="D1696" s="3">
        <v>132.8</v>
      </c>
      <c r="E1696" s="3"/>
    </row>
    <row r="1697">
      <c r="B1697" s="3">
        <v>1.6322334E7</v>
      </c>
      <c r="C1697" s="3">
        <v>7.59</v>
      </c>
      <c r="D1697" s="3">
        <v>132.9</v>
      </c>
      <c r="E1697" s="3"/>
    </row>
    <row r="1698">
      <c r="B1698" s="3">
        <v>1.6342337E7</v>
      </c>
      <c r="C1698" s="3">
        <v>7.59</v>
      </c>
      <c r="D1698" s="3">
        <v>132.8</v>
      </c>
      <c r="E1698" s="3"/>
    </row>
    <row r="1699">
      <c r="B1699" s="3">
        <v>1.6362341E7</v>
      </c>
      <c r="C1699" s="3">
        <v>7.59</v>
      </c>
      <c r="D1699" s="3">
        <v>132.9</v>
      </c>
      <c r="E1699" s="3"/>
    </row>
    <row r="1700">
      <c r="B1700" s="3">
        <v>1.6382344E7</v>
      </c>
      <c r="C1700" s="3">
        <v>7.59</v>
      </c>
      <c r="D1700" s="3">
        <v>132.9</v>
      </c>
      <c r="E1700" s="3"/>
    </row>
    <row r="1701">
      <c r="B1701" s="3">
        <v>1.6402347E7</v>
      </c>
      <c r="C1701" s="3">
        <v>7.59</v>
      </c>
      <c r="D1701" s="3">
        <v>132.8</v>
      </c>
      <c r="E1701" s="3"/>
    </row>
    <row r="1702">
      <c r="B1702" s="3">
        <v>1.6422349E7</v>
      </c>
      <c r="C1702" s="3">
        <v>7.59</v>
      </c>
      <c r="D1702" s="3">
        <v>132.8</v>
      </c>
      <c r="E1702" s="3"/>
    </row>
    <row r="1703">
      <c r="B1703" s="3">
        <v>1.6442352E7</v>
      </c>
      <c r="C1703" s="3">
        <v>7.59</v>
      </c>
      <c r="D1703" s="3">
        <v>132.9</v>
      </c>
      <c r="E1703" s="3"/>
    </row>
    <row r="1704">
      <c r="B1704" s="3">
        <v>1.6462355E7</v>
      </c>
      <c r="C1704" s="3">
        <v>7.59</v>
      </c>
      <c r="D1704" s="3">
        <v>132.8</v>
      </c>
      <c r="E1704" s="3"/>
    </row>
    <row r="1705">
      <c r="B1705" s="3">
        <v>1.6482358E7</v>
      </c>
      <c r="C1705" s="3">
        <v>7.59</v>
      </c>
      <c r="D1705" s="3">
        <v>132.8</v>
      </c>
      <c r="E1705" s="3"/>
    </row>
    <row r="1706">
      <c r="B1706" s="3">
        <v>1.6502361E7</v>
      </c>
      <c r="C1706" s="3">
        <v>7.59</v>
      </c>
      <c r="D1706" s="3">
        <v>132.8</v>
      </c>
      <c r="E1706" s="3"/>
    </row>
    <row r="1707">
      <c r="B1707" s="3">
        <v>1.6522363E7</v>
      </c>
      <c r="C1707" s="3">
        <v>7.59</v>
      </c>
      <c r="D1707" s="3">
        <v>132.8</v>
      </c>
      <c r="E1707" s="3"/>
    </row>
    <row r="1708">
      <c r="B1708" s="3">
        <v>1.6542366E7</v>
      </c>
      <c r="C1708" s="3">
        <v>7.59</v>
      </c>
      <c r="D1708" s="3">
        <v>132.8</v>
      </c>
      <c r="E1708" s="3"/>
    </row>
    <row r="1709">
      <c r="B1709" s="3">
        <v>1.6562369E7</v>
      </c>
      <c r="C1709" s="3">
        <v>7.59</v>
      </c>
      <c r="D1709" s="3">
        <v>132.7</v>
      </c>
      <c r="E1709" s="3"/>
    </row>
    <row r="1710">
      <c r="B1710" s="3">
        <v>1.6582372E7</v>
      </c>
      <c r="C1710" s="3">
        <v>7.59</v>
      </c>
      <c r="D1710" s="3">
        <v>132.8</v>
      </c>
      <c r="E1710" s="3"/>
    </row>
    <row r="1711">
      <c r="B1711" s="3">
        <v>1.6602375E7</v>
      </c>
      <c r="C1711" s="3">
        <v>7.59</v>
      </c>
      <c r="D1711" s="3">
        <v>132.8</v>
      </c>
      <c r="E1711" s="3"/>
    </row>
    <row r="1712">
      <c r="B1712" s="3">
        <v>1.6622377E7</v>
      </c>
      <c r="C1712" s="3">
        <v>7.59</v>
      </c>
      <c r="D1712" s="3">
        <v>132.8</v>
      </c>
      <c r="E1712" s="3"/>
    </row>
    <row r="1713">
      <c r="B1713" s="3">
        <v>1.664238E7</v>
      </c>
      <c r="C1713" s="3">
        <v>7.59</v>
      </c>
      <c r="D1713" s="3">
        <v>132.8</v>
      </c>
      <c r="E1713" s="3"/>
    </row>
    <row r="1714">
      <c r="B1714" s="3">
        <v>1.6662384E7</v>
      </c>
      <c r="C1714" s="3">
        <v>7.59</v>
      </c>
      <c r="D1714" s="3">
        <v>132.7</v>
      </c>
      <c r="E1714" s="3"/>
    </row>
    <row r="1715">
      <c r="B1715" s="3">
        <v>1.6682387E7</v>
      </c>
      <c r="C1715" s="3">
        <v>7.59</v>
      </c>
      <c r="D1715" s="3">
        <v>132.8</v>
      </c>
      <c r="E1715" s="3"/>
    </row>
    <row r="1716">
      <c r="B1716" s="3">
        <v>1.670239E7</v>
      </c>
      <c r="C1716" s="3">
        <v>7.59</v>
      </c>
      <c r="D1716" s="3">
        <v>132.8</v>
      </c>
      <c r="E1716" s="3"/>
    </row>
    <row r="1717">
      <c r="B1717" s="3">
        <v>1.6722393E7</v>
      </c>
      <c r="C1717" s="3">
        <v>7.59</v>
      </c>
      <c r="D1717" s="3">
        <v>132.8</v>
      </c>
      <c r="E1717" s="3"/>
    </row>
    <row r="1718">
      <c r="B1718" s="3">
        <v>1.6742395E7</v>
      </c>
      <c r="C1718" s="3">
        <v>7.59</v>
      </c>
      <c r="D1718" s="3">
        <v>132.7</v>
      </c>
      <c r="E1718" s="3"/>
    </row>
    <row r="1719">
      <c r="B1719" s="3">
        <v>1.6762398E7</v>
      </c>
      <c r="C1719" s="3">
        <v>7.59</v>
      </c>
      <c r="D1719" s="3">
        <v>132.7</v>
      </c>
      <c r="E1719" s="3"/>
    </row>
    <row r="1720">
      <c r="B1720" s="3">
        <v>1.6782401E7</v>
      </c>
      <c r="C1720" s="3">
        <v>7.58</v>
      </c>
      <c r="D1720" s="3">
        <v>132.8</v>
      </c>
      <c r="E1720" s="3"/>
    </row>
    <row r="1721">
      <c r="B1721" s="3">
        <v>1.6802404E7</v>
      </c>
      <c r="C1721" s="3">
        <v>7.58</v>
      </c>
      <c r="D1721" s="3">
        <v>132.7</v>
      </c>
      <c r="E1721" s="3"/>
    </row>
    <row r="1722">
      <c r="B1722" s="3">
        <v>1.6822407E7</v>
      </c>
      <c r="C1722" s="3">
        <v>7.59</v>
      </c>
      <c r="D1722" s="3">
        <v>132.7</v>
      </c>
      <c r="E1722" s="3"/>
    </row>
    <row r="1723">
      <c r="B1723" s="3">
        <v>1.6842409E7</v>
      </c>
      <c r="C1723" s="3">
        <v>7.58</v>
      </c>
      <c r="D1723" s="3">
        <v>132.8</v>
      </c>
      <c r="E1723" s="3"/>
    </row>
    <row r="1724">
      <c r="B1724" s="3">
        <v>1.6862412E7</v>
      </c>
      <c r="C1724" s="3">
        <v>7.58</v>
      </c>
      <c r="D1724" s="3">
        <v>132.8</v>
      </c>
      <c r="E1724" s="3"/>
    </row>
    <row r="1725">
      <c r="B1725" s="3">
        <v>1.6882415E7</v>
      </c>
      <c r="C1725" s="3">
        <v>7.58</v>
      </c>
      <c r="D1725" s="3">
        <v>132.7</v>
      </c>
      <c r="E1725" s="3"/>
    </row>
    <row r="1726">
      <c r="B1726" s="3">
        <v>1.6902418E7</v>
      </c>
      <c r="C1726" s="3">
        <v>7.58</v>
      </c>
      <c r="D1726" s="3">
        <v>132.7</v>
      </c>
      <c r="E1726" s="3"/>
    </row>
    <row r="1727">
      <c r="B1727" s="3">
        <v>1.6922421E7</v>
      </c>
      <c r="C1727" s="3">
        <v>7.58</v>
      </c>
      <c r="D1727" s="3">
        <v>132.7</v>
      </c>
      <c r="E1727" s="3"/>
    </row>
    <row r="1728">
      <c r="B1728" s="3">
        <v>1.6942425E7</v>
      </c>
      <c r="C1728" s="3">
        <v>7.58</v>
      </c>
      <c r="D1728" s="3">
        <v>132.7</v>
      </c>
      <c r="E1728" s="3"/>
    </row>
    <row r="1729">
      <c r="B1729" s="3">
        <v>1.6962427E7</v>
      </c>
      <c r="C1729" s="3">
        <v>7.58</v>
      </c>
      <c r="D1729" s="3">
        <v>132.7</v>
      </c>
      <c r="E1729" s="3"/>
    </row>
    <row r="1730">
      <c r="B1730" s="3">
        <v>1.698243E7</v>
      </c>
      <c r="C1730" s="3">
        <v>7.58</v>
      </c>
      <c r="D1730" s="3">
        <v>132.7</v>
      </c>
      <c r="E1730" s="3"/>
    </row>
    <row r="1731">
      <c r="B1731" s="3">
        <v>1.7002433E7</v>
      </c>
      <c r="C1731" s="3">
        <v>7.58</v>
      </c>
      <c r="D1731" s="3">
        <v>132.8</v>
      </c>
      <c r="E1731" s="3"/>
    </row>
    <row r="1732">
      <c r="B1732" s="3">
        <v>1.7022436E7</v>
      </c>
      <c r="C1732" s="3">
        <v>7.58</v>
      </c>
      <c r="D1732" s="3">
        <v>132.7</v>
      </c>
      <c r="E1732" s="3"/>
    </row>
    <row r="1733">
      <c r="B1733" s="3">
        <v>1.7042439E7</v>
      </c>
      <c r="C1733" s="3">
        <v>7.58</v>
      </c>
      <c r="D1733" s="3">
        <v>132.7</v>
      </c>
      <c r="E1733" s="3"/>
    </row>
    <row r="1734">
      <c r="B1734" s="3">
        <v>1.7062441E7</v>
      </c>
      <c r="C1734" s="3">
        <v>7.58</v>
      </c>
      <c r="D1734" s="3">
        <v>132.7</v>
      </c>
      <c r="E1734" s="3"/>
    </row>
    <row r="1735">
      <c r="B1735" s="3">
        <v>1.7082444E7</v>
      </c>
      <c r="C1735" s="3">
        <v>7.58</v>
      </c>
      <c r="D1735" s="3">
        <v>132.8</v>
      </c>
      <c r="E1735" s="3"/>
    </row>
    <row r="1736">
      <c r="B1736" s="3">
        <v>1.7102447E7</v>
      </c>
      <c r="C1736" s="3">
        <v>7.58</v>
      </c>
      <c r="D1736" s="3">
        <v>132.6</v>
      </c>
      <c r="E1736" s="3"/>
    </row>
    <row r="1737">
      <c r="B1737" s="3">
        <v>1.712245E7</v>
      </c>
      <c r="C1737" s="3">
        <v>7.58</v>
      </c>
      <c r="D1737" s="3">
        <v>132.7</v>
      </c>
      <c r="E1737" s="3"/>
    </row>
    <row r="1738">
      <c r="B1738" s="3">
        <v>1.7142453E7</v>
      </c>
      <c r="C1738" s="3">
        <v>7.58</v>
      </c>
      <c r="D1738" s="3">
        <v>132.6</v>
      </c>
      <c r="E1738" s="3"/>
    </row>
    <row r="1739">
      <c r="B1739" s="3">
        <v>1.7162456E7</v>
      </c>
      <c r="C1739" s="3">
        <v>7.58</v>
      </c>
      <c r="D1739" s="3">
        <v>132.7</v>
      </c>
      <c r="E1739" s="3"/>
    </row>
    <row r="1740">
      <c r="B1740" s="3">
        <v>1.7182458E7</v>
      </c>
      <c r="C1740" s="3">
        <v>7.58</v>
      </c>
      <c r="D1740" s="3">
        <v>132.6</v>
      </c>
      <c r="E1740" s="3"/>
    </row>
    <row r="1741">
      <c r="B1741" s="3">
        <v>1.7202461E7</v>
      </c>
      <c r="C1741" s="3">
        <v>7.58</v>
      </c>
      <c r="D1741" s="3">
        <v>132.7</v>
      </c>
      <c r="E1741" s="3"/>
    </row>
    <row r="1742">
      <c r="B1742" s="3">
        <v>1.7222465E7</v>
      </c>
      <c r="C1742" s="3">
        <v>7.58</v>
      </c>
      <c r="D1742" s="3">
        <v>132.6</v>
      </c>
      <c r="E1742" s="3"/>
    </row>
    <row r="1743">
      <c r="B1743" s="3">
        <v>1.7242468E7</v>
      </c>
      <c r="C1743" s="3">
        <v>7.58</v>
      </c>
      <c r="D1743" s="3">
        <v>132.7</v>
      </c>
      <c r="E1743" s="3"/>
    </row>
    <row r="1744">
      <c r="B1744" s="3">
        <v>1.7262471E7</v>
      </c>
      <c r="C1744" s="3">
        <v>7.58</v>
      </c>
      <c r="D1744" s="3">
        <v>132.7</v>
      </c>
      <c r="E1744" s="3"/>
    </row>
    <row r="1745">
      <c r="B1745" s="3">
        <v>1.7282473E7</v>
      </c>
      <c r="C1745" s="3">
        <v>7.58</v>
      </c>
      <c r="D1745" s="3">
        <v>132.6</v>
      </c>
      <c r="E1745" s="3"/>
    </row>
    <row r="1746">
      <c r="B1746" s="3">
        <v>1.7302476E7</v>
      </c>
      <c r="C1746" s="3">
        <v>7.58</v>
      </c>
      <c r="D1746" s="3">
        <v>132.6</v>
      </c>
      <c r="E1746" s="3"/>
    </row>
    <row r="1747">
      <c r="B1747" s="3">
        <v>1.7322479E7</v>
      </c>
      <c r="C1747" s="3">
        <v>7.58</v>
      </c>
      <c r="D1747" s="3">
        <v>132.7</v>
      </c>
      <c r="E1747" s="3"/>
    </row>
    <row r="1748">
      <c r="B1748" s="3">
        <v>1.7342482E7</v>
      </c>
      <c r="C1748" s="3">
        <v>7.58</v>
      </c>
      <c r="D1748" s="3">
        <v>132.6</v>
      </c>
      <c r="E1748" s="3"/>
    </row>
    <row r="1749">
      <c r="B1749" s="3">
        <v>1.7362485E7</v>
      </c>
      <c r="C1749" s="3">
        <v>7.58</v>
      </c>
      <c r="D1749" s="3">
        <v>132.7</v>
      </c>
      <c r="E1749" s="3"/>
    </row>
    <row r="1750">
      <c r="B1750" s="3">
        <v>1.7382488E7</v>
      </c>
      <c r="C1750" s="3">
        <v>7.58</v>
      </c>
      <c r="D1750" s="3">
        <v>132.6</v>
      </c>
      <c r="E1750" s="3"/>
    </row>
    <row r="1751">
      <c r="B1751" s="3">
        <v>1.740249E7</v>
      </c>
      <c r="C1751" s="3">
        <v>7.58</v>
      </c>
      <c r="D1751" s="3">
        <v>132.6</v>
      </c>
      <c r="E1751" s="3"/>
    </row>
    <row r="1752">
      <c r="B1752" s="3">
        <v>1.7422493E7</v>
      </c>
      <c r="C1752" s="3">
        <v>7.58</v>
      </c>
      <c r="D1752" s="3">
        <v>132.6</v>
      </c>
      <c r="E1752" s="3"/>
    </row>
    <row r="1753">
      <c r="B1753" s="3">
        <v>1.7442496E7</v>
      </c>
      <c r="C1753" s="3">
        <v>7.58</v>
      </c>
      <c r="D1753" s="3">
        <v>132.6</v>
      </c>
      <c r="E1753" s="3"/>
    </row>
    <row r="1754">
      <c r="B1754" s="3">
        <v>1.7462499E7</v>
      </c>
      <c r="C1754" s="3">
        <v>7.58</v>
      </c>
      <c r="D1754" s="3">
        <v>132.6</v>
      </c>
      <c r="E1754" s="3"/>
    </row>
    <row r="1755">
      <c r="B1755" s="3">
        <v>1.7482502E7</v>
      </c>
      <c r="C1755" s="3">
        <v>7.58</v>
      </c>
      <c r="D1755" s="3">
        <v>132.6</v>
      </c>
      <c r="E1755" s="3"/>
    </row>
    <row r="1756">
      <c r="B1756" s="3">
        <v>1.7502505E7</v>
      </c>
      <c r="C1756" s="3">
        <v>7.58</v>
      </c>
      <c r="D1756" s="3">
        <v>132.6</v>
      </c>
      <c r="E1756" s="3"/>
    </row>
    <row r="1757">
      <c r="B1757" s="3">
        <v>1.7522508E7</v>
      </c>
      <c r="C1757" s="3">
        <v>7.58</v>
      </c>
      <c r="D1757" s="3">
        <v>132.6</v>
      </c>
      <c r="E1757" s="3"/>
    </row>
    <row r="1758">
      <c r="B1758" s="3">
        <v>1.7542511E7</v>
      </c>
      <c r="C1758" s="3">
        <v>7.58</v>
      </c>
      <c r="D1758" s="3">
        <v>132.6</v>
      </c>
      <c r="E1758" s="3"/>
    </row>
    <row r="1759">
      <c r="B1759" s="3">
        <v>1.7562514E7</v>
      </c>
      <c r="C1759" s="3">
        <v>7.58</v>
      </c>
      <c r="D1759" s="3">
        <v>132.6</v>
      </c>
      <c r="E1759" s="3"/>
    </row>
    <row r="1760">
      <c r="B1760" s="3">
        <v>1.7582517E7</v>
      </c>
      <c r="C1760" s="3">
        <v>7.58</v>
      </c>
      <c r="D1760" s="3">
        <v>132.6</v>
      </c>
      <c r="E1760" s="3"/>
    </row>
    <row r="1761">
      <c r="B1761" s="3">
        <v>1.760252E7</v>
      </c>
      <c r="C1761" s="3">
        <v>7.58</v>
      </c>
      <c r="D1761" s="3">
        <v>132.6</v>
      </c>
      <c r="E1761" s="3"/>
    </row>
    <row r="1762">
      <c r="B1762" s="3">
        <v>1.7622522E7</v>
      </c>
      <c r="C1762" s="3">
        <v>7.57</v>
      </c>
      <c r="D1762" s="3">
        <v>132.6</v>
      </c>
      <c r="E1762" s="3"/>
    </row>
    <row r="1763">
      <c r="B1763" s="3">
        <v>1.7642525E7</v>
      </c>
      <c r="C1763" s="3">
        <v>7.58</v>
      </c>
      <c r="D1763" s="3">
        <v>132.6</v>
      </c>
      <c r="E1763" s="3"/>
    </row>
    <row r="1764">
      <c r="B1764" s="3">
        <v>1.7662528E7</v>
      </c>
      <c r="C1764" s="3">
        <v>7.58</v>
      </c>
      <c r="D1764" s="3">
        <v>132.5</v>
      </c>
      <c r="E1764" s="3"/>
    </row>
    <row r="1765">
      <c r="B1765" s="3">
        <v>1.7682531E7</v>
      </c>
      <c r="C1765" s="3">
        <v>7.58</v>
      </c>
      <c r="D1765" s="3">
        <v>132.5</v>
      </c>
      <c r="E1765" s="3"/>
    </row>
    <row r="1766">
      <c r="B1766" s="3">
        <v>1.7702534E7</v>
      </c>
      <c r="C1766" s="3">
        <v>7.57</v>
      </c>
      <c r="D1766" s="3">
        <v>132.6</v>
      </c>
      <c r="E1766" s="3"/>
    </row>
    <row r="1767">
      <c r="B1767" s="3">
        <v>1.7722536E7</v>
      </c>
      <c r="C1767" s="3">
        <v>7.58</v>
      </c>
      <c r="D1767" s="3">
        <v>132.6</v>
      </c>
      <c r="E1767" s="3"/>
    </row>
    <row r="1768">
      <c r="B1768" s="3">
        <v>1.7742539E7</v>
      </c>
      <c r="C1768" s="3">
        <v>7.58</v>
      </c>
      <c r="D1768" s="3">
        <v>132.6</v>
      </c>
      <c r="E1768" s="3"/>
    </row>
    <row r="1769">
      <c r="B1769" s="3">
        <v>1.7762542E7</v>
      </c>
      <c r="C1769" s="3">
        <v>7.57</v>
      </c>
      <c r="D1769" s="3">
        <v>132.6</v>
      </c>
      <c r="E1769" s="3"/>
    </row>
    <row r="1770">
      <c r="B1770" s="3">
        <v>1.7782546E7</v>
      </c>
      <c r="C1770" s="3">
        <v>7.58</v>
      </c>
      <c r="D1770" s="3">
        <v>132.5</v>
      </c>
      <c r="E1770" s="3"/>
    </row>
    <row r="1771">
      <c r="B1771" s="3">
        <v>1.7802549E7</v>
      </c>
      <c r="C1771" s="3">
        <v>7.58</v>
      </c>
      <c r="D1771" s="3">
        <v>132.5</v>
      </c>
      <c r="E1771" s="3"/>
    </row>
    <row r="1772">
      <c r="B1772" s="3">
        <v>1.7822552E7</v>
      </c>
      <c r="C1772" s="3">
        <v>7.58</v>
      </c>
      <c r="D1772" s="3">
        <v>132.5</v>
      </c>
      <c r="E1772" s="3"/>
    </row>
    <row r="1773">
      <c r="B1773" s="3">
        <v>1.7842554E7</v>
      </c>
      <c r="C1773" s="3">
        <v>7.57</v>
      </c>
      <c r="D1773" s="3">
        <v>132.5</v>
      </c>
      <c r="E1773" s="3"/>
    </row>
    <row r="1774">
      <c r="B1774" s="3">
        <v>1.7862557E7</v>
      </c>
      <c r="C1774" s="3">
        <v>7.58</v>
      </c>
      <c r="D1774" s="3">
        <v>132.6</v>
      </c>
      <c r="E1774" s="3"/>
    </row>
    <row r="1775">
      <c r="B1775" s="3">
        <v>1.788256E7</v>
      </c>
      <c r="C1775" s="3">
        <v>7.57</v>
      </c>
      <c r="D1775" s="3">
        <v>132.5</v>
      </c>
      <c r="E1775" s="3"/>
    </row>
    <row r="1776">
      <c r="B1776" s="3">
        <v>1.7902563E7</v>
      </c>
      <c r="C1776" s="3">
        <v>7.57</v>
      </c>
      <c r="D1776" s="3">
        <v>132.5</v>
      </c>
      <c r="E1776" s="3"/>
    </row>
    <row r="1777">
      <c r="B1777" s="3">
        <v>1.7922566E7</v>
      </c>
      <c r="C1777" s="3">
        <v>7.57</v>
      </c>
      <c r="D1777" s="3">
        <v>132.5</v>
      </c>
      <c r="E1777" s="3"/>
    </row>
    <row r="1778">
      <c r="B1778" s="3">
        <v>1.7942568E7</v>
      </c>
      <c r="C1778" s="3">
        <v>7.57</v>
      </c>
      <c r="D1778" s="3">
        <v>132.5</v>
      </c>
      <c r="E1778" s="3"/>
    </row>
    <row r="1779">
      <c r="B1779" s="3">
        <v>1.7962571E7</v>
      </c>
      <c r="C1779" s="3">
        <v>7.57</v>
      </c>
      <c r="D1779" s="3">
        <v>132.5</v>
      </c>
      <c r="E1779" s="3"/>
    </row>
    <row r="1780">
      <c r="B1780" s="3">
        <v>1.7982574E7</v>
      </c>
      <c r="C1780" s="3">
        <v>7.57</v>
      </c>
      <c r="D1780" s="3">
        <v>132.4</v>
      </c>
      <c r="E1780" s="3"/>
    </row>
    <row r="1781">
      <c r="B1781" s="3">
        <v>1.8002577E7</v>
      </c>
      <c r="C1781" s="3">
        <v>7.57</v>
      </c>
      <c r="D1781" s="3">
        <v>132.5</v>
      </c>
      <c r="E1781" s="3"/>
    </row>
    <row r="1782">
      <c r="B1782" s="3">
        <v>1.802258E7</v>
      </c>
      <c r="C1782" s="3">
        <v>7.57</v>
      </c>
      <c r="D1782" s="3">
        <v>132.5</v>
      </c>
      <c r="E1782" s="3"/>
    </row>
    <row r="1783">
      <c r="B1783" s="3">
        <v>1.8042583E7</v>
      </c>
      <c r="C1783" s="3">
        <v>7.57</v>
      </c>
      <c r="D1783" s="3">
        <v>132.5</v>
      </c>
      <c r="E1783" s="3"/>
    </row>
    <row r="1784">
      <c r="B1784" s="3">
        <v>1.8062586E7</v>
      </c>
      <c r="C1784" s="3">
        <v>7.57</v>
      </c>
      <c r="D1784" s="3">
        <v>132.5</v>
      </c>
      <c r="E1784" s="3"/>
    </row>
    <row r="1785">
      <c r="B1785" s="3">
        <v>1.8082589E7</v>
      </c>
      <c r="C1785" s="3">
        <v>7.57</v>
      </c>
      <c r="D1785" s="3">
        <v>132.5</v>
      </c>
      <c r="E1785" s="3"/>
    </row>
    <row r="1786">
      <c r="B1786" s="3">
        <v>1.8102592E7</v>
      </c>
      <c r="C1786" s="3">
        <v>7.57</v>
      </c>
      <c r="D1786" s="3">
        <v>132.4</v>
      </c>
      <c r="E1786" s="3"/>
    </row>
    <row r="1787">
      <c r="B1787" s="3">
        <v>1.8122595E7</v>
      </c>
      <c r="C1787" s="3">
        <v>7.57</v>
      </c>
      <c r="D1787" s="3">
        <v>132.4</v>
      </c>
      <c r="E1787" s="3"/>
    </row>
    <row r="1788">
      <c r="B1788" s="3">
        <v>1.8142598E7</v>
      </c>
      <c r="C1788" s="3">
        <v>7.57</v>
      </c>
      <c r="D1788" s="3">
        <v>132.5</v>
      </c>
      <c r="E1788" s="3"/>
    </row>
    <row r="1789">
      <c r="B1789" s="3">
        <v>1.81626E7</v>
      </c>
      <c r="C1789" s="3">
        <v>7.57</v>
      </c>
      <c r="D1789" s="3">
        <v>132.5</v>
      </c>
      <c r="E1789" s="3"/>
    </row>
    <row r="1790">
      <c r="B1790" s="3">
        <v>1.8182603E7</v>
      </c>
      <c r="C1790" s="3">
        <v>7.57</v>
      </c>
      <c r="D1790" s="3">
        <v>132.4</v>
      </c>
      <c r="E1790" s="3"/>
    </row>
    <row r="1791">
      <c r="B1791" s="3">
        <v>1.8202606E7</v>
      </c>
      <c r="C1791" s="3">
        <v>7.57</v>
      </c>
      <c r="D1791" s="3">
        <v>132.4</v>
      </c>
      <c r="E1791" s="3"/>
    </row>
    <row r="1792">
      <c r="B1792" s="3">
        <v>1.8222609E7</v>
      </c>
      <c r="C1792" s="3">
        <v>7.57</v>
      </c>
      <c r="D1792" s="3">
        <v>132.4</v>
      </c>
      <c r="E1792" s="3"/>
    </row>
    <row r="1793">
      <c r="B1793" s="3">
        <v>1.8242612E7</v>
      </c>
      <c r="C1793" s="3">
        <v>7.57</v>
      </c>
      <c r="D1793" s="3">
        <v>132.4</v>
      </c>
      <c r="E1793" s="3"/>
    </row>
    <row r="1794">
      <c r="B1794" s="3">
        <v>1.8262615E7</v>
      </c>
      <c r="C1794" s="3">
        <v>7.57</v>
      </c>
      <c r="D1794" s="3">
        <v>132.4</v>
      </c>
      <c r="E1794" s="3"/>
    </row>
    <row r="1795">
      <c r="B1795" s="3">
        <v>1.8282617E7</v>
      </c>
      <c r="C1795" s="3">
        <v>7.57</v>
      </c>
      <c r="D1795" s="3">
        <v>132.4</v>
      </c>
      <c r="E1795" s="3"/>
    </row>
    <row r="1796">
      <c r="B1796" s="3">
        <v>1.830262E7</v>
      </c>
      <c r="C1796" s="3">
        <v>7.57</v>
      </c>
      <c r="D1796" s="3">
        <v>132.4</v>
      </c>
      <c r="E1796" s="3"/>
    </row>
    <row r="1797">
      <c r="B1797" s="3">
        <v>1.8322623E7</v>
      </c>
      <c r="C1797" s="3">
        <v>7.57</v>
      </c>
      <c r="D1797" s="3">
        <v>132.4</v>
      </c>
      <c r="E1797" s="3"/>
    </row>
    <row r="1798">
      <c r="B1798" s="3">
        <v>1.8342627E7</v>
      </c>
      <c r="C1798" s="3">
        <v>7.57</v>
      </c>
      <c r="D1798" s="3">
        <v>132.4</v>
      </c>
      <c r="E1798" s="3"/>
    </row>
    <row r="1799">
      <c r="B1799" s="3">
        <v>1.836263E7</v>
      </c>
      <c r="C1799" s="3">
        <v>7.57</v>
      </c>
      <c r="D1799" s="3">
        <v>132.5</v>
      </c>
      <c r="E1799" s="3"/>
    </row>
    <row r="1800">
      <c r="B1800" s="3">
        <v>1.8382632E7</v>
      </c>
      <c r="C1800" s="3">
        <v>7.57</v>
      </c>
      <c r="D1800" s="3">
        <v>132.4</v>
      </c>
      <c r="E1800" s="3"/>
    </row>
    <row r="1801">
      <c r="B1801" s="3">
        <v>1.8402635E7</v>
      </c>
      <c r="C1801" s="3">
        <v>7.57</v>
      </c>
      <c r="D1801" s="3">
        <v>132.4</v>
      </c>
      <c r="E1801" s="3"/>
    </row>
    <row r="1802">
      <c r="B1802" s="3">
        <v>1.8422638E7</v>
      </c>
      <c r="C1802" s="3">
        <v>7.56</v>
      </c>
      <c r="D1802" s="3">
        <v>132.4</v>
      </c>
      <c r="E1802" s="3"/>
    </row>
    <row r="1803">
      <c r="B1803" s="3">
        <v>1.8442641E7</v>
      </c>
      <c r="C1803" s="3">
        <v>7.56</v>
      </c>
      <c r="D1803" s="3">
        <v>132.4</v>
      </c>
      <c r="E1803" s="3"/>
    </row>
    <row r="1804">
      <c r="B1804" s="3">
        <v>1.8462644E7</v>
      </c>
      <c r="C1804" s="3">
        <v>7.56</v>
      </c>
      <c r="D1804" s="3">
        <v>132.4</v>
      </c>
      <c r="E1804" s="3"/>
    </row>
    <row r="1805">
      <c r="B1805" s="3">
        <v>1.8482647E7</v>
      </c>
      <c r="C1805" s="3">
        <v>7.57</v>
      </c>
      <c r="D1805" s="3">
        <v>132.3</v>
      </c>
      <c r="E1805" s="3"/>
    </row>
    <row r="1806">
      <c r="B1806" s="3">
        <v>1.8502649E7</v>
      </c>
      <c r="C1806" s="3">
        <v>7.56</v>
      </c>
      <c r="D1806" s="3">
        <v>132.4</v>
      </c>
      <c r="E1806" s="3"/>
    </row>
    <row r="1807">
      <c r="B1807" s="3">
        <v>1.8522652E7</v>
      </c>
      <c r="C1807" s="3">
        <v>7.56</v>
      </c>
      <c r="D1807" s="3">
        <v>132.4</v>
      </c>
      <c r="E1807" s="3"/>
    </row>
    <row r="1808">
      <c r="B1808" s="3">
        <v>1.8542655E7</v>
      </c>
      <c r="C1808" s="3">
        <v>7.56</v>
      </c>
      <c r="D1808" s="3">
        <v>132.4</v>
      </c>
      <c r="E1808" s="3"/>
    </row>
    <row r="1809">
      <c r="B1809" s="3">
        <v>1.8562658E7</v>
      </c>
      <c r="C1809" s="3">
        <v>7.56</v>
      </c>
      <c r="D1809" s="3">
        <v>132.3</v>
      </c>
      <c r="E1809" s="3"/>
    </row>
    <row r="1810">
      <c r="B1810" s="3">
        <v>1.8582661E7</v>
      </c>
      <c r="C1810" s="3">
        <v>7.56</v>
      </c>
      <c r="D1810" s="3">
        <v>132.4</v>
      </c>
      <c r="E1810" s="3"/>
    </row>
    <row r="1811">
      <c r="B1811" s="3">
        <v>1.8602664E7</v>
      </c>
      <c r="C1811" s="3">
        <v>7.56</v>
      </c>
      <c r="D1811" s="3">
        <v>132.4</v>
      </c>
      <c r="E1811" s="3"/>
    </row>
    <row r="1812">
      <c r="B1812" s="3">
        <v>1.8622667E7</v>
      </c>
      <c r="C1812" s="3">
        <v>7.56</v>
      </c>
      <c r="D1812" s="3">
        <v>132.3</v>
      </c>
      <c r="E1812" s="3"/>
    </row>
    <row r="1813">
      <c r="B1813" s="3">
        <v>1.864267E7</v>
      </c>
      <c r="C1813" s="3">
        <v>7.56</v>
      </c>
      <c r="D1813" s="3">
        <v>132.4</v>
      </c>
      <c r="E1813" s="3"/>
    </row>
    <row r="1814">
      <c r="B1814" s="3">
        <v>1.8662673E7</v>
      </c>
      <c r="C1814" s="3">
        <v>7.56</v>
      </c>
      <c r="D1814" s="3">
        <v>132.3</v>
      </c>
      <c r="E1814" s="3"/>
    </row>
    <row r="1815">
      <c r="B1815" s="3">
        <v>1.8682676E7</v>
      </c>
      <c r="C1815" s="3">
        <v>7.56</v>
      </c>
      <c r="D1815" s="3">
        <v>132.3</v>
      </c>
      <c r="E1815" s="3"/>
    </row>
    <row r="1816">
      <c r="B1816" s="3">
        <v>1.8702679E7</v>
      </c>
      <c r="C1816" s="3">
        <v>7.56</v>
      </c>
      <c r="D1816" s="3">
        <v>132.3</v>
      </c>
      <c r="E1816" s="3"/>
    </row>
    <row r="1817">
      <c r="B1817" s="3">
        <v>1.8722681E7</v>
      </c>
      <c r="C1817" s="3">
        <v>7.56</v>
      </c>
      <c r="D1817" s="3">
        <v>132.3</v>
      </c>
      <c r="E1817" s="3"/>
    </row>
    <row r="1818">
      <c r="B1818" s="3">
        <v>1.8742684E7</v>
      </c>
      <c r="C1818" s="3">
        <v>7.56</v>
      </c>
      <c r="D1818" s="3">
        <v>132.3</v>
      </c>
      <c r="E1818" s="3"/>
    </row>
    <row r="1819">
      <c r="B1819" s="3">
        <v>1.8762687E7</v>
      </c>
      <c r="C1819" s="3">
        <v>7.56</v>
      </c>
      <c r="D1819" s="3">
        <v>132.3</v>
      </c>
      <c r="E1819" s="3"/>
    </row>
    <row r="1820">
      <c r="B1820" s="3">
        <v>1.878269E7</v>
      </c>
      <c r="C1820" s="3">
        <v>7.56</v>
      </c>
      <c r="D1820" s="3">
        <v>132.3</v>
      </c>
      <c r="E1820" s="3"/>
    </row>
    <row r="1821">
      <c r="B1821" s="3">
        <v>1.8802693E7</v>
      </c>
      <c r="C1821" s="3">
        <v>7.56</v>
      </c>
      <c r="D1821" s="3">
        <v>132.3</v>
      </c>
      <c r="E1821" s="3"/>
    </row>
    <row r="1822">
      <c r="B1822" s="3">
        <v>1.8822695E7</v>
      </c>
      <c r="C1822" s="3">
        <v>7.56</v>
      </c>
      <c r="D1822" s="3">
        <v>132.3</v>
      </c>
      <c r="E1822" s="3"/>
    </row>
    <row r="1823">
      <c r="B1823" s="3">
        <v>1.8842698E7</v>
      </c>
      <c r="C1823" s="3">
        <v>7.56</v>
      </c>
      <c r="D1823" s="3">
        <v>132.2</v>
      </c>
      <c r="E1823" s="3"/>
    </row>
    <row r="1824">
      <c r="B1824" s="3">
        <v>1.8862701E7</v>
      </c>
      <c r="C1824" s="3">
        <v>7.56</v>
      </c>
      <c r="D1824" s="3">
        <v>132.2</v>
      </c>
      <c r="E1824" s="3"/>
    </row>
    <row r="1825">
      <c r="B1825" s="3">
        <v>1.8882705E7</v>
      </c>
      <c r="C1825" s="3">
        <v>7.56</v>
      </c>
      <c r="D1825" s="3">
        <v>132.3</v>
      </c>
      <c r="E1825" s="3"/>
    </row>
    <row r="1826">
      <c r="B1826" s="3">
        <v>1.8902708E7</v>
      </c>
      <c r="C1826" s="3">
        <v>7.56</v>
      </c>
      <c r="D1826" s="3">
        <v>132.2</v>
      </c>
      <c r="E1826" s="3"/>
    </row>
    <row r="1827">
      <c r="B1827" s="3">
        <v>1.8922711E7</v>
      </c>
      <c r="C1827" s="3">
        <v>7.56</v>
      </c>
      <c r="D1827" s="3">
        <v>132.2</v>
      </c>
      <c r="E1827" s="3"/>
    </row>
    <row r="1828">
      <c r="B1828" s="3">
        <v>1.8942713E7</v>
      </c>
      <c r="C1828" s="3">
        <v>7.56</v>
      </c>
      <c r="D1828" s="3">
        <v>132.3</v>
      </c>
      <c r="E1828" s="3"/>
    </row>
    <row r="1829">
      <c r="B1829" s="3">
        <v>1.8962716E7</v>
      </c>
      <c r="C1829" s="3">
        <v>7.56</v>
      </c>
      <c r="D1829" s="3">
        <v>132.2</v>
      </c>
      <c r="E1829" s="3"/>
    </row>
    <row r="1830">
      <c r="B1830" s="3">
        <v>1.8982719E7</v>
      </c>
      <c r="C1830" s="3">
        <v>7.56</v>
      </c>
      <c r="D1830" s="3">
        <v>132.2</v>
      </c>
      <c r="E1830" s="3"/>
    </row>
    <row r="1831">
      <c r="B1831" s="3">
        <v>1.9002722E7</v>
      </c>
      <c r="C1831" s="3">
        <v>7.56</v>
      </c>
      <c r="D1831" s="3">
        <v>132.3</v>
      </c>
      <c r="E1831" s="3"/>
    </row>
    <row r="1832">
      <c r="B1832" s="3">
        <v>1.9022725E7</v>
      </c>
      <c r="C1832" s="3">
        <v>7.56</v>
      </c>
      <c r="D1832" s="3">
        <v>132.3</v>
      </c>
      <c r="E1832" s="3"/>
    </row>
    <row r="1833">
      <c r="B1833" s="3">
        <v>1.9042727E7</v>
      </c>
      <c r="C1833" s="3">
        <v>7.56</v>
      </c>
      <c r="D1833" s="3">
        <v>132.2</v>
      </c>
      <c r="E1833" s="3"/>
    </row>
    <row r="1834">
      <c r="B1834" s="3">
        <v>1.906273E7</v>
      </c>
      <c r="C1834" s="3">
        <v>7.56</v>
      </c>
      <c r="D1834" s="3">
        <v>132.3</v>
      </c>
      <c r="E1834" s="3"/>
    </row>
    <row r="1835">
      <c r="B1835" s="3">
        <v>1.9082733E7</v>
      </c>
      <c r="C1835" s="3">
        <v>7.56</v>
      </c>
      <c r="D1835" s="3">
        <v>132.3</v>
      </c>
      <c r="E1835" s="3"/>
    </row>
    <row r="1836">
      <c r="B1836" s="3">
        <v>1.9102736E7</v>
      </c>
      <c r="C1836" s="3">
        <v>7.56</v>
      </c>
      <c r="D1836" s="3">
        <v>132.2</v>
      </c>
      <c r="E1836" s="3"/>
    </row>
    <row r="1837">
      <c r="B1837" s="3">
        <v>1.9122739E7</v>
      </c>
      <c r="C1837" s="3">
        <v>7.56</v>
      </c>
      <c r="D1837" s="3">
        <v>132.2</v>
      </c>
      <c r="E1837" s="3"/>
    </row>
    <row r="1838">
      <c r="B1838" s="3">
        <v>1.9142743E7</v>
      </c>
      <c r="C1838" s="3">
        <v>7.56</v>
      </c>
      <c r="D1838" s="3">
        <v>132.2</v>
      </c>
      <c r="E1838" s="3"/>
    </row>
    <row r="1839">
      <c r="B1839" s="3">
        <v>1.9162745E7</v>
      </c>
      <c r="C1839" s="3">
        <v>7.56</v>
      </c>
      <c r="D1839" s="3">
        <v>132.2</v>
      </c>
      <c r="E1839" s="3"/>
    </row>
    <row r="1840">
      <c r="B1840" s="3">
        <v>1.9182748E7</v>
      </c>
      <c r="C1840" s="3">
        <v>7.56</v>
      </c>
      <c r="D1840" s="3">
        <v>132.2</v>
      </c>
      <c r="E1840" s="3"/>
    </row>
    <row r="1841">
      <c r="B1841" s="3">
        <v>1.9202751E7</v>
      </c>
      <c r="C1841" s="3">
        <v>7.56</v>
      </c>
      <c r="D1841" s="3">
        <v>132.2</v>
      </c>
      <c r="E1841" s="3"/>
    </row>
    <row r="1842">
      <c r="B1842" s="3">
        <v>1.9222754E7</v>
      </c>
      <c r="C1842" s="3">
        <v>7.56</v>
      </c>
      <c r="D1842" s="3">
        <v>132.2</v>
      </c>
      <c r="E1842" s="3"/>
    </row>
    <row r="1843">
      <c r="B1843" s="3">
        <v>1.9242757E7</v>
      </c>
      <c r="C1843" s="3">
        <v>7.56</v>
      </c>
      <c r="D1843" s="3">
        <v>132.2</v>
      </c>
      <c r="E1843" s="3"/>
    </row>
    <row r="1844">
      <c r="B1844" s="3">
        <v>1.9262759E7</v>
      </c>
      <c r="C1844" s="3">
        <v>7.55</v>
      </c>
      <c r="D1844" s="3">
        <v>132.2</v>
      </c>
      <c r="E1844" s="3"/>
    </row>
    <row r="1845">
      <c r="B1845" s="3">
        <v>1.9282762E7</v>
      </c>
      <c r="C1845" s="3">
        <v>7.55</v>
      </c>
      <c r="D1845" s="3">
        <v>132.1</v>
      </c>
      <c r="E1845" s="3"/>
    </row>
    <row r="1846">
      <c r="B1846" s="3">
        <v>1.9302765E7</v>
      </c>
      <c r="C1846" s="3">
        <v>7.55</v>
      </c>
      <c r="D1846" s="3">
        <v>132.1</v>
      </c>
      <c r="E1846" s="3"/>
    </row>
    <row r="1847">
      <c r="B1847" s="3">
        <v>1.9322768E7</v>
      </c>
      <c r="C1847" s="3">
        <v>7.55</v>
      </c>
      <c r="D1847" s="3">
        <v>132.1</v>
      </c>
      <c r="E1847" s="3"/>
    </row>
    <row r="1848">
      <c r="B1848" s="3">
        <v>1.9342771E7</v>
      </c>
      <c r="C1848" s="3">
        <v>7.55</v>
      </c>
      <c r="D1848" s="3">
        <v>132.2</v>
      </c>
      <c r="E1848" s="3"/>
    </row>
    <row r="1849">
      <c r="B1849" s="3">
        <v>1.9362774E7</v>
      </c>
      <c r="C1849" s="3">
        <v>7.55</v>
      </c>
      <c r="D1849" s="3">
        <v>132.2</v>
      </c>
      <c r="E1849" s="3"/>
    </row>
    <row r="1850">
      <c r="B1850" s="3">
        <v>1.9382776E7</v>
      </c>
      <c r="C1850" s="3">
        <v>7.55</v>
      </c>
      <c r="D1850" s="3">
        <v>132.2</v>
      </c>
      <c r="E1850" s="3"/>
    </row>
    <row r="1851">
      <c r="B1851" s="3">
        <v>1.9402779E7</v>
      </c>
      <c r="C1851" s="3">
        <v>7.55</v>
      </c>
      <c r="D1851" s="3">
        <v>132.1</v>
      </c>
      <c r="E1851" s="3"/>
    </row>
    <row r="1852">
      <c r="B1852" s="3">
        <v>1.9422783E7</v>
      </c>
      <c r="C1852" s="3">
        <v>7.55</v>
      </c>
      <c r="D1852" s="3">
        <v>132.1</v>
      </c>
      <c r="E1852" s="3"/>
    </row>
    <row r="1853">
      <c r="B1853" s="3">
        <v>1.9442786E7</v>
      </c>
      <c r="C1853" s="3">
        <v>7.55</v>
      </c>
      <c r="D1853" s="3">
        <v>132.1</v>
      </c>
      <c r="E1853" s="3"/>
    </row>
    <row r="1854">
      <c r="B1854" s="3">
        <v>1.9462789E7</v>
      </c>
      <c r="C1854" s="3">
        <v>7.55</v>
      </c>
      <c r="D1854" s="3">
        <v>132.0</v>
      </c>
      <c r="E1854" s="3"/>
    </row>
    <row r="1855">
      <c r="B1855" s="3">
        <v>1.9482791E7</v>
      </c>
      <c r="C1855" s="3">
        <v>7.55</v>
      </c>
      <c r="D1855" s="3">
        <v>132.0</v>
      </c>
      <c r="E1855" s="3"/>
    </row>
    <row r="1856">
      <c r="B1856" s="3">
        <v>1.9502794E7</v>
      </c>
      <c r="C1856" s="3">
        <v>7.55</v>
      </c>
      <c r="D1856" s="3">
        <v>132.0</v>
      </c>
      <c r="E1856" s="3"/>
    </row>
    <row r="1857">
      <c r="B1857" s="3">
        <v>1.9522797E7</v>
      </c>
      <c r="C1857" s="3">
        <v>7.55</v>
      </c>
      <c r="D1857" s="3">
        <v>132.1</v>
      </c>
      <c r="E1857" s="3"/>
    </row>
    <row r="1858">
      <c r="B1858" s="3">
        <v>1.95428E7</v>
      </c>
      <c r="C1858" s="3">
        <v>7.55</v>
      </c>
      <c r="D1858" s="3">
        <v>132.1</v>
      </c>
      <c r="E1858" s="3"/>
    </row>
    <row r="1859">
      <c r="B1859" s="3">
        <v>1.9562803E7</v>
      </c>
      <c r="C1859" s="3">
        <v>7.55</v>
      </c>
      <c r="D1859" s="3">
        <v>132.1</v>
      </c>
      <c r="E1859" s="3"/>
    </row>
    <row r="1860">
      <c r="B1860" s="3">
        <v>1.9582806E7</v>
      </c>
      <c r="C1860" s="3">
        <v>7.55</v>
      </c>
      <c r="D1860" s="3">
        <v>132.1</v>
      </c>
      <c r="E1860" s="3"/>
    </row>
    <row r="1861">
      <c r="B1861" s="3">
        <v>1.9602808E7</v>
      </c>
      <c r="C1861" s="3">
        <v>7.55</v>
      </c>
      <c r="D1861" s="3">
        <v>132.1</v>
      </c>
      <c r="E1861" s="3"/>
    </row>
    <row r="1862">
      <c r="B1862" s="3">
        <v>1.9622811E7</v>
      </c>
      <c r="C1862" s="3">
        <v>7.55</v>
      </c>
      <c r="D1862" s="3">
        <v>132.1</v>
      </c>
      <c r="E1862" s="3"/>
    </row>
    <row r="1863">
      <c r="B1863" s="3">
        <v>1.9642814E7</v>
      </c>
      <c r="C1863" s="3">
        <v>7.54</v>
      </c>
      <c r="D1863" s="3">
        <v>132.1</v>
      </c>
      <c r="E1863" s="3"/>
    </row>
    <row r="1864">
      <c r="B1864" s="3">
        <v>1.9662817E7</v>
      </c>
      <c r="C1864" s="3">
        <v>7.55</v>
      </c>
      <c r="D1864" s="3">
        <v>132.1</v>
      </c>
      <c r="E1864" s="3"/>
    </row>
    <row r="1865">
      <c r="B1865" s="3">
        <v>1.968282E7</v>
      </c>
      <c r="C1865" s="3">
        <v>7.55</v>
      </c>
      <c r="D1865" s="3">
        <v>132.1</v>
      </c>
      <c r="E1865" s="3"/>
    </row>
    <row r="1866">
      <c r="B1866" s="3">
        <v>1.9702823E7</v>
      </c>
      <c r="C1866" s="3">
        <v>7.55</v>
      </c>
      <c r="D1866" s="3">
        <v>132.1</v>
      </c>
      <c r="E1866" s="3"/>
    </row>
    <row r="1867">
      <c r="B1867" s="3">
        <v>1.9722826E7</v>
      </c>
      <c r="C1867" s="3">
        <v>7.55</v>
      </c>
      <c r="D1867" s="3">
        <v>132.0</v>
      </c>
      <c r="E1867" s="3"/>
    </row>
    <row r="1868">
      <c r="B1868" s="3">
        <v>1.9742829E7</v>
      </c>
      <c r="C1868" s="3">
        <v>7.54</v>
      </c>
      <c r="D1868" s="3">
        <v>132.0</v>
      </c>
      <c r="E1868" s="3"/>
    </row>
    <row r="1869">
      <c r="B1869" s="3">
        <v>1.9762832E7</v>
      </c>
      <c r="C1869" s="3">
        <v>7.55</v>
      </c>
      <c r="D1869" s="3">
        <v>132.0</v>
      </c>
      <c r="E1869" s="3"/>
    </row>
    <row r="1870">
      <c r="B1870" s="3">
        <v>1.9782835E7</v>
      </c>
      <c r="C1870" s="3">
        <v>7.54</v>
      </c>
      <c r="D1870" s="3">
        <v>132.0</v>
      </c>
      <c r="E1870" s="3"/>
    </row>
    <row r="1871">
      <c r="B1871" s="3">
        <v>1.9802838E7</v>
      </c>
      <c r="C1871" s="3">
        <v>7.54</v>
      </c>
      <c r="D1871" s="3">
        <v>132.0</v>
      </c>
      <c r="E1871" s="3"/>
    </row>
    <row r="1872">
      <c r="B1872" s="3">
        <v>1.982284E7</v>
      </c>
      <c r="C1872" s="3">
        <v>7.54</v>
      </c>
      <c r="D1872" s="3">
        <v>132.0</v>
      </c>
      <c r="E1872" s="3"/>
    </row>
    <row r="1873">
      <c r="B1873" s="3">
        <v>1.9842843E7</v>
      </c>
      <c r="C1873" s="3">
        <v>7.54</v>
      </c>
      <c r="D1873" s="3">
        <v>132.0</v>
      </c>
      <c r="E1873" s="3"/>
    </row>
    <row r="1874">
      <c r="B1874" s="3">
        <v>1.9862846E7</v>
      </c>
      <c r="C1874" s="3">
        <v>7.54</v>
      </c>
      <c r="D1874" s="3">
        <v>132.0</v>
      </c>
      <c r="E1874" s="3"/>
    </row>
    <row r="1875">
      <c r="B1875" s="3">
        <v>1.9882849E7</v>
      </c>
      <c r="C1875" s="3">
        <v>7.54</v>
      </c>
      <c r="D1875" s="3">
        <v>132.0</v>
      </c>
      <c r="E1875" s="3"/>
    </row>
    <row r="1876">
      <c r="B1876" s="3">
        <v>1.9902852E7</v>
      </c>
      <c r="C1876" s="3">
        <v>7.54</v>
      </c>
      <c r="D1876" s="3">
        <v>132.0</v>
      </c>
      <c r="E1876" s="3"/>
    </row>
    <row r="1877">
      <c r="B1877" s="3">
        <v>1.9922854E7</v>
      </c>
      <c r="C1877" s="3">
        <v>7.54</v>
      </c>
      <c r="D1877" s="3">
        <v>132.0</v>
      </c>
      <c r="E1877" s="3"/>
    </row>
    <row r="1878">
      <c r="B1878" s="3">
        <v>1.9942857E7</v>
      </c>
      <c r="C1878" s="3">
        <v>7.54</v>
      </c>
      <c r="D1878" s="3">
        <v>131.9</v>
      </c>
      <c r="E1878" s="3"/>
    </row>
    <row r="1879">
      <c r="B1879" s="3">
        <v>1.996286E7</v>
      </c>
      <c r="C1879" s="3">
        <v>7.54</v>
      </c>
      <c r="D1879" s="3">
        <v>132.0</v>
      </c>
      <c r="E1879" s="3"/>
    </row>
    <row r="1880">
      <c r="B1880" s="3">
        <v>1.9982863E7</v>
      </c>
      <c r="C1880" s="3">
        <v>7.54</v>
      </c>
      <c r="D1880" s="3">
        <v>132.0</v>
      </c>
      <c r="E1880" s="3"/>
    </row>
    <row r="1881">
      <c r="B1881" s="3">
        <v>2.0002867E7</v>
      </c>
      <c r="C1881" s="3">
        <v>7.54</v>
      </c>
      <c r="D1881" s="3">
        <v>131.9</v>
      </c>
      <c r="E1881" s="3"/>
    </row>
    <row r="1882">
      <c r="B1882" s="3">
        <v>2.002287E7</v>
      </c>
      <c r="C1882" s="3">
        <v>7.54</v>
      </c>
      <c r="D1882" s="3">
        <v>131.9</v>
      </c>
      <c r="E1882" s="3"/>
    </row>
    <row r="1883">
      <c r="B1883" s="3">
        <v>2.0042872E7</v>
      </c>
      <c r="C1883" s="3">
        <v>7.54</v>
      </c>
      <c r="D1883" s="3">
        <v>132.0</v>
      </c>
      <c r="E1883" s="3"/>
    </row>
    <row r="1884">
      <c r="B1884" s="3">
        <v>2.0062875E7</v>
      </c>
      <c r="C1884" s="3">
        <v>7.54</v>
      </c>
      <c r="D1884" s="3">
        <v>132.0</v>
      </c>
      <c r="E1884" s="3"/>
    </row>
    <row r="1885">
      <c r="B1885" s="3">
        <v>2.0082878E7</v>
      </c>
      <c r="C1885" s="3">
        <v>7.54</v>
      </c>
      <c r="D1885" s="3">
        <v>131.9</v>
      </c>
      <c r="E1885" s="3"/>
    </row>
    <row r="1886">
      <c r="B1886" s="3">
        <v>2.0102881E7</v>
      </c>
      <c r="C1886" s="3">
        <v>7.54</v>
      </c>
      <c r="D1886" s="3">
        <v>131.9</v>
      </c>
      <c r="E1886" s="3"/>
    </row>
    <row r="1887">
      <c r="B1887" s="3">
        <v>2.0122884E7</v>
      </c>
      <c r="C1887" s="3">
        <v>7.54</v>
      </c>
      <c r="D1887" s="3">
        <v>131.9</v>
      </c>
      <c r="E1887" s="3"/>
    </row>
    <row r="1888">
      <c r="B1888" s="3">
        <v>2.0142886E7</v>
      </c>
      <c r="C1888" s="3">
        <v>7.54</v>
      </c>
      <c r="D1888" s="3">
        <v>131.9</v>
      </c>
      <c r="E1888" s="3"/>
    </row>
    <row r="1889">
      <c r="B1889" s="3">
        <v>2.0162889E7</v>
      </c>
      <c r="C1889" s="3">
        <v>7.54</v>
      </c>
      <c r="D1889" s="3">
        <v>131.9</v>
      </c>
      <c r="E1889" s="3"/>
    </row>
    <row r="1890">
      <c r="B1890" s="3">
        <v>2.0182892E7</v>
      </c>
      <c r="C1890" s="3">
        <v>7.54</v>
      </c>
      <c r="D1890" s="3">
        <v>131.9</v>
      </c>
      <c r="E1890" s="3"/>
    </row>
    <row r="1891">
      <c r="B1891" s="3">
        <v>2.0202895E7</v>
      </c>
      <c r="C1891" s="3">
        <v>7.54</v>
      </c>
      <c r="D1891" s="3">
        <v>131.8</v>
      </c>
      <c r="E1891" s="3"/>
    </row>
    <row r="1892">
      <c r="B1892" s="3">
        <v>2.0222898E7</v>
      </c>
      <c r="C1892" s="3">
        <v>7.54</v>
      </c>
      <c r="D1892" s="3">
        <v>131.9</v>
      </c>
      <c r="E1892" s="3"/>
    </row>
    <row r="1893">
      <c r="B1893" s="3">
        <v>2.02429E7</v>
      </c>
      <c r="C1893" s="3">
        <v>7.54</v>
      </c>
      <c r="D1893" s="3">
        <v>131.9</v>
      </c>
      <c r="E1893" s="3"/>
    </row>
    <row r="1894">
      <c r="B1894" s="3">
        <v>2.0262903E7</v>
      </c>
      <c r="C1894" s="3">
        <v>7.54</v>
      </c>
      <c r="D1894" s="3">
        <v>131.8</v>
      </c>
      <c r="E1894" s="3"/>
    </row>
    <row r="1895">
      <c r="B1895" s="3">
        <v>2.0282907E7</v>
      </c>
      <c r="C1895" s="3">
        <v>7.54</v>
      </c>
      <c r="D1895" s="3">
        <v>131.8</v>
      </c>
      <c r="E1895" s="3"/>
    </row>
    <row r="1896">
      <c r="B1896" s="3">
        <v>2.030291E7</v>
      </c>
      <c r="C1896" s="3">
        <v>7.54</v>
      </c>
      <c r="D1896" s="3">
        <v>131.9</v>
      </c>
      <c r="E1896" s="3"/>
    </row>
    <row r="1897">
      <c r="B1897" s="3">
        <v>2.0322913E7</v>
      </c>
      <c r="C1897" s="3">
        <v>7.54</v>
      </c>
      <c r="D1897" s="3">
        <v>131.9</v>
      </c>
      <c r="E1897" s="3"/>
    </row>
    <row r="1898">
      <c r="B1898" s="3">
        <v>2.0342916E7</v>
      </c>
      <c r="C1898" s="3">
        <v>7.54</v>
      </c>
      <c r="D1898" s="3">
        <v>131.8</v>
      </c>
      <c r="E1898" s="3"/>
    </row>
    <row r="1899">
      <c r="B1899" s="3">
        <v>2.0362918E7</v>
      </c>
      <c r="C1899" s="3">
        <v>7.54</v>
      </c>
      <c r="D1899" s="3">
        <v>131.8</v>
      </c>
      <c r="E1899" s="3"/>
    </row>
    <row r="1900">
      <c r="B1900" s="3">
        <v>2.0382921E7</v>
      </c>
      <c r="C1900" s="3">
        <v>7.54</v>
      </c>
      <c r="D1900" s="3">
        <v>131.8</v>
      </c>
      <c r="E1900" s="3"/>
    </row>
    <row r="1901">
      <c r="B1901" s="3">
        <v>2.0402924E7</v>
      </c>
      <c r="C1901" s="3">
        <v>7.54</v>
      </c>
      <c r="D1901" s="3">
        <v>131.8</v>
      </c>
      <c r="E1901" s="3"/>
    </row>
    <row r="1902">
      <c r="B1902" s="3">
        <v>2.0422927E7</v>
      </c>
      <c r="C1902" s="3">
        <v>7.53</v>
      </c>
      <c r="D1902" s="3">
        <v>131.8</v>
      </c>
      <c r="E1902" s="3"/>
    </row>
    <row r="1903">
      <c r="B1903" s="3">
        <v>2.044293E7</v>
      </c>
      <c r="C1903" s="3">
        <v>7.53</v>
      </c>
      <c r="D1903" s="3">
        <v>131.8</v>
      </c>
      <c r="E1903" s="3"/>
    </row>
    <row r="1904">
      <c r="B1904" s="3">
        <v>2.0462932E7</v>
      </c>
      <c r="C1904" s="3">
        <v>7.54</v>
      </c>
      <c r="D1904" s="3">
        <v>131.8</v>
      </c>
      <c r="E1904" s="3"/>
    </row>
    <row r="1905">
      <c r="B1905" s="3">
        <v>2.0482935E7</v>
      </c>
      <c r="C1905" s="3">
        <v>7.53</v>
      </c>
      <c r="D1905" s="3">
        <v>131.8</v>
      </c>
      <c r="E1905" s="3"/>
    </row>
    <row r="1906">
      <c r="B1906" s="3">
        <v>2.0502938E7</v>
      </c>
      <c r="C1906" s="3">
        <v>7.53</v>
      </c>
      <c r="D1906" s="3">
        <v>131.8</v>
      </c>
      <c r="E1906" s="3"/>
    </row>
    <row r="1907">
      <c r="B1907" s="3">
        <v>2.0522941E7</v>
      </c>
      <c r="C1907" s="3">
        <v>7.53</v>
      </c>
      <c r="D1907" s="3">
        <v>131.8</v>
      </c>
      <c r="E1907" s="3"/>
    </row>
    <row r="1908">
      <c r="B1908" s="3">
        <v>2.0542944E7</v>
      </c>
      <c r="C1908" s="3">
        <v>7.53</v>
      </c>
      <c r="D1908" s="3">
        <v>131.8</v>
      </c>
      <c r="E1908" s="3"/>
    </row>
    <row r="1909">
      <c r="B1909" s="3">
        <v>2.0562948E7</v>
      </c>
      <c r="C1909" s="3">
        <v>7.53</v>
      </c>
      <c r="D1909" s="3">
        <v>131.8</v>
      </c>
      <c r="E1909" s="3"/>
    </row>
    <row r="1910">
      <c r="B1910" s="3">
        <v>2.058295E7</v>
      </c>
      <c r="C1910" s="3">
        <v>7.53</v>
      </c>
      <c r="D1910" s="3">
        <v>131.7</v>
      </c>
      <c r="E1910" s="3"/>
    </row>
    <row r="1911">
      <c r="B1911" s="3">
        <v>2.0602953E7</v>
      </c>
      <c r="C1911" s="3">
        <v>7.53</v>
      </c>
      <c r="D1911" s="3">
        <v>131.7</v>
      </c>
      <c r="E1911" s="3"/>
    </row>
    <row r="1912">
      <c r="B1912" s="3">
        <v>2.0622956E7</v>
      </c>
      <c r="C1912" s="3">
        <v>7.53</v>
      </c>
      <c r="D1912" s="3">
        <v>131.8</v>
      </c>
      <c r="E1912" s="3"/>
    </row>
    <row r="1913">
      <c r="B1913" s="3">
        <v>2.0642959E7</v>
      </c>
      <c r="C1913" s="3">
        <v>7.53</v>
      </c>
      <c r="D1913" s="3">
        <v>131.7</v>
      </c>
      <c r="E1913" s="3"/>
    </row>
    <row r="1914">
      <c r="B1914" s="3">
        <v>2.0662962E7</v>
      </c>
      <c r="C1914" s="3">
        <v>7.53</v>
      </c>
      <c r="D1914" s="3">
        <v>131.7</v>
      </c>
      <c r="E1914" s="3"/>
    </row>
    <row r="1915">
      <c r="B1915" s="3">
        <v>2.0682964E7</v>
      </c>
      <c r="C1915" s="3">
        <v>7.53</v>
      </c>
      <c r="D1915" s="3">
        <v>131.7</v>
      </c>
      <c r="E1915" s="3"/>
    </row>
    <row r="1916">
      <c r="B1916" s="3">
        <v>2.0702967E7</v>
      </c>
      <c r="C1916" s="3">
        <v>7.53</v>
      </c>
      <c r="D1916" s="3">
        <v>131.7</v>
      </c>
      <c r="E1916" s="3"/>
    </row>
    <row r="1917">
      <c r="B1917" s="3">
        <v>2.072297E7</v>
      </c>
      <c r="C1917" s="3">
        <v>7.53</v>
      </c>
      <c r="D1917" s="3">
        <v>131.7</v>
      </c>
      <c r="E1917" s="3"/>
    </row>
    <row r="1918">
      <c r="B1918" s="3">
        <v>2.0742973E7</v>
      </c>
      <c r="C1918" s="3">
        <v>7.53</v>
      </c>
      <c r="D1918" s="3">
        <v>131.7</v>
      </c>
      <c r="E1918" s="3"/>
    </row>
    <row r="1919">
      <c r="B1919" s="3">
        <v>2.0762976E7</v>
      </c>
      <c r="C1919" s="3">
        <v>7.53</v>
      </c>
      <c r="D1919" s="3">
        <v>131.7</v>
      </c>
      <c r="E1919" s="3"/>
    </row>
    <row r="1920">
      <c r="B1920" s="3">
        <v>2.0782979E7</v>
      </c>
      <c r="C1920" s="3">
        <v>7.53</v>
      </c>
      <c r="D1920" s="3">
        <v>131.7</v>
      </c>
      <c r="E1920" s="3"/>
    </row>
    <row r="1921">
      <c r="B1921" s="3">
        <v>2.0802981E7</v>
      </c>
      <c r="C1921" s="3">
        <v>7.53</v>
      </c>
      <c r="D1921" s="3">
        <v>131.7</v>
      </c>
      <c r="E1921" s="3"/>
    </row>
    <row r="1922">
      <c r="B1922" s="3">
        <v>2.0822984E7</v>
      </c>
      <c r="C1922" s="3">
        <v>7.52</v>
      </c>
      <c r="D1922" s="3">
        <v>131.6</v>
      </c>
      <c r="E1922" s="3"/>
    </row>
    <row r="1923">
      <c r="B1923" s="3">
        <v>2.0842988E7</v>
      </c>
      <c r="C1923" s="3">
        <v>7.52</v>
      </c>
      <c r="D1923" s="3">
        <v>131.7</v>
      </c>
      <c r="E1923" s="3"/>
    </row>
    <row r="1924">
      <c r="B1924" s="3">
        <v>2.0862991E7</v>
      </c>
      <c r="C1924" s="3">
        <v>7.53</v>
      </c>
      <c r="D1924" s="3">
        <v>131.6</v>
      </c>
      <c r="E1924" s="3"/>
    </row>
    <row r="1925">
      <c r="B1925" s="3">
        <v>2.0882994E7</v>
      </c>
      <c r="C1925" s="3">
        <v>7.52</v>
      </c>
      <c r="D1925" s="3">
        <v>131.7</v>
      </c>
      <c r="E1925" s="3"/>
    </row>
    <row r="1926">
      <c r="B1926" s="3">
        <v>2.0902996E7</v>
      </c>
      <c r="C1926" s="3">
        <v>7.52</v>
      </c>
      <c r="D1926" s="3">
        <v>131.6</v>
      </c>
      <c r="E1926" s="3"/>
    </row>
    <row r="1927">
      <c r="B1927" s="3">
        <v>2.0922999E7</v>
      </c>
      <c r="C1927" s="3">
        <v>7.52</v>
      </c>
      <c r="D1927" s="3">
        <v>131.6</v>
      </c>
      <c r="E1927" s="3"/>
    </row>
    <row r="1928">
      <c r="B1928" s="3">
        <v>2.0943002E7</v>
      </c>
      <c r="C1928" s="3">
        <v>7.52</v>
      </c>
      <c r="D1928" s="3">
        <v>131.6</v>
      </c>
      <c r="E1928" s="3"/>
    </row>
    <row r="1929">
      <c r="B1929" s="3">
        <v>2.0963005E7</v>
      </c>
      <c r="C1929" s="3">
        <v>7.52</v>
      </c>
      <c r="D1929" s="3">
        <v>131.6</v>
      </c>
      <c r="E1929" s="3"/>
    </row>
    <row r="1930">
      <c r="B1930" s="3">
        <v>2.0983008E7</v>
      </c>
      <c r="C1930" s="3">
        <v>7.52</v>
      </c>
      <c r="D1930" s="3">
        <v>131.6</v>
      </c>
      <c r="E1930" s="3"/>
    </row>
    <row r="1931">
      <c r="B1931" s="3">
        <v>2.1003011E7</v>
      </c>
      <c r="C1931" s="3">
        <v>7.52</v>
      </c>
      <c r="D1931" s="3">
        <v>131.6</v>
      </c>
      <c r="E1931" s="3"/>
    </row>
    <row r="1932">
      <c r="B1932" s="3">
        <v>2.1023013E7</v>
      </c>
      <c r="C1932" s="3">
        <v>7.52</v>
      </c>
      <c r="D1932" s="3">
        <v>131.6</v>
      </c>
      <c r="E1932" s="3"/>
    </row>
    <row r="1933">
      <c r="B1933" s="3">
        <v>2.1043016E7</v>
      </c>
      <c r="C1933" s="3">
        <v>7.52</v>
      </c>
      <c r="D1933" s="3">
        <v>131.6</v>
      </c>
      <c r="E1933" s="3"/>
    </row>
    <row r="1934">
      <c r="B1934" s="3">
        <v>2.1063019E7</v>
      </c>
      <c r="C1934" s="3">
        <v>7.52</v>
      </c>
      <c r="D1934" s="3">
        <v>131.5</v>
      </c>
      <c r="E1934" s="3"/>
    </row>
    <row r="1935">
      <c r="B1935" s="3">
        <v>2.1083022E7</v>
      </c>
      <c r="C1935" s="3">
        <v>7.52</v>
      </c>
      <c r="D1935" s="3">
        <v>131.6</v>
      </c>
      <c r="E1935" s="3"/>
    </row>
    <row r="1936">
      <c r="B1936" s="3">
        <v>2.1103025E7</v>
      </c>
      <c r="C1936" s="3">
        <v>7.52</v>
      </c>
      <c r="D1936" s="3">
        <v>131.5</v>
      </c>
      <c r="E1936" s="3"/>
    </row>
    <row r="1937">
      <c r="B1937" s="3">
        <v>2.1123028E7</v>
      </c>
      <c r="C1937" s="3">
        <v>7.52</v>
      </c>
      <c r="D1937" s="3">
        <v>131.5</v>
      </c>
      <c r="E1937" s="3"/>
    </row>
    <row r="1938">
      <c r="B1938" s="3">
        <v>2.1143031E7</v>
      </c>
      <c r="C1938" s="3">
        <v>7.52</v>
      </c>
      <c r="D1938" s="3">
        <v>131.5</v>
      </c>
      <c r="E1938" s="3"/>
    </row>
    <row r="1939">
      <c r="B1939" s="3">
        <v>2.1163034E7</v>
      </c>
      <c r="C1939" s="3">
        <v>7.52</v>
      </c>
      <c r="D1939" s="3">
        <v>131.5</v>
      </c>
      <c r="E1939" s="3"/>
    </row>
    <row r="1940">
      <c r="B1940" s="3">
        <v>2.1183037E7</v>
      </c>
      <c r="C1940" s="3">
        <v>7.52</v>
      </c>
      <c r="D1940" s="3">
        <v>131.5</v>
      </c>
      <c r="E1940" s="3"/>
    </row>
    <row r="1941">
      <c r="B1941" s="3">
        <v>2.120304E7</v>
      </c>
      <c r="C1941" s="3">
        <v>7.52</v>
      </c>
      <c r="D1941" s="3">
        <v>131.5</v>
      </c>
      <c r="E1941" s="3"/>
    </row>
    <row r="1942">
      <c r="B1942" s="3">
        <v>2.1223043E7</v>
      </c>
      <c r="C1942" s="3">
        <v>7.52</v>
      </c>
      <c r="D1942" s="3">
        <v>131.5</v>
      </c>
      <c r="E1942" s="3"/>
    </row>
    <row r="1943">
      <c r="B1943" s="3">
        <v>2.1243045E7</v>
      </c>
      <c r="C1943" s="3">
        <v>7.52</v>
      </c>
      <c r="D1943" s="3">
        <v>131.4</v>
      </c>
      <c r="E1943" s="3"/>
    </row>
    <row r="1944">
      <c r="B1944" s="3">
        <v>2.1263048E7</v>
      </c>
      <c r="C1944" s="3">
        <v>7.52</v>
      </c>
      <c r="D1944" s="3">
        <v>131.5</v>
      </c>
      <c r="E1944" s="3"/>
    </row>
    <row r="1945">
      <c r="B1945" s="3">
        <v>2.1283051E7</v>
      </c>
      <c r="C1945" s="3">
        <v>7.52</v>
      </c>
      <c r="D1945" s="3">
        <v>131.5</v>
      </c>
      <c r="E1945" s="3"/>
    </row>
    <row r="1946">
      <c r="B1946" s="3">
        <v>2.1303054E7</v>
      </c>
      <c r="C1946" s="3">
        <v>7.52</v>
      </c>
      <c r="D1946" s="3">
        <v>131.5</v>
      </c>
      <c r="E1946" s="3"/>
    </row>
    <row r="1947">
      <c r="B1947" s="3">
        <v>2.1323057E7</v>
      </c>
      <c r="C1947" s="3">
        <v>7.52</v>
      </c>
      <c r="D1947" s="3">
        <v>131.5</v>
      </c>
      <c r="E1947" s="3"/>
    </row>
    <row r="1948">
      <c r="B1948" s="3">
        <v>2.1343059E7</v>
      </c>
      <c r="C1948" s="3">
        <v>7.52</v>
      </c>
      <c r="D1948" s="3">
        <v>131.5</v>
      </c>
      <c r="E1948" s="3"/>
    </row>
    <row r="1949">
      <c r="B1949" s="3">
        <v>2.1363062E7</v>
      </c>
      <c r="C1949" s="3">
        <v>7.52</v>
      </c>
      <c r="D1949" s="3">
        <v>131.4</v>
      </c>
      <c r="E1949" s="3"/>
    </row>
    <row r="1950">
      <c r="B1950" s="3">
        <v>2.1383065E7</v>
      </c>
      <c r="C1950" s="3">
        <v>7.51</v>
      </c>
      <c r="D1950" s="3">
        <v>131.4</v>
      </c>
      <c r="E1950" s="3"/>
    </row>
    <row r="1951">
      <c r="B1951" s="3">
        <v>2.1403069E7</v>
      </c>
      <c r="C1951" s="3">
        <v>7.52</v>
      </c>
      <c r="D1951" s="3">
        <v>131.5</v>
      </c>
      <c r="E1951" s="3"/>
    </row>
    <row r="1952">
      <c r="B1952" s="3">
        <v>2.1423072E7</v>
      </c>
      <c r="C1952" s="3">
        <v>7.51</v>
      </c>
      <c r="D1952" s="3">
        <v>131.5</v>
      </c>
      <c r="E1952" s="3"/>
    </row>
    <row r="1953">
      <c r="B1953" s="3">
        <v>2.1443075E7</v>
      </c>
      <c r="C1953" s="3">
        <v>7.52</v>
      </c>
      <c r="D1953" s="3">
        <v>131.4</v>
      </c>
      <c r="E1953" s="3"/>
    </row>
    <row r="1954">
      <c r="B1954" s="3">
        <v>2.1463077E7</v>
      </c>
      <c r="C1954" s="3">
        <v>7.51</v>
      </c>
      <c r="D1954" s="3">
        <v>131.4</v>
      </c>
      <c r="E1954" s="3"/>
    </row>
    <row r="1955">
      <c r="B1955" s="3">
        <v>2.148308E7</v>
      </c>
      <c r="C1955" s="3">
        <v>7.51</v>
      </c>
      <c r="D1955" s="3">
        <v>131.4</v>
      </c>
      <c r="E1955" s="3"/>
    </row>
    <row r="1956">
      <c r="B1956" s="3">
        <v>2.1503083E7</v>
      </c>
      <c r="C1956" s="3">
        <v>7.52</v>
      </c>
      <c r="D1956" s="3">
        <v>131.3</v>
      </c>
      <c r="E1956" s="3"/>
    </row>
    <row r="1957">
      <c r="B1957" s="3">
        <v>2.1523086E7</v>
      </c>
      <c r="C1957" s="3">
        <v>7.51</v>
      </c>
      <c r="D1957" s="3">
        <v>131.4</v>
      </c>
      <c r="E1957" s="3"/>
    </row>
    <row r="1958">
      <c r="B1958" s="3">
        <v>2.1543089E7</v>
      </c>
      <c r="C1958" s="3">
        <v>7.51</v>
      </c>
      <c r="D1958" s="3">
        <v>131.4</v>
      </c>
      <c r="E1958" s="3"/>
    </row>
    <row r="1959">
      <c r="B1959" s="3">
        <v>2.1563091E7</v>
      </c>
      <c r="C1959" s="3">
        <v>7.51</v>
      </c>
      <c r="D1959" s="3">
        <v>131.4</v>
      </c>
      <c r="E1959" s="3"/>
    </row>
    <row r="1960">
      <c r="B1960" s="3">
        <v>2.1583094E7</v>
      </c>
      <c r="C1960" s="3">
        <v>7.51</v>
      </c>
      <c r="D1960" s="3">
        <v>131.4</v>
      </c>
      <c r="E1960" s="3"/>
    </row>
    <row r="1961">
      <c r="B1961" s="3">
        <v>2.1603097E7</v>
      </c>
      <c r="C1961" s="3">
        <v>7.51</v>
      </c>
      <c r="D1961" s="3">
        <v>131.4</v>
      </c>
      <c r="E1961" s="3"/>
    </row>
    <row r="1962">
      <c r="B1962" s="3">
        <v>2.16231E7</v>
      </c>
      <c r="C1962" s="3">
        <v>7.51</v>
      </c>
      <c r="D1962" s="3">
        <v>131.3</v>
      </c>
      <c r="E1962" s="3"/>
    </row>
    <row r="1963">
      <c r="B1963" s="3">
        <v>2.1643103E7</v>
      </c>
      <c r="C1963" s="3">
        <v>7.51</v>
      </c>
      <c r="D1963" s="3">
        <v>131.4</v>
      </c>
      <c r="E1963" s="3"/>
    </row>
    <row r="1964">
      <c r="B1964" s="3">
        <v>2.1663107E7</v>
      </c>
      <c r="C1964" s="3">
        <v>7.51</v>
      </c>
      <c r="D1964" s="3">
        <v>131.3</v>
      </c>
      <c r="E1964" s="3"/>
    </row>
    <row r="1965">
      <c r="B1965" s="3">
        <v>2.1683109E7</v>
      </c>
      <c r="C1965" s="3">
        <v>7.51</v>
      </c>
      <c r="D1965" s="3">
        <v>131.3</v>
      </c>
      <c r="E1965" s="3"/>
    </row>
    <row r="1966">
      <c r="B1966" s="3">
        <v>2.1703112E7</v>
      </c>
      <c r="C1966" s="3">
        <v>7.51</v>
      </c>
      <c r="D1966" s="3">
        <v>131.3</v>
      </c>
      <c r="E1966" s="3"/>
    </row>
    <row r="1967">
      <c r="B1967" s="3">
        <v>2.1723115E7</v>
      </c>
      <c r="C1967" s="3">
        <v>7.5</v>
      </c>
      <c r="D1967" s="3">
        <v>131.3</v>
      </c>
      <c r="E1967" s="3"/>
    </row>
    <row r="1968">
      <c r="B1968" s="3">
        <v>2.1743118E7</v>
      </c>
      <c r="C1968" s="3">
        <v>7.51</v>
      </c>
      <c r="D1968" s="3">
        <v>131.3</v>
      </c>
      <c r="E1968" s="3"/>
    </row>
    <row r="1969">
      <c r="B1969" s="3">
        <v>2.1763121E7</v>
      </c>
      <c r="C1969" s="3">
        <v>7.51</v>
      </c>
      <c r="D1969" s="3">
        <v>131.3</v>
      </c>
      <c r="E1969" s="3"/>
    </row>
    <row r="1970">
      <c r="B1970" s="3">
        <v>2.1783123E7</v>
      </c>
      <c r="C1970" s="3">
        <v>7.5</v>
      </c>
      <c r="D1970" s="3">
        <v>131.3</v>
      </c>
      <c r="E1970" s="3"/>
    </row>
    <row r="1971">
      <c r="B1971" s="3">
        <v>2.1803126E7</v>
      </c>
      <c r="C1971" s="3">
        <v>7.5</v>
      </c>
      <c r="D1971" s="3">
        <v>131.3</v>
      </c>
      <c r="E1971" s="3"/>
    </row>
    <row r="1972">
      <c r="B1972" s="3">
        <v>2.1823129E7</v>
      </c>
      <c r="C1972" s="3">
        <v>7.5</v>
      </c>
      <c r="D1972" s="3">
        <v>131.2</v>
      </c>
      <c r="E1972" s="3"/>
    </row>
    <row r="1973">
      <c r="B1973" s="3">
        <v>2.1843132E7</v>
      </c>
      <c r="C1973" s="3">
        <v>7.5</v>
      </c>
      <c r="D1973" s="3">
        <v>131.3</v>
      </c>
      <c r="E1973" s="3"/>
    </row>
    <row r="1974">
      <c r="B1974" s="3">
        <v>2.1863135E7</v>
      </c>
      <c r="C1974" s="3">
        <v>7.5</v>
      </c>
      <c r="D1974" s="3">
        <v>131.2</v>
      </c>
      <c r="E1974" s="3"/>
    </row>
    <row r="1975">
      <c r="B1975" s="3">
        <v>2.1883138E7</v>
      </c>
      <c r="C1975" s="3">
        <v>7.5</v>
      </c>
      <c r="D1975" s="3">
        <v>131.2</v>
      </c>
      <c r="E1975" s="3"/>
    </row>
    <row r="1976">
      <c r="B1976" s="3">
        <v>2.190314E7</v>
      </c>
      <c r="C1976" s="3">
        <v>7.5</v>
      </c>
      <c r="D1976" s="3">
        <v>131.2</v>
      </c>
      <c r="E1976" s="3"/>
    </row>
    <row r="1977">
      <c r="B1977" s="3">
        <v>2.1923143E7</v>
      </c>
      <c r="C1977" s="3">
        <v>7.5</v>
      </c>
      <c r="D1977" s="3">
        <v>131.2</v>
      </c>
      <c r="E1977" s="3"/>
    </row>
    <row r="1978">
      <c r="B1978" s="3">
        <v>2.1943146E7</v>
      </c>
      <c r="C1978" s="3">
        <v>7.5</v>
      </c>
      <c r="D1978" s="3">
        <v>131.2</v>
      </c>
      <c r="E1978" s="3"/>
    </row>
    <row r="1979">
      <c r="B1979" s="3">
        <v>2.196315E7</v>
      </c>
      <c r="C1979" s="3">
        <v>7.5</v>
      </c>
      <c r="D1979" s="3">
        <v>131.3</v>
      </c>
      <c r="E1979" s="3"/>
    </row>
    <row r="1980">
      <c r="B1980" s="3">
        <v>2.1983153E7</v>
      </c>
      <c r="C1980" s="3">
        <v>7.5</v>
      </c>
      <c r="D1980" s="3">
        <v>131.2</v>
      </c>
      <c r="E1980" s="3"/>
    </row>
    <row r="1981">
      <c r="B1981" s="3">
        <v>2.2003155E7</v>
      </c>
      <c r="C1981" s="3">
        <v>7.5</v>
      </c>
      <c r="D1981" s="3">
        <v>131.1</v>
      </c>
      <c r="E1981" s="3"/>
    </row>
    <row r="1982">
      <c r="B1982" s="3">
        <v>2.2023158E7</v>
      </c>
      <c r="C1982" s="3">
        <v>7.5</v>
      </c>
      <c r="D1982" s="3">
        <v>131.1</v>
      </c>
      <c r="E1982" s="3"/>
    </row>
    <row r="1983">
      <c r="B1983" s="3">
        <v>2.2043161E7</v>
      </c>
      <c r="C1983" s="3">
        <v>7.5</v>
      </c>
      <c r="D1983" s="3">
        <v>131.2</v>
      </c>
      <c r="E1983" s="3"/>
    </row>
    <row r="1984">
      <c r="B1984" s="3">
        <v>2.2063164E7</v>
      </c>
      <c r="C1984" s="3">
        <v>7.5</v>
      </c>
      <c r="D1984" s="3">
        <v>131.2</v>
      </c>
      <c r="E1984" s="3"/>
    </row>
    <row r="1985">
      <c r="B1985" s="3">
        <v>2.2083167E7</v>
      </c>
      <c r="C1985" s="3">
        <v>7.5</v>
      </c>
      <c r="D1985" s="3">
        <v>131.2</v>
      </c>
      <c r="E1985" s="3"/>
    </row>
    <row r="1986">
      <c r="B1986" s="3">
        <v>2.210317E7</v>
      </c>
      <c r="C1986" s="3">
        <v>7.5</v>
      </c>
      <c r="D1986" s="3">
        <v>131.2</v>
      </c>
      <c r="E1986" s="3"/>
    </row>
    <row r="1987">
      <c r="B1987" s="3">
        <v>2.2123172E7</v>
      </c>
      <c r="C1987" s="3">
        <v>7.5</v>
      </c>
      <c r="D1987" s="3">
        <v>131.2</v>
      </c>
      <c r="E1987" s="3"/>
    </row>
    <row r="1988">
      <c r="B1988" s="3">
        <v>2.2143175E7</v>
      </c>
      <c r="C1988" s="3">
        <v>7.5</v>
      </c>
      <c r="D1988" s="3">
        <v>131.2</v>
      </c>
      <c r="E1988" s="3"/>
    </row>
    <row r="1989">
      <c r="B1989" s="3">
        <v>2.2163178E7</v>
      </c>
      <c r="C1989" s="3">
        <v>7.5</v>
      </c>
      <c r="D1989" s="3">
        <v>131.1</v>
      </c>
      <c r="E1989" s="3"/>
    </row>
    <row r="1990">
      <c r="B1990" s="3">
        <v>2.2183181E7</v>
      </c>
      <c r="C1990" s="3">
        <v>7.5</v>
      </c>
      <c r="D1990" s="3">
        <v>131.1</v>
      </c>
      <c r="E1990" s="3"/>
    </row>
    <row r="1991">
      <c r="B1991" s="3">
        <v>2.2203184E7</v>
      </c>
      <c r="C1991" s="3">
        <v>7.5</v>
      </c>
      <c r="D1991" s="3">
        <v>131.1</v>
      </c>
      <c r="E1991" s="3"/>
    </row>
    <row r="1992">
      <c r="B1992" s="3">
        <v>2.2223186E7</v>
      </c>
      <c r="C1992" s="3">
        <v>7.5</v>
      </c>
      <c r="D1992" s="3">
        <v>131.1</v>
      </c>
      <c r="E1992" s="3"/>
    </row>
    <row r="1993">
      <c r="B1993" s="3">
        <v>2.224319E7</v>
      </c>
      <c r="C1993" s="3">
        <v>7.5</v>
      </c>
      <c r="D1993" s="3">
        <v>131.0</v>
      </c>
      <c r="E1993" s="3"/>
    </row>
    <row r="1994">
      <c r="B1994" s="3">
        <v>2.2263193E7</v>
      </c>
      <c r="C1994" s="3">
        <v>7.5</v>
      </c>
      <c r="D1994" s="3">
        <v>131.1</v>
      </c>
      <c r="E1994" s="3"/>
    </row>
    <row r="1995">
      <c r="B1995" s="3">
        <v>2.2283196E7</v>
      </c>
      <c r="C1995" s="3">
        <v>7.49</v>
      </c>
      <c r="D1995" s="3">
        <v>131.1</v>
      </c>
      <c r="E1995" s="3"/>
    </row>
    <row r="1996">
      <c r="B1996" s="3">
        <v>2.2303199E7</v>
      </c>
      <c r="C1996" s="3">
        <v>7.49</v>
      </c>
      <c r="D1996" s="3">
        <v>131.0</v>
      </c>
      <c r="E1996" s="3"/>
    </row>
    <row r="1997">
      <c r="B1997" s="3">
        <v>2.2323202E7</v>
      </c>
      <c r="C1997" s="3">
        <v>7.49</v>
      </c>
      <c r="D1997" s="3">
        <v>131.1</v>
      </c>
      <c r="E1997" s="3"/>
    </row>
    <row r="1998">
      <c r="B1998" s="3">
        <v>2.2343204E7</v>
      </c>
      <c r="C1998" s="3">
        <v>7.49</v>
      </c>
      <c r="D1998" s="3">
        <v>131.1</v>
      </c>
      <c r="E1998" s="3"/>
    </row>
    <row r="1999">
      <c r="B1999" s="3">
        <v>2.2363207E7</v>
      </c>
      <c r="C1999" s="3">
        <v>7.49</v>
      </c>
      <c r="D1999" s="3">
        <v>130.9</v>
      </c>
      <c r="E1999" s="3"/>
    </row>
    <row r="2000">
      <c r="B2000" s="3">
        <v>2.238321E7</v>
      </c>
      <c r="C2000" s="3">
        <v>7.49</v>
      </c>
      <c r="D2000" s="3">
        <v>131.0</v>
      </c>
      <c r="E2000" s="3"/>
    </row>
    <row r="2001">
      <c r="B2001" s="3">
        <v>2.2403213E7</v>
      </c>
      <c r="C2001" s="3">
        <v>7.49</v>
      </c>
      <c r="D2001" s="3">
        <v>131.0</v>
      </c>
      <c r="E2001" s="3"/>
    </row>
    <row r="2002">
      <c r="B2002" s="3">
        <v>2.2423216E7</v>
      </c>
      <c r="C2002" s="3">
        <v>7.49</v>
      </c>
      <c r="D2002" s="3">
        <v>131.0</v>
      </c>
      <c r="E2002" s="3"/>
    </row>
    <row r="2003">
      <c r="B2003" s="3">
        <v>2.2443218E7</v>
      </c>
      <c r="C2003" s="3">
        <v>7.49</v>
      </c>
      <c r="D2003" s="3">
        <v>131.0</v>
      </c>
      <c r="E2003" s="3"/>
    </row>
    <row r="2004">
      <c r="B2004" s="3">
        <v>2.2463221E7</v>
      </c>
      <c r="C2004" s="3">
        <v>7.49</v>
      </c>
      <c r="D2004" s="3">
        <v>131.0</v>
      </c>
      <c r="E2004" s="3"/>
    </row>
    <row r="2005">
      <c r="B2005" s="3">
        <v>2.2483224E7</v>
      </c>
      <c r="C2005" s="3">
        <v>7.49</v>
      </c>
      <c r="D2005" s="3">
        <v>131.0</v>
      </c>
      <c r="E2005" s="3"/>
    </row>
    <row r="2006">
      <c r="B2006" s="3">
        <v>2.2503227E7</v>
      </c>
      <c r="C2006" s="3">
        <v>7.49</v>
      </c>
      <c r="D2006" s="3">
        <v>131.0</v>
      </c>
      <c r="E2006" s="3"/>
    </row>
    <row r="2007">
      <c r="B2007" s="3">
        <v>2.252323E7</v>
      </c>
      <c r="C2007" s="3">
        <v>7.49</v>
      </c>
      <c r="D2007" s="3">
        <v>130.9</v>
      </c>
      <c r="E2007" s="3"/>
    </row>
    <row r="2008">
      <c r="B2008" s="3">
        <v>2.2543234E7</v>
      </c>
      <c r="C2008" s="3">
        <v>7.49</v>
      </c>
      <c r="D2008" s="3">
        <v>131.0</v>
      </c>
      <c r="E2008" s="3"/>
    </row>
    <row r="2009">
      <c r="B2009" s="3">
        <v>2.2563236E7</v>
      </c>
      <c r="C2009" s="3">
        <v>7.49</v>
      </c>
      <c r="D2009" s="3">
        <v>131.0</v>
      </c>
      <c r="E2009" s="3"/>
    </row>
    <row r="2010">
      <c r="B2010" s="3">
        <v>2.2583239E7</v>
      </c>
      <c r="C2010" s="3">
        <v>7.48</v>
      </c>
      <c r="D2010" s="3">
        <v>130.9</v>
      </c>
      <c r="E2010" s="3"/>
    </row>
    <row r="2011">
      <c r="B2011" s="3">
        <v>2.2603242E7</v>
      </c>
      <c r="C2011" s="3">
        <v>7.49</v>
      </c>
      <c r="D2011" s="3">
        <v>130.9</v>
      </c>
      <c r="E2011" s="3"/>
    </row>
    <row r="2012">
      <c r="B2012" s="3">
        <v>2.2623245E7</v>
      </c>
      <c r="C2012" s="3">
        <v>7.49</v>
      </c>
      <c r="D2012" s="3">
        <v>130.9</v>
      </c>
      <c r="E2012" s="3"/>
    </row>
    <row r="2013">
      <c r="B2013" s="3">
        <v>2.2643248E7</v>
      </c>
      <c r="C2013" s="3">
        <v>7.48</v>
      </c>
      <c r="D2013" s="3">
        <v>130.9</v>
      </c>
      <c r="E2013" s="3"/>
    </row>
    <row r="2014">
      <c r="B2014" s="3">
        <v>2.266325E7</v>
      </c>
      <c r="C2014" s="3">
        <v>7.49</v>
      </c>
      <c r="D2014" s="3">
        <v>130.9</v>
      </c>
      <c r="E2014" s="3"/>
    </row>
    <row r="2015">
      <c r="B2015" s="3">
        <v>2.2683253E7</v>
      </c>
      <c r="C2015" s="3">
        <v>7.48</v>
      </c>
      <c r="D2015" s="3">
        <v>130.9</v>
      </c>
      <c r="E2015" s="3"/>
    </row>
    <row r="2016">
      <c r="B2016" s="3">
        <v>2.2703256E7</v>
      </c>
      <c r="C2016" s="3">
        <v>7.48</v>
      </c>
      <c r="D2016" s="3">
        <v>130.9</v>
      </c>
      <c r="E2016" s="3"/>
    </row>
    <row r="2017">
      <c r="B2017" s="3">
        <v>2.2723259E7</v>
      </c>
      <c r="C2017" s="3">
        <v>7.48</v>
      </c>
      <c r="D2017" s="3">
        <v>130.9</v>
      </c>
      <c r="E2017" s="3"/>
    </row>
    <row r="2018">
      <c r="B2018" s="3">
        <v>2.2743262E7</v>
      </c>
      <c r="C2018" s="3">
        <v>7.48</v>
      </c>
      <c r="D2018" s="3">
        <v>130.9</v>
      </c>
      <c r="E2018" s="3"/>
    </row>
    <row r="2019">
      <c r="B2019" s="3">
        <v>2.2763265E7</v>
      </c>
      <c r="C2019" s="3">
        <v>7.48</v>
      </c>
      <c r="D2019" s="3">
        <v>130.8</v>
      </c>
      <c r="E2019" s="3"/>
    </row>
    <row r="2020">
      <c r="B2020" s="3">
        <v>2.2783267E7</v>
      </c>
      <c r="C2020" s="3">
        <v>7.48</v>
      </c>
      <c r="D2020" s="3">
        <v>130.8</v>
      </c>
      <c r="E2020" s="3"/>
    </row>
    <row r="2021">
      <c r="B2021" s="3">
        <v>2.280327E7</v>
      </c>
      <c r="C2021" s="3">
        <v>7.48</v>
      </c>
      <c r="D2021" s="3">
        <v>130.8</v>
      </c>
      <c r="E2021" s="3"/>
    </row>
    <row r="2022">
      <c r="B2022" s="3">
        <v>2.2823274E7</v>
      </c>
      <c r="C2022" s="3">
        <v>7.48</v>
      </c>
      <c r="D2022" s="3">
        <v>130.8</v>
      </c>
      <c r="E2022" s="3"/>
    </row>
    <row r="2023">
      <c r="B2023" s="3">
        <v>2.2843277E7</v>
      </c>
      <c r="C2023" s="3">
        <v>7.48</v>
      </c>
      <c r="D2023" s="3">
        <v>130.9</v>
      </c>
      <c r="E2023" s="3"/>
    </row>
    <row r="2024">
      <c r="B2024" s="3">
        <v>2.286328E7</v>
      </c>
      <c r="C2024" s="3">
        <v>7.48</v>
      </c>
      <c r="D2024" s="3">
        <v>130.8</v>
      </c>
      <c r="E2024" s="3"/>
    </row>
    <row r="2025">
      <c r="B2025" s="3">
        <v>2.2883282E7</v>
      </c>
      <c r="C2025" s="3">
        <v>7.48</v>
      </c>
      <c r="D2025" s="3">
        <v>130.8</v>
      </c>
      <c r="E2025" s="3"/>
    </row>
    <row r="2026">
      <c r="B2026" s="3">
        <v>2.2903285E7</v>
      </c>
      <c r="C2026" s="3">
        <v>7.48</v>
      </c>
      <c r="D2026" s="3">
        <v>130.8</v>
      </c>
      <c r="E2026" s="3"/>
    </row>
    <row r="2027">
      <c r="B2027" s="3">
        <v>2.2923288E7</v>
      </c>
      <c r="C2027" s="3">
        <v>7.48</v>
      </c>
      <c r="D2027" s="3">
        <v>130.8</v>
      </c>
      <c r="E2027" s="3"/>
    </row>
    <row r="2028">
      <c r="B2028" s="3">
        <v>2.2943291E7</v>
      </c>
      <c r="C2028" s="3">
        <v>7.48</v>
      </c>
      <c r="D2028" s="3">
        <v>130.8</v>
      </c>
      <c r="E2028" s="3"/>
    </row>
    <row r="2029">
      <c r="B2029" s="3">
        <v>2.2963294E7</v>
      </c>
      <c r="C2029" s="3">
        <v>7.48</v>
      </c>
      <c r="D2029" s="3">
        <v>130.8</v>
      </c>
      <c r="E2029" s="3"/>
    </row>
    <row r="2030">
      <c r="B2030" s="3">
        <v>2.2983297E7</v>
      </c>
      <c r="C2030" s="3">
        <v>7.48</v>
      </c>
      <c r="D2030" s="3">
        <v>130.8</v>
      </c>
      <c r="E2030" s="3"/>
    </row>
    <row r="2031">
      <c r="B2031" s="3">
        <v>2.3003299E7</v>
      </c>
      <c r="C2031" s="3">
        <v>7.48</v>
      </c>
      <c r="D2031" s="3">
        <v>130.8</v>
      </c>
      <c r="E2031" s="3"/>
    </row>
    <row r="2032">
      <c r="B2032" s="3">
        <v>2.3023302E7</v>
      </c>
      <c r="C2032" s="3">
        <v>7.48</v>
      </c>
      <c r="D2032" s="3">
        <v>130.8</v>
      </c>
      <c r="E2032" s="3"/>
    </row>
    <row r="2033">
      <c r="B2033" s="3">
        <v>2.3043305E7</v>
      </c>
      <c r="C2033" s="3">
        <v>7.48</v>
      </c>
      <c r="D2033" s="3">
        <v>130.7</v>
      </c>
      <c r="E2033" s="3"/>
    </row>
    <row r="2034">
      <c r="B2034" s="3">
        <v>2.3063308E7</v>
      </c>
      <c r="C2034" s="3">
        <v>7.48</v>
      </c>
      <c r="D2034" s="3">
        <v>130.7</v>
      </c>
      <c r="E2034" s="3"/>
    </row>
    <row r="2035">
      <c r="B2035" s="3">
        <v>2.3083311E7</v>
      </c>
      <c r="C2035" s="3">
        <v>7.48</v>
      </c>
      <c r="D2035" s="3">
        <v>130.8</v>
      </c>
      <c r="E2035" s="3"/>
    </row>
    <row r="2036">
      <c r="B2036" s="3">
        <v>2.3103314E7</v>
      </c>
      <c r="C2036" s="3">
        <v>7.48</v>
      </c>
      <c r="D2036" s="3">
        <v>130.7</v>
      </c>
      <c r="E2036" s="3"/>
    </row>
    <row r="2037">
      <c r="B2037" s="3">
        <v>2.3123317E7</v>
      </c>
      <c r="C2037" s="3">
        <v>7.48</v>
      </c>
      <c r="D2037" s="3">
        <v>130.8</v>
      </c>
      <c r="E2037" s="3"/>
    </row>
    <row r="2038">
      <c r="B2038" s="3">
        <v>2.314332E7</v>
      </c>
      <c r="C2038" s="3">
        <v>7.48</v>
      </c>
      <c r="D2038" s="3">
        <v>130.7</v>
      </c>
      <c r="E2038" s="3"/>
    </row>
    <row r="2039">
      <c r="B2039" s="3">
        <v>2.3163323E7</v>
      </c>
      <c r="C2039" s="3">
        <v>7.47</v>
      </c>
      <c r="D2039" s="3">
        <v>130.7</v>
      </c>
      <c r="E2039" s="3"/>
    </row>
    <row r="2040">
      <c r="B2040" s="3">
        <v>2.3183326E7</v>
      </c>
      <c r="C2040" s="3">
        <v>7.48</v>
      </c>
      <c r="D2040" s="3">
        <v>130.7</v>
      </c>
      <c r="E2040" s="3"/>
    </row>
    <row r="2041">
      <c r="B2041" s="3">
        <v>2.3203329E7</v>
      </c>
      <c r="C2041" s="3">
        <v>7.47</v>
      </c>
      <c r="D2041" s="3">
        <v>130.7</v>
      </c>
      <c r="E2041" s="3"/>
    </row>
    <row r="2042">
      <c r="B2042" s="3">
        <v>2.3223331E7</v>
      </c>
      <c r="C2042" s="3">
        <v>7.47</v>
      </c>
      <c r="D2042" s="3">
        <v>130.7</v>
      </c>
      <c r="E2042" s="3"/>
    </row>
    <row r="2043">
      <c r="B2043" s="3">
        <v>2.3243334E7</v>
      </c>
      <c r="C2043" s="3">
        <v>7.47</v>
      </c>
      <c r="D2043" s="3">
        <v>130.7</v>
      </c>
      <c r="E2043" s="3"/>
    </row>
    <row r="2044">
      <c r="B2044" s="3">
        <v>2.3263337E7</v>
      </c>
      <c r="C2044" s="3">
        <v>7.47</v>
      </c>
      <c r="D2044" s="3">
        <v>130.6</v>
      </c>
      <c r="E2044" s="3"/>
    </row>
    <row r="2045">
      <c r="B2045" s="3">
        <v>2.328334E7</v>
      </c>
      <c r="C2045" s="3">
        <v>7.47</v>
      </c>
      <c r="D2045" s="3">
        <v>130.6</v>
      </c>
      <c r="E2045" s="3"/>
    </row>
    <row r="2046">
      <c r="B2046" s="3">
        <v>2.3303343E7</v>
      </c>
      <c r="C2046" s="3">
        <v>7.47</v>
      </c>
      <c r="D2046" s="3">
        <v>130.6</v>
      </c>
      <c r="E2046" s="3"/>
    </row>
    <row r="2047">
      <c r="B2047" s="3">
        <v>2.3323345E7</v>
      </c>
      <c r="C2047" s="3">
        <v>7.47</v>
      </c>
      <c r="D2047" s="3">
        <v>130.6</v>
      </c>
      <c r="E2047" s="3"/>
    </row>
    <row r="2048">
      <c r="B2048" s="3">
        <v>2.3343348E7</v>
      </c>
      <c r="C2048" s="3">
        <v>7.47</v>
      </c>
      <c r="D2048" s="3">
        <v>130.6</v>
      </c>
      <c r="E2048" s="3"/>
    </row>
    <row r="2049">
      <c r="B2049" s="3">
        <v>2.3363351E7</v>
      </c>
      <c r="C2049" s="3">
        <v>7.47</v>
      </c>
      <c r="D2049" s="3">
        <v>130.6</v>
      </c>
      <c r="E2049" s="3"/>
    </row>
    <row r="2050">
      <c r="B2050" s="3">
        <v>2.3383355E7</v>
      </c>
      <c r="C2050" s="3">
        <v>7.47</v>
      </c>
      <c r="D2050" s="3">
        <v>130.6</v>
      </c>
      <c r="E2050" s="3"/>
    </row>
    <row r="2051">
      <c r="B2051" s="3">
        <v>2.3403358E7</v>
      </c>
      <c r="C2051" s="3">
        <v>7.47</v>
      </c>
      <c r="D2051" s="3">
        <v>130.6</v>
      </c>
      <c r="E2051" s="3"/>
    </row>
    <row r="2052">
      <c r="B2052" s="3">
        <v>2.3423361E7</v>
      </c>
      <c r="C2052" s="3">
        <v>7.47</v>
      </c>
      <c r="D2052" s="3">
        <v>130.6</v>
      </c>
      <c r="E2052" s="3"/>
    </row>
    <row r="2053">
      <c r="B2053" s="3">
        <v>2.3443363E7</v>
      </c>
      <c r="C2053" s="3">
        <v>7.47</v>
      </c>
      <c r="D2053" s="3">
        <v>130.5</v>
      </c>
      <c r="E2053" s="3"/>
    </row>
    <row r="2054">
      <c r="B2054" s="3">
        <v>2.3463366E7</v>
      </c>
      <c r="C2054" s="3">
        <v>7.46</v>
      </c>
      <c r="D2054" s="3">
        <v>130.5</v>
      </c>
      <c r="E2054" s="3"/>
    </row>
    <row r="2055">
      <c r="B2055" s="3">
        <v>2.3483369E7</v>
      </c>
      <c r="C2055" s="3">
        <v>7.47</v>
      </c>
      <c r="D2055" s="3">
        <v>130.5</v>
      </c>
      <c r="E2055" s="3"/>
    </row>
    <row r="2056">
      <c r="B2056" s="3">
        <v>2.3503372E7</v>
      </c>
      <c r="C2056" s="3">
        <v>7.47</v>
      </c>
      <c r="D2056" s="3">
        <v>130.6</v>
      </c>
      <c r="E2056" s="3"/>
    </row>
    <row r="2057">
      <c r="B2057" s="3">
        <v>2.3523375E7</v>
      </c>
      <c r="C2057" s="3">
        <v>7.46</v>
      </c>
      <c r="D2057" s="3">
        <v>130.6</v>
      </c>
      <c r="E2057" s="3"/>
    </row>
    <row r="2058">
      <c r="B2058" s="3">
        <v>2.3543377E7</v>
      </c>
      <c r="C2058" s="3">
        <v>7.46</v>
      </c>
      <c r="D2058" s="3">
        <v>130.5</v>
      </c>
      <c r="E2058" s="3"/>
    </row>
    <row r="2059">
      <c r="B2059" s="3">
        <v>2.356338E7</v>
      </c>
      <c r="C2059" s="3">
        <v>7.46</v>
      </c>
      <c r="D2059" s="3">
        <v>130.5</v>
      </c>
      <c r="E2059" s="3"/>
    </row>
    <row r="2060">
      <c r="B2060" s="3">
        <v>2.3583383E7</v>
      </c>
      <c r="C2060" s="3">
        <v>7.46</v>
      </c>
      <c r="D2060" s="3">
        <v>130.4</v>
      </c>
      <c r="E2060" s="3"/>
    </row>
    <row r="2061">
      <c r="B2061" s="3">
        <v>2.3603386E7</v>
      </c>
      <c r="C2061" s="3">
        <v>7.46</v>
      </c>
      <c r="D2061" s="3">
        <v>130.5</v>
      </c>
      <c r="E2061" s="3"/>
    </row>
    <row r="2062">
      <c r="B2062" s="3">
        <v>2.3623389E7</v>
      </c>
      <c r="C2062" s="3">
        <v>7.46</v>
      </c>
      <c r="D2062" s="3">
        <v>130.5</v>
      </c>
      <c r="E2062" s="3"/>
    </row>
    <row r="2063">
      <c r="B2063" s="3">
        <v>2.3643392E7</v>
      </c>
      <c r="C2063" s="3">
        <v>7.46</v>
      </c>
      <c r="D2063" s="3">
        <v>130.5</v>
      </c>
      <c r="E2063" s="3"/>
    </row>
    <row r="2064">
      <c r="B2064" s="3">
        <v>2.3663395E7</v>
      </c>
      <c r="C2064" s="3">
        <v>7.46</v>
      </c>
      <c r="D2064" s="3">
        <v>130.5</v>
      </c>
      <c r="E2064" s="3"/>
    </row>
    <row r="2065">
      <c r="B2065" s="3">
        <v>2.3683398E7</v>
      </c>
      <c r="C2065" s="3">
        <v>7.46</v>
      </c>
      <c r="D2065" s="3">
        <v>130.5</v>
      </c>
      <c r="E2065" s="3"/>
    </row>
    <row r="2066">
      <c r="B2066" s="3">
        <v>2.3703401E7</v>
      </c>
      <c r="C2066" s="3">
        <v>7.46</v>
      </c>
      <c r="D2066" s="3">
        <v>130.5</v>
      </c>
      <c r="E2066" s="3"/>
    </row>
    <row r="2067">
      <c r="B2067" s="3">
        <v>2.3723404E7</v>
      </c>
      <c r="C2067" s="3">
        <v>7.46</v>
      </c>
      <c r="D2067" s="3">
        <v>130.5</v>
      </c>
      <c r="E2067" s="3"/>
    </row>
    <row r="2068">
      <c r="B2068" s="3">
        <v>2.3743407E7</v>
      </c>
      <c r="C2068" s="3">
        <v>7.46</v>
      </c>
      <c r="D2068" s="3">
        <v>130.4</v>
      </c>
      <c r="E2068" s="3"/>
    </row>
    <row r="2069">
      <c r="B2069" s="3">
        <v>2.3763409E7</v>
      </c>
      <c r="C2069" s="3">
        <v>7.46</v>
      </c>
      <c r="D2069" s="3">
        <v>130.4</v>
      </c>
      <c r="E2069" s="3"/>
    </row>
    <row r="2070">
      <c r="B2070" s="3">
        <v>2.3783412E7</v>
      </c>
      <c r="C2070" s="3">
        <v>7.46</v>
      </c>
      <c r="D2070" s="3">
        <v>130.4</v>
      </c>
      <c r="E2070" s="3"/>
    </row>
    <row r="2071">
      <c r="B2071" s="3">
        <v>2.3803415E7</v>
      </c>
      <c r="C2071" s="3">
        <v>7.46</v>
      </c>
      <c r="D2071" s="3">
        <v>130.4</v>
      </c>
      <c r="E2071" s="3"/>
    </row>
    <row r="2072">
      <c r="B2072" s="3">
        <v>2.3823418E7</v>
      </c>
      <c r="C2072" s="3">
        <v>7.46</v>
      </c>
      <c r="D2072" s="3">
        <v>130.4</v>
      </c>
      <c r="E2072" s="3"/>
    </row>
    <row r="2073">
      <c r="B2073" s="3">
        <v>2.3843421E7</v>
      </c>
      <c r="C2073" s="3">
        <v>7.46</v>
      </c>
      <c r="D2073" s="3">
        <v>130.4</v>
      </c>
      <c r="E2073" s="3"/>
    </row>
    <row r="2074">
      <c r="B2074" s="3">
        <v>2.3863424E7</v>
      </c>
      <c r="C2074" s="3">
        <v>7.46</v>
      </c>
      <c r="D2074" s="3">
        <v>130.4</v>
      </c>
      <c r="E2074" s="3"/>
    </row>
    <row r="2075">
      <c r="B2075" s="3">
        <v>2.3883426E7</v>
      </c>
      <c r="C2075" s="3">
        <v>7.46</v>
      </c>
      <c r="D2075" s="3">
        <v>130.3</v>
      </c>
      <c r="E2075" s="3"/>
    </row>
    <row r="2076">
      <c r="B2076" s="3">
        <v>2.3903429E7</v>
      </c>
      <c r="C2076" s="3">
        <v>7.45</v>
      </c>
      <c r="D2076" s="3">
        <v>130.4</v>
      </c>
      <c r="E2076" s="3"/>
    </row>
    <row r="2077">
      <c r="B2077" s="3">
        <v>2.3923432E7</v>
      </c>
      <c r="C2077" s="3">
        <v>7.46</v>
      </c>
      <c r="D2077" s="3">
        <v>130.4</v>
      </c>
      <c r="E2077" s="3"/>
    </row>
    <row r="2078">
      <c r="B2078" s="3">
        <v>2.3943436E7</v>
      </c>
      <c r="C2078" s="3">
        <v>7.45</v>
      </c>
      <c r="D2078" s="3">
        <v>130.3</v>
      </c>
      <c r="E2078" s="3"/>
    </row>
    <row r="2079">
      <c r="B2079" s="3">
        <v>4.0</v>
      </c>
      <c r="C2079" s="3">
        <v>7.35</v>
      </c>
      <c r="D2079" s="3">
        <v>125.0</v>
      </c>
      <c r="E2079" s="3"/>
    </row>
    <row r="2080">
      <c r="B2080" s="3">
        <v>20005.0</v>
      </c>
      <c r="C2080" s="3">
        <v>7.49</v>
      </c>
      <c r="D2080" s="3">
        <v>130.3</v>
      </c>
      <c r="E2080" s="3"/>
    </row>
    <row r="2081">
      <c r="B2081" s="3">
        <v>40008.0</v>
      </c>
      <c r="C2081" s="3">
        <v>7.49</v>
      </c>
      <c r="D2081" s="3">
        <v>130.7</v>
      </c>
      <c r="E2081" s="3"/>
    </row>
    <row r="2082">
      <c r="B2082" s="3">
        <v>60011.0</v>
      </c>
      <c r="C2082" s="3">
        <v>7.37</v>
      </c>
      <c r="D2082" s="3">
        <v>128.6</v>
      </c>
      <c r="E2082" s="3"/>
    </row>
    <row r="2083">
      <c r="B2083" s="3">
        <v>80014.0</v>
      </c>
      <c r="C2083" s="3">
        <v>7.47</v>
      </c>
      <c r="D2083" s="3">
        <v>130.4</v>
      </c>
      <c r="E2083" s="3"/>
    </row>
    <row r="2084">
      <c r="B2084" s="3">
        <v>100017.0</v>
      </c>
      <c r="C2084" s="3">
        <v>7.46</v>
      </c>
      <c r="D2084" s="3">
        <v>130.3</v>
      </c>
      <c r="E2084" s="3"/>
    </row>
    <row r="2085">
      <c r="B2085" s="3">
        <v>120019.0</v>
      </c>
      <c r="C2085" s="3">
        <v>7.36</v>
      </c>
      <c r="D2085" s="3">
        <v>128.5</v>
      </c>
      <c r="E2085" s="3"/>
    </row>
    <row r="2086">
      <c r="B2086" s="3">
        <v>140022.0</v>
      </c>
      <c r="C2086" s="3">
        <v>7.37</v>
      </c>
      <c r="D2086" s="3">
        <v>128.6</v>
      </c>
      <c r="E2086" s="3"/>
    </row>
    <row r="2087">
      <c r="B2087" s="3">
        <v>160025.0</v>
      </c>
      <c r="C2087" s="3">
        <v>7.35</v>
      </c>
      <c r="D2087" s="3">
        <v>128.3</v>
      </c>
      <c r="E2087" s="3"/>
    </row>
    <row r="2088">
      <c r="B2088" s="3">
        <v>180028.0</v>
      </c>
      <c r="C2088" s="3">
        <v>7.29</v>
      </c>
      <c r="D2088" s="3">
        <v>127.2</v>
      </c>
      <c r="E2088" s="3"/>
    </row>
    <row r="2089">
      <c r="B2089" s="3">
        <v>200031.0</v>
      </c>
      <c r="C2089" s="3">
        <v>7.37</v>
      </c>
      <c r="D2089" s="3">
        <v>128.6</v>
      </c>
      <c r="E2089" s="3"/>
    </row>
    <row r="2090">
      <c r="B2090" s="3">
        <v>220034.0</v>
      </c>
      <c r="C2090" s="3">
        <v>7.21</v>
      </c>
      <c r="D2090" s="3">
        <v>125.7</v>
      </c>
      <c r="E2090" s="3"/>
    </row>
    <row r="2091">
      <c r="B2091" s="3">
        <v>240036.0</v>
      </c>
      <c r="C2091" s="3">
        <v>7.36</v>
      </c>
      <c r="D2091" s="3">
        <v>128.4</v>
      </c>
      <c r="E2091" s="3"/>
    </row>
    <row r="2092">
      <c r="B2092" s="3">
        <v>260039.0</v>
      </c>
      <c r="C2092" s="3">
        <v>7.28</v>
      </c>
      <c r="D2092" s="3">
        <v>127.1</v>
      </c>
      <c r="E2092" s="3"/>
    </row>
    <row r="2093">
      <c r="B2093" s="3">
        <v>280042.0</v>
      </c>
      <c r="C2093" s="3">
        <v>7.31</v>
      </c>
      <c r="D2093" s="3">
        <v>127.7</v>
      </c>
      <c r="E2093" s="3"/>
    </row>
    <row r="2094">
      <c r="B2094" s="3">
        <v>300045.0</v>
      </c>
      <c r="C2094" s="3">
        <v>7.28</v>
      </c>
      <c r="D2094" s="3">
        <v>127.2</v>
      </c>
      <c r="E2094" s="3"/>
    </row>
    <row r="2095">
      <c r="B2095" s="3">
        <v>320048.0</v>
      </c>
      <c r="C2095" s="3">
        <v>7.36</v>
      </c>
      <c r="D2095" s="3">
        <v>128.5</v>
      </c>
      <c r="E2095" s="3"/>
    </row>
    <row r="2096">
      <c r="B2096" s="3">
        <v>340050.0</v>
      </c>
      <c r="C2096" s="3">
        <v>7.38</v>
      </c>
      <c r="D2096" s="3">
        <v>128.8</v>
      </c>
      <c r="E2096" s="3"/>
    </row>
    <row r="2097">
      <c r="B2097" s="3">
        <v>360053.0</v>
      </c>
      <c r="C2097" s="3">
        <v>7.38</v>
      </c>
      <c r="D2097" s="3">
        <v>128.8</v>
      </c>
      <c r="E2097" s="3"/>
    </row>
    <row r="2098">
      <c r="B2098" s="3">
        <v>380056.0</v>
      </c>
      <c r="C2098" s="3">
        <v>7.37</v>
      </c>
      <c r="D2098" s="3">
        <v>128.7</v>
      </c>
      <c r="E2098" s="3"/>
    </row>
    <row r="2099">
      <c r="B2099" s="3">
        <v>400059.0</v>
      </c>
      <c r="C2099" s="3">
        <v>7.32</v>
      </c>
      <c r="D2099" s="3">
        <v>127.9</v>
      </c>
      <c r="E2099" s="3"/>
    </row>
    <row r="2100">
      <c r="B2100" s="3">
        <v>420062.0</v>
      </c>
      <c r="C2100" s="3">
        <v>7.37</v>
      </c>
      <c r="D2100" s="3">
        <v>128.8</v>
      </c>
      <c r="E2100" s="3"/>
    </row>
    <row r="2101">
      <c r="B2101" s="3">
        <v>440065.0</v>
      </c>
      <c r="C2101" s="3">
        <v>7.37</v>
      </c>
      <c r="D2101" s="3">
        <v>128.9</v>
      </c>
      <c r="E2101" s="3"/>
    </row>
    <row r="2102">
      <c r="B2102" s="3">
        <v>460067.0</v>
      </c>
      <c r="C2102" s="3">
        <v>7.32</v>
      </c>
      <c r="D2102" s="3">
        <v>127.9</v>
      </c>
      <c r="E2102" s="3"/>
    </row>
    <row r="2103">
      <c r="B2103" s="3">
        <v>480070.0</v>
      </c>
      <c r="C2103" s="3">
        <v>7.37</v>
      </c>
      <c r="D2103" s="3">
        <v>128.9</v>
      </c>
      <c r="E2103" s="3"/>
    </row>
    <row r="2104">
      <c r="B2104" s="3">
        <v>500073.0</v>
      </c>
      <c r="C2104" s="3">
        <v>7.35</v>
      </c>
      <c r="D2104" s="3">
        <v>128.4</v>
      </c>
      <c r="E2104" s="3"/>
    </row>
    <row r="2105">
      <c r="B2105" s="3">
        <v>520076.0</v>
      </c>
      <c r="C2105" s="3">
        <v>7.34</v>
      </c>
      <c r="D2105" s="3">
        <v>128.3</v>
      </c>
      <c r="E2105" s="3"/>
    </row>
    <row r="2106">
      <c r="B2106" s="3">
        <v>540079.0</v>
      </c>
      <c r="C2106" s="3">
        <v>7.36</v>
      </c>
      <c r="D2106" s="3">
        <v>128.6</v>
      </c>
      <c r="E2106" s="3"/>
    </row>
    <row r="2107">
      <c r="B2107" s="3">
        <v>560081.0</v>
      </c>
      <c r="C2107" s="3">
        <v>7.34</v>
      </c>
      <c r="D2107" s="3">
        <v>128.3</v>
      </c>
      <c r="E2107" s="3"/>
    </row>
    <row r="2108">
      <c r="B2108" s="3">
        <v>580084.0</v>
      </c>
      <c r="C2108" s="3">
        <v>7.32</v>
      </c>
      <c r="D2108" s="3">
        <v>127.9</v>
      </c>
      <c r="E2108" s="3"/>
    </row>
    <row r="2109">
      <c r="B2109" s="3">
        <v>600087.0</v>
      </c>
      <c r="C2109" s="3">
        <v>7.37</v>
      </c>
      <c r="D2109" s="3">
        <v>128.8</v>
      </c>
      <c r="E2109" s="3"/>
    </row>
    <row r="2110">
      <c r="B2110" s="3">
        <v>620090.0</v>
      </c>
      <c r="C2110" s="3">
        <v>7.34</v>
      </c>
      <c r="D2110" s="3">
        <v>128.3</v>
      </c>
      <c r="E2110" s="3"/>
    </row>
    <row r="2111">
      <c r="B2111" s="3">
        <v>640093.0</v>
      </c>
      <c r="C2111" s="3">
        <v>7.33</v>
      </c>
      <c r="D2111" s="3">
        <v>128.0</v>
      </c>
      <c r="E2111" s="3"/>
    </row>
    <row r="2112">
      <c r="B2112" s="3">
        <v>660096.0</v>
      </c>
      <c r="C2112" s="3">
        <v>7.33</v>
      </c>
      <c r="D2112" s="3">
        <v>128.0</v>
      </c>
      <c r="E2112" s="3"/>
    </row>
    <row r="2113">
      <c r="B2113" s="3">
        <v>680098.0</v>
      </c>
      <c r="C2113" s="3">
        <v>7.34</v>
      </c>
      <c r="D2113" s="3">
        <v>128.3</v>
      </c>
      <c r="E2113" s="3"/>
    </row>
    <row r="2114">
      <c r="B2114" s="3">
        <v>700100.0</v>
      </c>
      <c r="C2114" s="3">
        <v>7.36</v>
      </c>
      <c r="D2114" s="3">
        <v>128.5</v>
      </c>
      <c r="E2114" s="3"/>
    </row>
    <row r="2115">
      <c r="B2115" s="3">
        <v>720103.0</v>
      </c>
      <c r="C2115" s="3">
        <v>7.33</v>
      </c>
      <c r="D2115" s="3">
        <v>128.1</v>
      </c>
      <c r="E2115" s="3"/>
    </row>
    <row r="2116">
      <c r="B2116" s="3">
        <v>740106.0</v>
      </c>
      <c r="C2116" s="3">
        <v>7.34</v>
      </c>
      <c r="D2116" s="3">
        <v>128.2</v>
      </c>
      <c r="E2116" s="3"/>
    </row>
    <row r="2117">
      <c r="B2117" s="3">
        <v>760109.0</v>
      </c>
      <c r="C2117" s="3">
        <v>7.26</v>
      </c>
      <c r="D2117" s="3">
        <v>127.0</v>
      </c>
      <c r="E2117" s="3"/>
    </row>
    <row r="2118">
      <c r="B2118" s="3">
        <v>780111.0</v>
      </c>
      <c r="C2118" s="3">
        <v>7.35</v>
      </c>
      <c r="D2118" s="3">
        <v>128.5</v>
      </c>
      <c r="E2118" s="3"/>
    </row>
    <row r="2119">
      <c r="B2119" s="3">
        <v>800114.0</v>
      </c>
      <c r="C2119" s="3">
        <v>7.36</v>
      </c>
      <c r="D2119" s="3">
        <v>128.5</v>
      </c>
      <c r="E2119" s="3"/>
    </row>
    <row r="2120">
      <c r="B2120" s="3">
        <v>820117.0</v>
      </c>
      <c r="C2120" s="3">
        <v>7.35</v>
      </c>
      <c r="D2120" s="3">
        <v>128.5</v>
      </c>
      <c r="E2120" s="3"/>
    </row>
    <row r="2121">
      <c r="B2121" s="3">
        <v>840120.0</v>
      </c>
      <c r="C2121" s="3">
        <v>7.34</v>
      </c>
      <c r="D2121" s="3">
        <v>128.3</v>
      </c>
      <c r="E2121" s="3"/>
    </row>
    <row r="2122">
      <c r="B2122" s="3">
        <v>860123.0</v>
      </c>
      <c r="C2122" s="3">
        <v>7.36</v>
      </c>
      <c r="D2122" s="3">
        <v>128.6</v>
      </c>
      <c r="E2122" s="3"/>
    </row>
    <row r="2123">
      <c r="B2123" s="3">
        <v>880125.0</v>
      </c>
      <c r="C2123" s="3">
        <v>7.35</v>
      </c>
      <c r="D2123" s="3">
        <v>128.5</v>
      </c>
      <c r="E2123" s="3"/>
    </row>
    <row r="2124">
      <c r="B2124" s="3">
        <v>900128.0</v>
      </c>
      <c r="C2124" s="3">
        <v>7.34</v>
      </c>
      <c r="D2124" s="3">
        <v>128.2</v>
      </c>
      <c r="E2124" s="3"/>
    </row>
    <row r="2125">
      <c r="B2125" s="3">
        <v>920131.0</v>
      </c>
      <c r="C2125" s="3">
        <v>7.34</v>
      </c>
      <c r="D2125" s="3">
        <v>128.2</v>
      </c>
      <c r="E2125" s="3"/>
    </row>
    <row r="2126">
      <c r="B2126" s="3">
        <v>940134.0</v>
      </c>
      <c r="C2126" s="3">
        <v>7.35</v>
      </c>
      <c r="D2126" s="3">
        <v>128.4</v>
      </c>
      <c r="E2126" s="3"/>
    </row>
    <row r="2127">
      <c r="B2127" s="3">
        <v>960137.0</v>
      </c>
      <c r="C2127" s="3">
        <v>7.33</v>
      </c>
      <c r="D2127" s="3">
        <v>128.1</v>
      </c>
      <c r="E2127" s="3"/>
    </row>
    <row r="2128">
      <c r="B2128" s="3">
        <v>980140.0</v>
      </c>
      <c r="C2128" s="3">
        <v>7.34</v>
      </c>
      <c r="D2128" s="3">
        <v>128.3</v>
      </c>
      <c r="E2128" s="3"/>
    </row>
    <row r="2129">
      <c r="B2129" s="3">
        <v>1000142.0</v>
      </c>
      <c r="C2129" s="3">
        <v>7.35</v>
      </c>
      <c r="D2129" s="3">
        <v>128.5</v>
      </c>
      <c r="E2129" s="3"/>
    </row>
    <row r="2130">
      <c r="B2130" s="3">
        <v>1020145.0</v>
      </c>
      <c r="C2130" s="3">
        <v>7.34</v>
      </c>
      <c r="D2130" s="3">
        <v>128.3</v>
      </c>
      <c r="E2130" s="3"/>
    </row>
    <row r="2131">
      <c r="B2131" s="3">
        <v>1040148.0</v>
      </c>
      <c r="C2131" s="3">
        <v>7.32</v>
      </c>
      <c r="D2131" s="3">
        <v>128.0</v>
      </c>
      <c r="E2131" s="3"/>
    </row>
    <row r="2132">
      <c r="B2132" s="3">
        <v>1060151.0</v>
      </c>
      <c r="C2132" s="3">
        <v>7.28</v>
      </c>
      <c r="D2132" s="3">
        <v>127.2</v>
      </c>
      <c r="E2132" s="3"/>
    </row>
    <row r="2133">
      <c r="B2133" s="3">
        <v>1080154.0</v>
      </c>
      <c r="C2133" s="3">
        <v>7.36</v>
      </c>
      <c r="D2133" s="3">
        <v>128.6</v>
      </c>
      <c r="E2133" s="3"/>
    </row>
    <row r="2134">
      <c r="B2134" s="3">
        <v>1100156.0</v>
      </c>
      <c r="C2134" s="3">
        <v>7.36</v>
      </c>
      <c r="D2134" s="3">
        <v>128.6</v>
      </c>
      <c r="E2134" s="3"/>
    </row>
    <row r="2135">
      <c r="B2135" s="3">
        <v>1120159.0</v>
      </c>
      <c r="C2135" s="3">
        <v>7.36</v>
      </c>
      <c r="D2135" s="3">
        <v>128.7</v>
      </c>
      <c r="E2135" s="3"/>
    </row>
    <row r="2136">
      <c r="B2136" s="3">
        <v>1140162.0</v>
      </c>
      <c r="C2136" s="3">
        <v>7.36</v>
      </c>
      <c r="D2136" s="3">
        <v>128.8</v>
      </c>
      <c r="E2136" s="3"/>
    </row>
    <row r="2137">
      <c r="B2137" s="3">
        <v>1160166.0</v>
      </c>
      <c r="C2137" s="3">
        <v>7.37</v>
      </c>
      <c r="D2137" s="3">
        <v>128.8</v>
      </c>
      <c r="E2137" s="3"/>
    </row>
    <row r="2138">
      <c r="B2138" s="3">
        <v>1180169.0</v>
      </c>
      <c r="C2138" s="3">
        <v>7.36</v>
      </c>
      <c r="D2138" s="3">
        <v>128.7</v>
      </c>
      <c r="E2138" s="3"/>
    </row>
    <row r="2139">
      <c r="B2139" s="3">
        <v>1200172.0</v>
      </c>
      <c r="C2139" s="3">
        <v>7.36</v>
      </c>
      <c r="D2139" s="3">
        <v>128.7</v>
      </c>
      <c r="E2139" s="3"/>
    </row>
    <row r="2140">
      <c r="B2140" s="3">
        <v>1220174.0</v>
      </c>
      <c r="C2140" s="3">
        <v>7.36</v>
      </c>
      <c r="D2140" s="3">
        <v>128.7</v>
      </c>
      <c r="E2140" s="3"/>
    </row>
    <row r="2141">
      <c r="B2141" s="3">
        <v>1240177.0</v>
      </c>
      <c r="C2141" s="3">
        <v>7.36</v>
      </c>
      <c r="D2141" s="3">
        <v>128.7</v>
      </c>
      <c r="E2141" s="3"/>
    </row>
    <row r="2142">
      <c r="B2142" s="3">
        <v>1260180.0</v>
      </c>
      <c r="C2142" s="3">
        <v>7.36</v>
      </c>
      <c r="D2142" s="3">
        <v>128.6</v>
      </c>
      <c r="E2142" s="3"/>
    </row>
    <row r="2143">
      <c r="B2143" s="3">
        <v>1280183.0</v>
      </c>
      <c r="C2143" s="3">
        <v>7.36</v>
      </c>
      <c r="D2143" s="3">
        <v>128.7</v>
      </c>
      <c r="E2143" s="3"/>
    </row>
    <row r="2144">
      <c r="B2144" s="3">
        <v>1300186.0</v>
      </c>
      <c r="C2144" s="3">
        <v>7.36</v>
      </c>
      <c r="D2144" s="3">
        <v>128.6</v>
      </c>
      <c r="E2144" s="3"/>
    </row>
    <row r="2145">
      <c r="B2145" s="3">
        <v>1320188.0</v>
      </c>
      <c r="C2145" s="3">
        <v>7.36</v>
      </c>
      <c r="D2145" s="3">
        <v>128.6</v>
      </c>
      <c r="E2145" s="3"/>
    </row>
    <row r="2146">
      <c r="B2146" s="3">
        <v>1340191.0</v>
      </c>
      <c r="C2146" s="3">
        <v>7.36</v>
      </c>
      <c r="D2146" s="3">
        <v>128.6</v>
      </c>
      <c r="E2146" s="3"/>
    </row>
    <row r="2147">
      <c r="B2147" s="3">
        <v>1360194.0</v>
      </c>
      <c r="C2147" s="3">
        <v>7.36</v>
      </c>
      <c r="D2147" s="3">
        <v>128.5</v>
      </c>
      <c r="E2147" s="3"/>
    </row>
    <row r="2148">
      <c r="B2148" s="3">
        <v>1380197.0</v>
      </c>
      <c r="C2148" s="3">
        <v>7.36</v>
      </c>
      <c r="D2148" s="3">
        <v>128.6</v>
      </c>
      <c r="E2148" s="3"/>
    </row>
    <row r="2149">
      <c r="B2149" s="3">
        <v>1400200.0</v>
      </c>
      <c r="C2149" s="3">
        <v>7.35</v>
      </c>
      <c r="D2149" s="3">
        <v>128.5</v>
      </c>
      <c r="E2149" s="3"/>
    </row>
    <row r="2150">
      <c r="B2150" s="3">
        <v>1420203.0</v>
      </c>
      <c r="C2150" s="3">
        <v>7.34</v>
      </c>
      <c r="D2150" s="3">
        <v>128.3</v>
      </c>
      <c r="E2150" s="3"/>
    </row>
    <row r="2151">
      <c r="B2151" s="3">
        <v>1440205.0</v>
      </c>
      <c r="C2151" s="3">
        <v>7.34</v>
      </c>
      <c r="D2151" s="3">
        <v>128.4</v>
      </c>
      <c r="E2151" s="3"/>
    </row>
    <row r="2152">
      <c r="B2152" s="3">
        <v>1460208.0</v>
      </c>
      <c r="C2152" s="3">
        <v>7.34</v>
      </c>
      <c r="D2152" s="3">
        <v>128.3</v>
      </c>
      <c r="E2152" s="3"/>
    </row>
    <row r="2153">
      <c r="B2153" s="3">
        <v>1480211.0</v>
      </c>
      <c r="C2153" s="3">
        <v>7.34</v>
      </c>
      <c r="D2153" s="3">
        <v>128.3</v>
      </c>
      <c r="E2153" s="3"/>
    </row>
    <row r="2154">
      <c r="B2154" s="3">
        <v>1500214.0</v>
      </c>
      <c r="C2154" s="3">
        <v>7.34</v>
      </c>
      <c r="D2154" s="3">
        <v>128.3</v>
      </c>
      <c r="E2154" s="3"/>
    </row>
    <row r="2155">
      <c r="B2155" s="3">
        <v>1520217.0</v>
      </c>
      <c r="C2155" s="3">
        <v>7.34</v>
      </c>
      <c r="D2155" s="3">
        <v>128.2</v>
      </c>
      <c r="E2155" s="3"/>
    </row>
    <row r="2156">
      <c r="B2156" s="3">
        <v>1540219.0</v>
      </c>
      <c r="C2156" s="3">
        <v>7.34</v>
      </c>
      <c r="D2156" s="3">
        <v>128.2</v>
      </c>
      <c r="E2156" s="3"/>
    </row>
    <row r="2157">
      <c r="B2157" s="3">
        <v>1560222.0</v>
      </c>
      <c r="C2157" s="3">
        <v>7.33</v>
      </c>
      <c r="D2157" s="3">
        <v>128.1</v>
      </c>
      <c r="E2157" s="3"/>
    </row>
    <row r="2158">
      <c r="B2158" s="3">
        <v>1580225.0</v>
      </c>
      <c r="C2158" s="3">
        <v>7.32</v>
      </c>
      <c r="D2158" s="3">
        <v>128.0</v>
      </c>
      <c r="E2158" s="3"/>
    </row>
    <row r="2159">
      <c r="B2159" s="3">
        <v>1600228.0</v>
      </c>
      <c r="C2159" s="3">
        <v>7.3</v>
      </c>
      <c r="D2159" s="3">
        <v>127.6</v>
      </c>
      <c r="E2159" s="3"/>
    </row>
    <row r="2160">
      <c r="B2160" s="3">
        <v>1620231.0</v>
      </c>
      <c r="C2160" s="3">
        <v>7.35</v>
      </c>
      <c r="D2160" s="3">
        <v>128.5</v>
      </c>
      <c r="E2160" s="3"/>
    </row>
    <row r="2161">
      <c r="B2161" s="3">
        <v>1640233.0</v>
      </c>
      <c r="C2161" s="3">
        <v>7.35</v>
      </c>
      <c r="D2161" s="3">
        <v>128.5</v>
      </c>
      <c r="E2161" s="3"/>
    </row>
    <row r="2162">
      <c r="B2162" s="3">
        <v>1660236.0</v>
      </c>
      <c r="C2162" s="3">
        <v>7.36</v>
      </c>
      <c r="D2162" s="3">
        <v>128.5</v>
      </c>
      <c r="E2162" s="3"/>
    </row>
    <row r="2163">
      <c r="B2163" s="3">
        <v>1680239.0</v>
      </c>
      <c r="C2163" s="3">
        <v>7.35</v>
      </c>
      <c r="D2163" s="3">
        <v>128.5</v>
      </c>
      <c r="E2163" s="3"/>
    </row>
    <row r="2164">
      <c r="B2164" s="3">
        <v>1700242.0</v>
      </c>
      <c r="C2164" s="3">
        <v>7.33</v>
      </c>
      <c r="D2164" s="3">
        <v>128.1</v>
      </c>
      <c r="E2164" s="3"/>
    </row>
    <row r="2165">
      <c r="B2165" s="3">
        <v>1720245.0</v>
      </c>
      <c r="C2165" s="3">
        <v>7.32</v>
      </c>
      <c r="D2165" s="3">
        <v>127.8</v>
      </c>
      <c r="E2165" s="3"/>
    </row>
    <row r="2166">
      <c r="B2166" s="3">
        <v>1740248.0</v>
      </c>
      <c r="C2166" s="3">
        <v>7.32</v>
      </c>
      <c r="D2166" s="3">
        <v>128.0</v>
      </c>
      <c r="E2166" s="3"/>
    </row>
    <row r="2167">
      <c r="B2167" s="3">
        <v>1760250.0</v>
      </c>
      <c r="C2167" s="3">
        <v>7.3</v>
      </c>
      <c r="D2167" s="3">
        <v>127.5</v>
      </c>
      <c r="E2167" s="3"/>
    </row>
    <row r="2168">
      <c r="B2168" s="3">
        <v>1780253.0</v>
      </c>
      <c r="C2168" s="3">
        <v>7.27</v>
      </c>
      <c r="D2168" s="3">
        <v>127.0</v>
      </c>
      <c r="E2168" s="3"/>
    </row>
    <row r="2169">
      <c r="B2169" s="3">
        <v>1800256.0</v>
      </c>
      <c r="C2169" s="3">
        <v>7.32</v>
      </c>
      <c r="D2169" s="3">
        <v>128.0</v>
      </c>
      <c r="E2169" s="3"/>
    </row>
    <row r="2170">
      <c r="B2170" s="3">
        <v>1820259.0</v>
      </c>
      <c r="C2170" s="3">
        <v>7.33</v>
      </c>
      <c r="D2170" s="3">
        <v>128.1</v>
      </c>
      <c r="E2170" s="3"/>
    </row>
    <row r="2171">
      <c r="B2171" s="3">
        <v>1840262.0</v>
      </c>
      <c r="C2171" s="3">
        <v>7.34</v>
      </c>
      <c r="D2171" s="3">
        <v>128.2</v>
      </c>
      <c r="E2171" s="3"/>
    </row>
    <row r="2172">
      <c r="B2172" s="3">
        <v>1860264.0</v>
      </c>
      <c r="C2172" s="3">
        <v>7.33</v>
      </c>
      <c r="D2172" s="3">
        <v>128.1</v>
      </c>
      <c r="E2172" s="3"/>
    </row>
    <row r="2173">
      <c r="B2173" s="3">
        <v>1880267.0</v>
      </c>
      <c r="C2173" s="3">
        <v>7.33</v>
      </c>
      <c r="D2173" s="3">
        <v>128.1</v>
      </c>
      <c r="E2173" s="3"/>
    </row>
    <row r="2174">
      <c r="B2174" s="3">
        <v>1900270.0</v>
      </c>
      <c r="C2174" s="3">
        <v>7.33</v>
      </c>
      <c r="D2174" s="3">
        <v>128.1</v>
      </c>
      <c r="E2174" s="3"/>
    </row>
    <row r="2175">
      <c r="B2175" s="3">
        <v>1920273.0</v>
      </c>
      <c r="C2175" s="3">
        <v>7.33</v>
      </c>
      <c r="D2175" s="3">
        <v>128.2</v>
      </c>
      <c r="E2175" s="3"/>
    </row>
    <row r="2176">
      <c r="B2176" s="3">
        <v>1940277.0</v>
      </c>
      <c r="C2176" s="3">
        <v>7.33</v>
      </c>
      <c r="D2176" s="3">
        <v>128.2</v>
      </c>
      <c r="E2176" s="3"/>
    </row>
    <row r="2177">
      <c r="B2177" s="3">
        <v>1960280.0</v>
      </c>
      <c r="C2177" s="3">
        <v>7.33</v>
      </c>
      <c r="D2177" s="3">
        <v>128.1</v>
      </c>
      <c r="E2177" s="3"/>
    </row>
    <row r="2178">
      <c r="B2178" s="3">
        <v>1980282.0</v>
      </c>
      <c r="C2178" s="3">
        <v>7.33</v>
      </c>
      <c r="D2178" s="3">
        <v>128.1</v>
      </c>
      <c r="E2178" s="3"/>
    </row>
    <row r="2179">
      <c r="B2179" s="3">
        <v>2000285.0</v>
      </c>
      <c r="C2179" s="3">
        <v>7.31</v>
      </c>
      <c r="D2179" s="3">
        <v>127.7</v>
      </c>
      <c r="E2179" s="3"/>
    </row>
    <row r="2180">
      <c r="B2180" s="3">
        <v>2020288.0</v>
      </c>
      <c r="C2180" s="3">
        <v>7.3</v>
      </c>
      <c r="D2180" s="3">
        <v>127.5</v>
      </c>
      <c r="E2180" s="3"/>
    </row>
    <row r="2181">
      <c r="B2181" s="3">
        <v>2040291.0</v>
      </c>
      <c r="C2181" s="3">
        <v>7.28</v>
      </c>
      <c r="D2181" s="3">
        <v>127.1</v>
      </c>
      <c r="E2181" s="3"/>
    </row>
    <row r="2182">
      <c r="B2182" s="3">
        <v>2060294.0</v>
      </c>
      <c r="C2182" s="3">
        <v>7.31</v>
      </c>
      <c r="D2182" s="3">
        <v>127.7</v>
      </c>
      <c r="E2182" s="3"/>
    </row>
    <row r="2183">
      <c r="B2183" s="3">
        <v>2080296.0</v>
      </c>
      <c r="C2183" s="3">
        <v>7.3</v>
      </c>
      <c r="D2183" s="3">
        <v>127.5</v>
      </c>
      <c r="E2183" s="3"/>
    </row>
    <row r="2184">
      <c r="B2184" s="3">
        <v>2100299.0</v>
      </c>
      <c r="C2184" s="3">
        <v>7.31</v>
      </c>
      <c r="D2184" s="3">
        <v>127.7</v>
      </c>
      <c r="E2184" s="3"/>
    </row>
    <row r="2185">
      <c r="B2185" s="3">
        <v>2120302.0</v>
      </c>
      <c r="C2185" s="3">
        <v>7.29</v>
      </c>
      <c r="D2185" s="3">
        <v>127.4</v>
      </c>
      <c r="E2185" s="3"/>
    </row>
    <row r="2186">
      <c r="B2186" s="3">
        <v>2140305.0</v>
      </c>
      <c r="C2186" s="3">
        <v>7.32</v>
      </c>
      <c r="D2186" s="3">
        <v>127.8</v>
      </c>
      <c r="E2186" s="3"/>
    </row>
    <row r="2187">
      <c r="B2187" s="3">
        <v>2160308.0</v>
      </c>
      <c r="C2187" s="3">
        <v>7.3</v>
      </c>
      <c r="D2187" s="3">
        <v>127.6</v>
      </c>
      <c r="E2187" s="3"/>
    </row>
    <row r="2188">
      <c r="B2188" s="3">
        <v>2180311.0</v>
      </c>
      <c r="C2188" s="3">
        <v>7.3</v>
      </c>
      <c r="D2188" s="3">
        <v>127.5</v>
      </c>
      <c r="E2188" s="3"/>
    </row>
    <row r="2189">
      <c r="B2189" s="3">
        <v>2200313.0</v>
      </c>
      <c r="C2189" s="3">
        <v>7.3</v>
      </c>
      <c r="D2189" s="3">
        <v>127.6</v>
      </c>
      <c r="E2189" s="3"/>
    </row>
    <row r="2190">
      <c r="B2190" s="3">
        <v>2220316.0</v>
      </c>
      <c r="C2190" s="3">
        <v>7.27</v>
      </c>
      <c r="D2190" s="3">
        <v>127.1</v>
      </c>
      <c r="E2190" s="3"/>
    </row>
    <row r="2191">
      <c r="B2191" s="3">
        <v>2240319.0</v>
      </c>
      <c r="C2191" s="3">
        <v>7.32</v>
      </c>
      <c r="D2191" s="3">
        <v>127.9</v>
      </c>
      <c r="E2191" s="3"/>
    </row>
    <row r="2192">
      <c r="B2192" s="3">
        <v>2260322.0</v>
      </c>
      <c r="C2192" s="3">
        <v>7.34</v>
      </c>
      <c r="D2192" s="3">
        <v>128.2</v>
      </c>
      <c r="E2192" s="3"/>
    </row>
    <row r="2193">
      <c r="B2193" s="3">
        <v>2280325.0</v>
      </c>
      <c r="C2193" s="3">
        <v>7.33</v>
      </c>
      <c r="D2193" s="3">
        <v>128.1</v>
      </c>
      <c r="E2193" s="3"/>
    </row>
    <row r="2194">
      <c r="B2194" s="3">
        <v>2300327.0</v>
      </c>
      <c r="C2194" s="3">
        <v>7.34</v>
      </c>
      <c r="D2194" s="3">
        <v>128.2</v>
      </c>
      <c r="E2194" s="3"/>
    </row>
    <row r="2195">
      <c r="B2195" s="3">
        <v>2320330.0</v>
      </c>
      <c r="C2195" s="3">
        <v>7.33</v>
      </c>
      <c r="D2195" s="3">
        <v>128.1</v>
      </c>
      <c r="E2195" s="3"/>
    </row>
    <row r="2196">
      <c r="B2196" s="3">
        <v>2340333.0</v>
      </c>
      <c r="C2196" s="3">
        <v>7.32</v>
      </c>
      <c r="D2196" s="3">
        <v>128.0</v>
      </c>
      <c r="E2196" s="3"/>
    </row>
    <row r="2197">
      <c r="B2197" s="3">
        <v>2360336.0</v>
      </c>
      <c r="C2197" s="3">
        <v>7.32</v>
      </c>
      <c r="D2197" s="3">
        <v>127.8</v>
      </c>
      <c r="E2197" s="3"/>
    </row>
    <row r="2198">
      <c r="B2198" s="3">
        <v>2380339.0</v>
      </c>
      <c r="C2198" s="3">
        <v>7.3</v>
      </c>
      <c r="D2198" s="3">
        <v>127.7</v>
      </c>
      <c r="E2198" s="3"/>
    </row>
    <row r="2199">
      <c r="B2199" s="3">
        <v>2400342.0</v>
      </c>
      <c r="C2199" s="3">
        <v>7.31</v>
      </c>
      <c r="D2199" s="3">
        <v>127.7</v>
      </c>
      <c r="E2199" s="3"/>
    </row>
    <row r="2200">
      <c r="B2200" s="3">
        <v>2420344.0</v>
      </c>
      <c r="C2200" s="3">
        <v>7.31</v>
      </c>
      <c r="D2200" s="3">
        <v>127.7</v>
      </c>
      <c r="E2200" s="3"/>
    </row>
    <row r="2201">
      <c r="B2201" s="3">
        <v>2440347.0</v>
      </c>
      <c r="C2201" s="3">
        <v>7.29</v>
      </c>
      <c r="D2201" s="3">
        <v>127.4</v>
      </c>
      <c r="E2201" s="3"/>
    </row>
    <row r="2202">
      <c r="B2202" s="3">
        <v>2460350.0</v>
      </c>
      <c r="C2202" s="3">
        <v>7.29</v>
      </c>
      <c r="D2202" s="3">
        <v>127.4</v>
      </c>
      <c r="E2202" s="3"/>
    </row>
    <row r="2203">
      <c r="B2203" s="3">
        <v>2480353.0</v>
      </c>
      <c r="C2203" s="3">
        <v>7.28</v>
      </c>
      <c r="D2203" s="3">
        <v>127.3</v>
      </c>
      <c r="E2203" s="3"/>
    </row>
    <row r="2204">
      <c r="B2204" s="3">
        <v>2500356.0</v>
      </c>
      <c r="C2204" s="3">
        <v>7.32</v>
      </c>
      <c r="D2204" s="3">
        <v>127.9</v>
      </c>
      <c r="E2204" s="3"/>
    </row>
    <row r="2205">
      <c r="B2205" s="3">
        <v>2520358.0</v>
      </c>
      <c r="C2205" s="3">
        <v>7.32</v>
      </c>
      <c r="D2205" s="3">
        <v>127.9</v>
      </c>
      <c r="E2205" s="3"/>
    </row>
    <row r="2206">
      <c r="B2206" s="3">
        <v>2540361.0</v>
      </c>
      <c r="C2206" s="3">
        <v>7.31</v>
      </c>
      <c r="D2206" s="3">
        <v>127.7</v>
      </c>
      <c r="E2206" s="3"/>
    </row>
    <row r="2207">
      <c r="B2207" s="3">
        <v>2560364.0</v>
      </c>
      <c r="C2207" s="3">
        <v>7.32</v>
      </c>
      <c r="D2207" s="3">
        <v>127.8</v>
      </c>
      <c r="E2207" s="3"/>
    </row>
    <row r="2208">
      <c r="B2208" s="3">
        <v>2580367.0</v>
      </c>
      <c r="C2208" s="3">
        <v>7.31</v>
      </c>
      <c r="D2208" s="3">
        <v>127.8</v>
      </c>
      <c r="E2208" s="3"/>
    </row>
    <row r="2209">
      <c r="B2209" s="3">
        <v>2600370.0</v>
      </c>
      <c r="C2209" s="3">
        <v>7.3</v>
      </c>
      <c r="D2209" s="3">
        <v>127.7</v>
      </c>
      <c r="E2209" s="3"/>
    </row>
    <row r="2210">
      <c r="B2210" s="3">
        <v>2620372.0</v>
      </c>
      <c r="C2210" s="3">
        <v>7.3</v>
      </c>
      <c r="D2210" s="3">
        <v>127.6</v>
      </c>
      <c r="E2210" s="3"/>
    </row>
    <row r="2211">
      <c r="B2211" s="3">
        <v>2640375.0</v>
      </c>
      <c r="C2211" s="3">
        <v>7.3</v>
      </c>
      <c r="D2211" s="3">
        <v>127.6</v>
      </c>
      <c r="E2211" s="3"/>
    </row>
    <row r="2212">
      <c r="B2212" s="3">
        <v>2660378.0</v>
      </c>
      <c r="C2212" s="3">
        <v>7.29</v>
      </c>
      <c r="D2212" s="3">
        <v>127.5</v>
      </c>
      <c r="E2212" s="3"/>
    </row>
    <row r="2213">
      <c r="B2213" s="3">
        <v>2680382.0</v>
      </c>
      <c r="C2213" s="3">
        <v>7.3</v>
      </c>
      <c r="D2213" s="3">
        <v>127.6</v>
      </c>
      <c r="E2213" s="3"/>
    </row>
    <row r="2214">
      <c r="B2214" s="3">
        <v>2700385.0</v>
      </c>
      <c r="C2214" s="3">
        <v>7.3</v>
      </c>
      <c r="D2214" s="3">
        <v>127.4</v>
      </c>
      <c r="E2214" s="3"/>
    </row>
    <row r="2215">
      <c r="B2215" s="3">
        <v>2720388.0</v>
      </c>
      <c r="C2215" s="3">
        <v>7.3</v>
      </c>
      <c r="D2215" s="3">
        <v>127.5</v>
      </c>
      <c r="E2215" s="3"/>
    </row>
    <row r="2216">
      <c r="B2216" s="3">
        <v>2740390.0</v>
      </c>
      <c r="C2216" s="3">
        <v>7.29</v>
      </c>
      <c r="D2216" s="3">
        <v>127.4</v>
      </c>
      <c r="E2216" s="3"/>
    </row>
    <row r="2217">
      <c r="B2217" s="3">
        <v>2760393.0</v>
      </c>
      <c r="C2217" s="3">
        <v>7.27</v>
      </c>
      <c r="D2217" s="3">
        <v>127.0</v>
      </c>
      <c r="E2217" s="3"/>
    </row>
    <row r="2218">
      <c r="B2218" s="3">
        <v>2780396.0</v>
      </c>
      <c r="C2218" s="3">
        <v>7.29</v>
      </c>
      <c r="D2218" s="3">
        <v>127.4</v>
      </c>
      <c r="E2218" s="3"/>
    </row>
    <row r="2219">
      <c r="B2219" s="3">
        <v>2800399.0</v>
      </c>
      <c r="C2219" s="3">
        <v>7.28</v>
      </c>
      <c r="D2219" s="3">
        <v>127.2</v>
      </c>
      <c r="E2219" s="3"/>
    </row>
    <row r="2220">
      <c r="B2220" s="3">
        <v>2820402.0</v>
      </c>
      <c r="C2220" s="3">
        <v>7.28</v>
      </c>
      <c r="D2220" s="3">
        <v>127.1</v>
      </c>
      <c r="E2220" s="3"/>
    </row>
    <row r="2221">
      <c r="B2221" s="3">
        <v>2840404.0</v>
      </c>
      <c r="C2221" s="3">
        <v>7.28</v>
      </c>
      <c r="D2221" s="3">
        <v>127.3</v>
      </c>
      <c r="E2221" s="3"/>
    </row>
    <row r="2222">
      <c r="B2222" s="3">
        <v>2860407.0</v>
      </c>
      <c r="C2222" s="3">
        <v>7.27</v>
      </c>
      <c r="D2222" s="3">
        <v>126.9</v>
      </c>
      <c r="E2222" s="3"/>
    </row>
    <row r="2223">
      <c r="B2223" s="3">
        <v>2880410.0</v>
      </c>
      <c r="C2223" s="3">
        <v>7.28</v>
      </c>
      <c r="D2223" s="3">
        <v>127.1</v>
      </c>
      <c r="E2223" s="3"/>
    </row>
    <row r="2224">
      <c r="B2224" s="3">
        <v>2900413.0</v>
      </c>
      <c r="C2224" s="3">
        <v>7.26</v>
      </c>
      <c r="D2224" s="3">
        <v>126.9</v>
      </c>
      <c r="E2224" s="3"/>
    </row>
    <row r="2225">
      <c r="B2225" s="3">
        <v>2920416.0</v>
      </c>
      <c r="C2225" s="3">
        <v>7.26</v>
      </c>
      <c r="D2225" s="3">
        <v>126.9</v>
      </c>
      <c r="E2225" s="3"/>
    </row>
    <row r="2226">
      <c r="B2226" s="3">
        <v>2940419.0</v>
      </c>
      <c r="C2226" s="3">
        <v>7.26</v>
      </c>
      <c r="D2226" s="3">
        <v>126.8</v>
      </c>
      <c r="E2226" s="3"/>
    </row>
    <row r="2227">
      <c r="B2227" s="3">
        <v>2960421.0</v>
      </c>
      <c r="C2227" s="3">
        <v>7.21</v>
      </c>
      <c r="D2227" s="3">
        <v>125.9</v>
      </c>
      <c r="E2227" s="3"/>
    </row>
    <row r="2228">
      <c r="B2228" s="3">
        <v>2980424.0</v>
      </c>
      <c r="C2228" s="3">
        <v>7.25</v>
      </c>
      <c r="D2228" s="3">
        <v>126.7</v>
      </c>
      <c r="E2228" s="3"/>
    </row>
    <row r="2229">
      <c r="B2229" s="3">
        <v>3000427.0</v>
      </c>
      <c r="C2229" s="3">
        <v>7.26</v>
      </c>
      <c r="D2229" s="3">
        <v>126.9</v>
      </c>
      <c r="E2229" s="3"/>
    </row>
    <row r="2230">
      <c r="B2230" s="3">
        <v>3020430.0</v>
      </c>
      <c r="C2230" s="3">
        <v>7.25</v>
      </c>
      <c r="D2230" s="3">
        <v>126.7</v>
      </c>
      <c r="E2230" s="3"/>
    </row>
    <row r="2231">
      <c r="B2231" s="3">
        <v>3040433.0</v>
      </c>
      <c r="C2231" s="3">
        <v>7.28</v>
      </c>
      <c r="D2231" s="3">
        <v>127.3</v>
      </c>
      <c r="E2231" s="3"/>
    </row>
    <row r="2232">
      <c r="B2232" s="3">
        <v>3060435.0</v>
      </c>
      <c r="C2232" s="3">
        <v>7.3</v>
      </c>
      <c r="D2232" s="3">
        <v>127.4</v>
      </c>
      <c r="E2232" s="3"/>
    </row>
    <row r="2233">
      <c r="B2233" s="3">
        <v>3080438.0</v>
      </c>
      <c r="C2233" s="3">
        <v>7.3</v>
      </c>
      <c r="D2233" s="3">
        <v>127.5</v>
      </c>
      <c r="E2233" s="3"/>
    </row>
    <row r="2234">
      <c r="B2234" s="3">
        <v>3100441.0</v>
      </c>
      <c r="C2234" s="3">
        <v>7.28</v>
      </c>
      <c r="D2234" s="3">
        <v>127.1</v>
      </c>
      <c r="E2234" s="3"/>
    </row>
    <row r="2235">
      <c r="B2235" s="3">
        <v>3120444.0</v>
      </c>
      <c r="C2235" s="3">
        <v>7.28</v>
      </c>
      <c r="D2235" s="3">
        <v>127.2</v>
      </c>
      <c r="E2235" s="3"/>
    </row>
    <row r="2236">
      <c r="B2236" s="3">
        <v>3140447.0</v>
      </c>
      <c r="C2236" s="3">
        <v>7.28</v>
      </c>
      <c r="D2236" s="3">
        <v>127.0</v>
      </c>
      <c r="E2236" s="3"/>
    </row>
    <row r="2237">
      <c r="B2237" s="3">
        <v>3160450.0</v>
      </c>
      <c r="C2237" s="3">
        <v>7.26</v>
      </c>
      <c r="D2237" s="3">
        <v>126.9</v>
      </c>
      <c r="E2237" s="3"/>
    </row>
    <row r="2238">
      <c r="B2238" s="3">
        <v>3180452.0</v>
      </c>
      <c r="C2238" s="3">
        <v>7.27</v>
      </c>
      <c r="D2238" s="3">
        <v>127.1</v>
      </c>
      <c r="E2238" s="3"/>
    </row>
    <row r="2239">
      <c r="B2239" s="3">
        <v>3200455.0</v>
      </c>
      <c r="C2239" s="3">
        <v>7.24</v>
      </c>
      <c r="D2239" s="3">
        <v>126.4</v>
      </c>
      <c r="E2239" s="3"/>
    </row>
    <row r="2240">
      <c r="B2240" s="3">
        <v>3220458.0</v>
      </c>
      <c r="C2240" s="3">
        <v>7.2</v>
      </c>
      <c r="D2240" s="3">
        <v>125.8</v>
      </c>
      <c r="E2240" s="3"/>
    </row>
    <row r="2241">
      <c r="B2241" s="3">
        <v>3240461.0</v>
      </c>
      <c r="C2241" s="3">
        <v>7.27</v>
      </c>
      <c r="D2241" s="3">
        <v>127.0</v>
      </c>
      <c r="E2241" s="3"/>
    </row>
    <row r="2242">
      <c r="B2242" s="3">
        <v>3260464.0</v>
      </c>
      <c r="C2242" s="3">
        <v>7.27</v>
      </c>
      <c r="D2242" s="3">
        <v>127.0</v>
      </c>
      <c r="E2242" s="3"/>
    </row>
    <row r="2243">
      <c r="B2243" s="3">
        <v>3280466.0</v>
      </c>
      <c r="C2243" s="3">
        <v>7.25</v>
      </c>
      <c r="D2243" s="3">
        <v>126.7</v>
      </c>
      <c r="E2243" s="3"/>
    </row>
    <row r="2244">
      <c r="B2244" s="3">
        <v>3300469.0</v>
      </c>
      <c r="C2244" s="3">
        <v>7.19</v>
      </c>
      <c r="D2244" s="3">
        <v>125.7</v>
      </c>
      <c r="E2244" s="3"/>
    </row>
    <row r="2245">
      <c r="B2245" s="3" t="s">
        <v>44</v>
      </c>
      <c r="C2245" s="3"/>
      <c r="D2245" s="3"/>
      <c r="E2245" s="3"/>
    </row>
    <row r="2246">
      <c r="B2246" s="3"/>
      <c r="C2246" s="3"/>
      <c r="D2246" s="3"/>
      <c r="E2246" s="3"/>
    </row>
    <row r="2247">
      <c r="B2247" s="3"/>
      <c r="C2247" s="3"/>
      <c r="D2247" s="3"/>
      <c r="E2247" s="3"/>
    </row>
    <row r="2248">
      <c r="B2248" s="3"/>
      <c r="C2248" s="3"/>
      <c r="D2248" s="3"/>
      <c r="E2248" s="3"/>
    </row>
    <row r="2249">
      <c r="B2249" s="3"/>
      <c r="C2249" s="3"/>
      <c r="D2249" s="3"/>
      <c r="E2249" s="3"/>
    </row>
    <row r="2250">
      <c r="B2250" s="3"/>
      <c r="C2250" s="3"/>
      <c r="D2250" s="3"/>
      <c r="E2250" s="3"/>
    </row>
    <row r="2251">
      <c r="B2251" s="3"/>
      <c r="C2251" s="3"/>
      <c r="D2251" s="3"/>
      <c r="E2251" s="3"/>
    </row>
    <row r="2252">
      <c r="B2252" s="3"/>
      <c r="C2252" s="3"/>
      <c r="D2252" s="3"/>
      <c r="E2252" s="3"/>
    </row>
    <row r="2253">
      <c r="B2253" s="3"/>
      <c r="C2253" s="3"/>
      <c r="D2253" s="3"/>
      <c r="E2253" s="3"/>
    </row>
    <row r="2254">
      <c r="B2254" s="3"/>
      <c r="C2254" s="3"/>
      <c r="D2254" s="3"/>
      <c r="E2254" s="3"/>
    </row>
    <row r="2255">
      <c r="B2255" s="3"/>
      <c r="C2255" s="3"/>
      <c r="D2255" s="3"/>
      <c r="E2255" s="3"/>
    </row>
    <row r="2256">
      <c r="B2256" s="3"/>
      <c r="C2256" s="3"/>
      <c r="D2256" s="3"/>
      <c r="E2256" s="3"/>
    </row>
    <row r="2257">
      <c r="B2257" s="3"/>
      <c r="C2257" s="3"/>
      <c r="D2257" s="3"/>
      <c r="E2257" s="3"/>
    </row>
    <row r="2258">
      <c r="B2258" s="3"/>
      <c r="C2258" s="3"/>
      <c r="D2258" s="3"/>
      <c r="E2258" s="3"/>
    </row>
    <row r="2259">
      <c r="B2259" s="3"/>
      <c r="C2259" s="3"/>
      <c r="D2259" s="3"/>
      <c r="E2259" s="3"/>
    </row>
    <row r="2260">
      <c r="B2260" s="3"/>
      <c r="C2260" s="3"/>
      <c r="D2260" s="3"/>
      <c r="E2260" s="3"/>
    </row>
    <row r="2261">
      <c r="B2261" s="3"/>
      <c r="C2261" s="3"/>
      <c r="D2261" s="3"/>
      <c r="E2261" s="3"/>
    </row>
    <row r="2262">
      <c r="B2262" s="3"/>
      <c r="C2262" s="3"/>
      <c r="D2262" s="3"/>
      <c r="E2262" s="3"/>
    </row>
    <row r="2263">
      <c r="B2263" s="3"/>
      <c r="C2263" s="3"/>
      <c r="D2263" s="3"/>
      <c r="E2263" s="3"/>
    </row>
    <row r="2264">
      <c r="B2264" s="3"/>
      <c r="C2264" s="3"/>
      <c r="D2264" s="3"/>
      <c r="E2264" s="3"/>
    </row>
    <row r="2265">
      <c r="B2265" s="3"/>
      <c r="C2265" s="3"/>
      <c r="D2265" s="3"/>
      <c r="E2265" s="3"/>
    </row>
    <row r="2266">
      <c r="B2266" s="3"/>
      <c r="C2266" s="3"/>
      <c r="D2266" s="3"/>
      <c r="E2266" s="3"/>
    </row>
    <row r="2267">
      <c r="B2267" s="3"/>
      <c r="C2267" s="3"/>
      <c r="D2267" s="3"/>
      <c r="E2267" s="3"/>
    </row>
    <row r="2268">
      <c r="B2268" s="3"/>
      <c r="C2268" s="3"/>
      <c r="D2268" s="3"/>
      <c r="E2268" s="3"/>
    </row>
    <row r="2269">
      <c r="B2269" s="3"/>
      <c r="C2269" s="3"/>
      <c r="D2269" s="3"/>
      <c r="E2269" s="3"/>
    </row>
    <row r="2270">
      <c r="B2270" s="3"/>
      <c r="C2270" s="3"/>
      <c r="D2270" s="3"/>
      <c r="E2270" s="3"/>
    </row>
    <row r="2271">
      <c r="B2271" s="3"/>
      <c r="C2271" s="3"/>
      <c r="D2271" s="3"/>
      <c r="E2271" s="3"/>
    </row>
    <row r="2272">
      <c r="B2272" s="3"/>
      <c r="C2272" s="3"/>
      <c r="D2272" s="3"/>
      <c r="E2272" s="3"/>
    </row>
    <row r="2273">
      <c r="B2273" s="3"/>
      <c r="C2273" s="3"/>
      <c r="D2273" s="3"/>
      <c r="E2273" s="3"/>
    </row>
    <row r="2274">
      <c r="B2274" s="3"/>
      <c r="C2274" s="3"/>
      <c r="D2274" s="3"/>
      <c r="E2274" s="3"/>
    </row>
    <row r="2275">
      <c r="B2275" s="3"/>
      <c r="C2275" s="3"/>
      <c r="D2275" s="3"/>
      <c r="E2275" s="3"/>
    </row>
    <row r="2276">
      <c r="B2276" s="3"/>
      <c r="C2276" s="3"/>
      <c r="D2276" s="3"/>
      <c r="E2276" s="3"/>
    </row>
    <row r="2277">
      <c r="B2277" s="3"/>
      <c r="C2277" s="3"/>
      <c r="D2277" s="3"/>
      <c r="E2277" s="3"/>
    </row>
    <row r="2278">
      <c r="B2278" s="3"/>
      <c r="C2278" s="3"/>
      <c r="D2278" s="3"/>
      <c r="E2278" s="3"/>
    </row>
    <row r="2279">
      <c r="B2279" s="3"/>
      <c r="C2279" s="3"/>
      <c r="D2279" s="3"/>
      <c r="E2279" s="3"/>
    </row>
    <row r="2280">
      <c r="B2280" s="3"/>
      <c r="C2280" s="3"/>
      <c r="D2280" s="3"/>
      <c r="E2280" s="3"/>
    </row>
    <row r="2281">
      <c r="B2281" s="3"/>
      <c r="C2281" s="3"/>
      <c r="D2281" s="3"/>
      <c r="E2281" s="3"/>
    </row>
    <row r="2282">
      <c r="B2282" s="3"/>
      <c r="C2282" s="3"/>
      <c r="D2282" s="3"/>
      <c r="E2282" s="3"/>
    </row>
    <row r="2283">
      <c r="B2283" s="3"/>
      <c r="C2283" s="3"/>
      <c r="D2283" s="3"/>
      <c r="E2283" s="3"/>
    </row>
    <row r="2284">
      <c r="B2284" s="3"/>
      <c r="C2284" s="3"/>
      <c r="D2284" s="3"/>
      <c r="E2284" s="3"/>
    </row>
    <row r="2285">
      <c r="B2285" s="3"/>
      <c r="C2285" s="3"/>
      <c r="D2285" s="3"/>
      <c r="E2285" s="3"/>
    </row>
    <row r="2286">
      <c r="B2286" s="3"/>
      <c r="C2286" s="3"/>
      <c r="D2286" s="3"/>
      <c r="E2286" s="3"/>
    </row>
    <row r="2287">
      <c r="B2287" s="3"/>
      <c r="C2287" s="3"/>
      <c r="D2287" s="3"/>
      <c r="E2287" s="3"/>
    </row>
    <row r="2288">
      <c r="B2288" s="3"/>
      <c r="C2288" s="3"/>
      <c r="D2288" s="3"/>
      <c r="E2288" s="3"/>
    </row>
    <row r="2289">
      <c r="B2289" s="3"/>
      <c r="C2289" s="3"/>
      <c r="D2289" s="3"/>
      <c r="E2289" s="3"/>
    </row>
    <row r="2290">
      <c r="B2290" s="3"/>
      <c r="C2290" s="3"/>
      <c r="D2290" s="3"/>
      <c r="E2290" s="3"/>
    </row>
    <row r="2291">
      <c r="B2291" s="3"/>
      <c r="C2291" s="3"/>
      <c r="D2291" s="3"/>
      <c r="E2291" s="3"/>
    </row>
    <row r="2292">
      <c r="B2292" s="3"/>
      <c r="C2292" s="3"/>
      <c r="D2292" s="3"/>
      <c r="E2292" s="3"/>
    </row>
    <row r="2293">
      <c r="B2293" s="3"/>
      <c r="C2293" s="3"/>
      <c r="D2293" s="3"/>
      <c r="E2293" s="3"/>
    </row>
    <row r="2294">
      <c r="B2294" s="3"/>
      <c r="C2294" s="3"/>
      <c r="D2294" s="3"/>
      <c r="E2294" s="3"/>
    </row>
    <row r="2295">
      <c r="B2295" s="3"/>
      <c r="C2295" s="3"/>
      <c r="D2295" s="3"/>
      <c r="E2295" s="3"/>
    </row>
    <row r="2296">
      <c r="B2296" s="3"/>
      <c r="C2296" s="3"/>
      <c r="D2296" s="3"/>
      <c r="E2296" s="3"/>
    </row>
    <row r="2297">
      <c r="B2297" s="3"/>
      <c r="C2297" s="3"/>
      <c r="D2297" s="3"/>
      <c r="E2297" s="3"/>
    </row>
    <row r="2298">
      <c r="B2298" s="3"/>
      <c r="C2298" s="3"/>
      <c r="D2298" s="3"/>
      <c r="E2298" s="3"/>
    </row>
    <row r="2299">
      <c r="B2299" s="3"/>
      <c r="C2299" s="3"/>
      <c r="D2299" s="3"/>
      <c r="E2299" s="3"/>
    </row>
    <row r="2300">
      <c r="B2300" s="3"/>
      <c r="C2300" s="3"/>
      <c r="D2300" s="3"/>
      <c r="E2300" s="3"/>
    </row>
    <row r="2301">
      <c r="B2301" s="3"/>
      <c r="C2301" s="3"/>
      <c r="D2301" s="3"/>
      <c r="E2301" s="3"/>
    </row>
    <row r="2302">
      <c r="B2302" s="3"/>
      <c r="C2302" s="3"/>
      <c r="D2302" s="3"/>
      <c r="E2302" s="3"/>
    </row>
    <row r="2303">
      <c r="B2303" s="3"/>
      <c r="C2303" s="3"/>
      <c r="D2303" s="3"/>
      <c r="E2303" s="3"/>
    </row>
    <row r="2304">
      <c r="B2304" s="3"/>
      <c r="C2304" s="3"/>
      <c r="D2304" s="3"/>
      <c r="E2304" s="3"/>
    </row>
    <row r="2305">
      <c r="B2305" s="3"/>
      <c r="C2305" s="3"/>
      <c r="D2305" s="3"/>
      <c r="E2305" s="3"/>
    </row>
    <row r="2306">
      <c r="B2306" s="3"/>
      <c r="C2306" s="3"/>
      <c r="D2306" s="3"/>
      <c r="E2306" s="3"/>
    </row>
    <row r="2307">
      <c r="B2307" s="3"/>
      <c r="C2307" s="3"/>
      <c r="D2307" s="3"/>
      <c r="E2307" s="3"/>
    </row>
    <row r="2308">
      <c r="B2308" s="3"/>
      <c r="C2308" s="3"/>
      <c r="D2308" s="3"/>
      <c r="E2308" s="3"/>
    </row>
    <row r="2309">
      <c r="B2309" s="3"/>
      <c r="C2309" s="3"/>
      <c r="D2309" s="3"/>
      <c r="E2309" s="3"/>
    </row>
    <row r="2310">
      <c r="B2310" s="3"/>
      <c r="C2310" s="3"/>
      <c r="D2310" s="3"/>
      <c r="E2310" s="3"/>
    </row>
    <row r="2311">
      <c r="B2311" s="3"/>
      <c r="C2311" s="3"/>
      <c r="D2311" s="3"/>
      <c r="E2311" s="3"/>
    </row>
    <row r="2312">
      <c r="B2312" s="3"/>
      <c r="C2312" s="3"/>
      <c r="D2312" s="3"/>
      <c r="E2312" s="3"/>
    </row>
    <row r="2313">
      <c r="B2313" s="3"/>
      <c r="C2313" s="3"/>
      <c r="D2313" s="3"/>
      <c r="E2313" s="3"/>
    </row>
    <row r="2314">
      <c r="B2314" s="3"/>
      <c r="C2314" s="3"/>
      <c r="D2314" s="3"/>
      <c r="E2314" s="3"/>
    </row>
    <row r="2315">
      <c r="B2315" s="3"/>
      <c r="C2315" s="3"/>
      <c r="D2315" s="3"/>
      <c r="E2315" s="3"/>
    </row>
    <row r="2316">
      <c r="B2316" s="3"/>
      <c r="C2316" s="3"/>
      <c r="D2316" s="3"/>
      <c r="E2316" s="3"/>
    </row>
    <row r="2317">
      <c r="B2317" s="3"/>
      <c r="C2317" s="3"/>
      <c r="D2317" s="3"/>
      <c r="E2317" s="3"/>
    </row>
    <row r="2318">
      <c r="B2318" s="3"/>
      <c r="C2318" s="3"/>
      <c r="D2318" s="3"/>
      <c r="E2318" s="3"/>
    </row>
    <row r="2319">
      <c r="B2319" s="3"/>
      <c r="C2319" s="3"/>
      <c r="D2319" s="3"/>
      <c r="E2319" s="3"/>
    </row>
    <row r="2320">
      <c r="B2320" s="3"/>
      <c r="C2320" s="3"/>
      <c r="D2320" s="3"/>
      <c r="E2320" s="3"/>
    </row>
    <row r="2321">
      <c r="B2321" s="3"/>
      <c r="C2321" s="3"/>
      <c r="D2321" s="3"/>
      <c r="E2321" s="3"/>
    </row>
    <row r="2322">
      <c r="B2322" s="3"/>
      <c r="C2322" s="3"/>
      <c r="D2322" s="3"/>
      <c r="E2322" s="3"/>
    </row>
    <row r="2323">
      <c r="B2323" s="3"/>
      <c r="C2323" s="3"/>
      <c r="D2323" s="3"/>
      <c r="E2323" s="3"/>
    </row>
    <row r="2324">
      <c r="B2324" s="3"/>
      <c r="C2324" s="3"/>
      <c r="D2324" s="3"/>
      <c r="E2324" s="3"/>
    </row>
    <row r="2325">
      <c r="B2325" s="3"/>
      <c r="C2325" s="3"/>
      <c r="D2325" s="3"/>
      <c r="E2325" s="3"/>
    </row>
    <row r="2326">
      <c r="B2326" s="3"/>
      <c r="C2326" s="3"/>
      <c r="D2326" s="3"/>
      <c r="E2326" s="3"/>
    </row>
    <row r="2327">
      <c r="B2327" s="3"/>
      <c r="C2327" s="3"/>
      <c r="D2327" s="3"/>
      <c r="E2327" s="3"/>
    </row>
    <row r="2328">
      <c r="B2328" s="3"/>
      <c r="C2328" s="3"/>
      <c r="D2328" s="3"/>
      <c r="E2328" s="3"/>
    </row>
    <row r="2329">
      <c r="B2329" s="3"/>
      <c r="C2329" s="3"/>
      <c r="D2329" s="3"/>
      <c r="E2329" s="3"/>
    </row>
    <row r="2330">
      <c r="B2330" s="3"/>
      <c r="C2330" s="3"/>
      <c r="D2330" s="3"/>
      <c r="E2330" s="3"/>
    </row>
    <row r="2331">
      <c r="B2331" s="3"/>
      <c r="C2331" s="3"/>
      <c r="D2331" s="3"/>
      <c r="E2331" s="3"/>
    </row>
    <row r="2332">
      <c r="B2332" s="3"/>
      <c r="C2332" s="3"/>
      <c r="D2332" s="3"/>
      <c r="E2332" s="3"/>
    </row>
    <row r="2333">
      <c r="B2333" s="3"/>
      <c r="C2333" s="3"/>
      <c r="D2333" s="3"/>
      <c r="E2333" s="3"/>
    </row>
    <row r="2334">
      <c r="B2334" s="3"/>
      <c r="C2334" s="3"/>
      <c r="D2334" s="3"/>
      <c r="E2334" s="3"/>
    </row>
    <row r="2335">
      <c r="B2335" s="3"/>
      <c r="C2335" s="3"/>
      <c r="D2335" s="3"/>
      <c r="E2335" s="3"/>
    </row>
    <row r="2336">
      <c r="B2336" s="3"/>
      <c r="C2336" s="3"/>
      <c r="D2336" s="3"/>
      <c r="E2336" s="3"/>
    </row>
    <row r="2337">
      <c r="B2337" s="3"/>
      <c r="C2337" s="3"/>
      <c r="D2337" s="3"/>
      <c r="E2337" s="3"/>
    </row>
    <row r="2338">
      <c r="B2338" s="3"/>
      <c r="C2338" s="3"/>
      <c r="D2338" s="3"/>
      <c r="E2338" s="3"/>
    </row>
    <row r="2339">
      <c r="B2339" s="3"/>
      <c r="C2339" s="3"/>
      <c r="D2339" s="3"/>
      <c r="E2339" s="3"/>
    </row>
    <row r="2340">
      <c r="B2340" s="3"/>
      <c r="C2340" s="3"/>
      <c r="D2340" s="3"/>
      <c r="E2340" s="3"/>
    </row>
    <row r="2341">
      <c r="B2341" s="3"/>
      <c r="C2341" s="3"/>
      <c r="D2341" s="3"/>
      <c r="E2341" s="3"/>
    </row>
    <row r="2342">
      <c r="B2342" s="3"/>
      <c r="C2342" s="3"/>
      <c r="D2342" s="3"/>
      <c r="E2342" s="3"/>
    </row>
    <row r="2343">
      <c r="B2343" s="3"/>
      <c r="C2343" s="3"/>
      <c r="D2343" s="3"/>
      <c r="E2343" s="3"/>
    </row>
    <row r="2344">
      <c r="B2344" s="3"/>
      <c r="C2344" s="3"/>
      <c r="D2344" s="3"/>
      <c r="E2344" s="3"/>
    </row>
    <row r="2345">
      <c r="B2345" s="3"/>
      <c r="C2345" s="3"/>
      <c r="D2345" s="3"/>
      <c r="E2345" s="3"/>
    </row>
    <row r="2346">
      <c r="B2346" s="3"/>
      <c r="C2346" s="3"/>
      <c r="D2346" s="3"/>
      <c r="E2346" s="3"/>
    </row>
    <row r="2347">
      <c r="B2347" s="3"/>
      <c r="C2347" s="3"/>
      <c r="D2347" s="3"/>
      <c r="E2347" s="3"/>
    </row>
    <row r="2348">
      <c r="B2348" s="3"/>
      <c r="C2348" s="3"/>
      <c r="D2348" s="3"/>
      <c r="E2348" s="3"/>
    </row>
    <row r="2349">
      <c r="B2349" s="3"/>
      <c r="C2349" s="3"/>
      <c r="D2349" s="3"/>
      <c r="E2349" s="3"/>
    </row>
    <row r="2350">
      <c r="B2350" s="3"/>
      <c r="C2350" s="3"/>
      <c r="D2350" s="3"/>
      <c r="E2350" s="3"/>
    </row>
    <row r="2351">
      <c r="B2351" s="3"/>
      <c r="C2351" s="3"/>
      <c r="D2351" s="3"/>
      <c r="E2351" s="3"/>
    </row>
    <row r="2352">
      <c r="B2352" s="3"/>
      <c r="C2352" s="3"/>
      <c r="D2352" s="3"/>
      <c r="E2352" s="3"/>
    </row>
    <row r="2353">
      <c r="B2353" s="3"/>
      <c r="C2353" s="3"/>
      <c r="D2353" s="3"/>
      <c r="E2353" s="3"/>
    </row>
    <row r="2354">
      <c r="B2354" s="3"/>
      <c r="C2354" s="3"/>
      <c r="D2354" s="3"/>
      <c r="E2354" s="3"/>
    </row>
    <row r="2355">
      <c r="B2355" s="3"/>
      <c r="C2355" s="3"/>
      <c r="D2355" s="3"/>
      <c r="E2355" s="3"/>
    </row>
    <row r="2356">
      <c r="B2356" s="3"/>
      <c r="C2356" s="3"/>
      <c r="D2356" s="3"/>
      <c r="E2356" s="3"/>
    </row>
    <row r="2357">
      <c r="B2357" s="3"/>
      <c r="C2357" s="3"/>
      <c r="D2357" s="3"/>
      <c r="E2357" s="3"/>
    </row>
    <row r="2358">
      <c r="B2358" s="3"/>
      <c r="C2358" s="3"/>
      <c r="D2358" s="3"/>
      <c r="E2358" s="3"/>
    </row>
    <row r="2359">
      <c r="B2359" s="3"/>
      <c r="C2359" s="3"/>
      <c r="D2359" s="3"/>
      <c r="E2359" s="3"/>
    </row>
    <row r="2360">
      <c r="B2360" s="3"/>
      <c r="C2360" s="3"/>
      <c r="D2360" s="3"/>
      <c r="E2360" s="3"/>
    </row>
    <row r="2361">
      <c r="B2361" s="3"/>
      <c r="C2361" s="3"/>
      <c r="D2361" s="3"/>
      <c r="E2361" s="3"/>
    </row>
    <row r="2362">
      <c r="B2362" s="3"/>
      <c r="C2362" s="3"/>
      <c r="D2362" s="3"/>
      <c r="E2362" s="3"/>
    </row>
    <row r="2363">
      <c r="B2363" s="3"/>
      <c r="C2363" s="3"/>
      <c r="D2363" s="3"/>
      <c r="E2363" s="3"/>
    </row>
    <row r="2364">
      <c r="B2364" s="3"/>
      <c r="C2364" s="3"/>
      <c r="D2364" s="3"/>
      <c r="E2364" s="3"/>
    </row>
    <row r="2365">
      <c r="B2365" s="3"/>
      <c r="C2365" s="3"/>
      <c r="D2365" s="3"/>
      <c r="E2365" s="3"/>
    </row>
    <row r="2366">
      <c r="B2366" s="3"/>
      <c r="C2366" s="3"/>
      <c r="D2366" s="3"/>
      <c r="E2366" s="3"/>
    </row>
    <row r="2367">
      <c r="B2367" s="3"/>
      <c r="C2367" s="3"/>
      <c r="D2367" s="3"/>
      <c r="E2367" s="3"/>
    </row>
    <row r="2368">
      <c r="B2368" s="3"/>
      <c r="C2368" s="3"/>
      <c r="D2368" s="3"/>
      <c r="E2368" s="3"/>
    </row>
    <row r="2369">
      <c r="B2369" s="3"/>
      <c r="C2369" s="3"/>
      <c r="D2369" s="3"/>
      <c r="E2369" s="3"/>
    </row>
    <row r="2370">
      <c r="B2370" s="3"/>
      <c r="C2370" s="3"/>
      <c r="D2370" s="3"/>
      <c r="E2370" s="3"/>
    </row>
    <row r="2371">
      <c r="B2371" s="3"/>
      <c r="C2371" s="3"/>
      <c r="D2371" s="3"/>
      <c r="E2371" s="3"/>
    </row>
    <row r="2372">
      <c r="B2372" s="3"/>
      <c r="C2372" s="3"/>
      <c r="D2372" s="3"/>
      <c r="E2372" s="3"/>
    </row>
    <row r="2373">
      <c r="B2373" s="3"/>
      <c r="C2373" s="3"/>
      <c r="D2373" s="3"/>
      <c r="E2373" s="3"/>
    </row>
    <row r="2374">
      <c r="B2374" s="3"/>
      <c r="C2374" s="3"/>
      <c r="D2374" s="3"/>
      <c r="E2374" s="3"/>
    </row>
    <row r="2375">
      <c r="B2375" s="3"/>
      <c r="C2375" s="3"/>
      <c r="D2375" s="3"/>
      <c r="E2375" s="3"/>
    </row>
    <row r="2376">
      <c r="B2376" s="3"/>
      <c r="C2376" s="3"/>
      <c r="D2376" s="3"/>
      <c r="E2376" s="3"/>
    </row>
    <row r="2377">
      <c r="B2377" s="3"/>
      <c r="C2377" s="3"/>
      <c r="D2377" s="3"/>
      <c r="E2377" s="3"/>
    </row>
    <row r="2378">
      <c r="B2378" s="3"/>
      <c r="C2378" s="3"/>
      <c r="D2378" s="3"/>
      <c r="E2378" s="3"/>
    </row>
    <row r="2379">
      <c r="B2379" s="3"/>
      <c r="C2379" s="3"/>
      <c r="D2379" s="3"/>
      <c r="E2379" s="3"/>
    </row>
    <row r="2380">
      <c r="B2380" s="3"/>
      <c r="C2380" s="3"/>
      <c r="D2380" s="3"/>
      <c r="E2380" s="3"/>
    </row>
    <row r="2381">
      <c r="B2381" s="3"/>
      <c r="C2381" s="3"/>
      <c r="D2381" s="3"/>
      <c r="E2381" s="3"/>
    </row>
    <row r="2382">
      <c r="B2382" s="3"/>
      <c r="C2382" s="3"/>
      <c r="D2382" s="3"/>
      <c r="E2382" s="3"/>
    </row>
    <row r="2383">
      <c r="B2383" s="3"/>
      <c r="C2383" s="3"/>
      <c r="D2383" s="3"/>
      <c r="E2383" s="3"/>
    </row>
    <row r="2384">
      <c r="B2384" s="3"/>
      <c r="C2384" s="3"/>
      <c r="D2384" s="3"/>
      <c r="E2384" s="3"/>
    </row>
    <row r="2385">
      <c r="B2385" s="3"/>
      <c r="C2385" s="3"/>
      <c r="D2385" s="3"/>
      <c r="E2385" s="3"/>
    </row>
    <row r="2386">
      <c r="B2386" s="3"/>
      <c r="C2386" s="3"/>
      <c r="D2386" s="3"/>
      <c r="E2386" s="3"/>
    </row>
    <row r="2387">
      <c r="B2387" s="3"/>
      <c r="C2387" s="3"/>
      <c r="D2387" s="3"/>
      <c r="E2387" s="3"/>
    </row>
    <row r="2388">
      <c r="B2388" s="3"/>
      <c r="C2388" s="3"/>
      <c r="D2388" s="3"/>
      <c r="E2388" s="3"/>
    </row>
    <row r="2389">
      <c r="B2389" s="3"/>
      <c r="C2389" s="3"/>
      <c r="D2389" s="3"/>
      <c r="E2389" s="3"/>
    </row>
    <row r="2390">
      <c r="B2390" s="3"/>
      <c r="C2390" s="3"/>
      <c r="D2390" s="3"/>
      <c r="E2390" s="3"/>
    </row>
    <row r="2391">
      <c r="B2391" s="3"/>
      <c r="C2391" s="3"/>
      <c r="D2391" s="3"/>
      <c r="E2391" s="3"/>
    </row>
    <row r="2392">
      <c r="B2392" s="3"/>
      <c r="C2392" s="3"/>
      <c r="D2392" s="3"/>
      <c r="E2392" s="3"/>
    </row>
    <row r="2393">
      <c r="B2393" s="3"/>
      <c r="C2393" s="3"/>
      <c r="D2393" s="3"/>
      <c r="E2393" s="3"/>
    </row>
    <row r="2394">
      <c r="B2394" s="3"/>
      <c r="C2394" s="3"/>
      <c r="D2394" s="3"/>
      <c r="E2394" s="3"/>
    </row>
    <row r="2395">
      <c r="B2395" s="3"/>
      <c r="C2395" s="3"/>
      <c r="D2395" s="3"/>
      <c r="E2395" s="3"/>
    </row>
    <row r="2396">
      <c r="B2396" s="3"/>
      <c r="C2396" s="3"/>
      <c r="D2396" s="3"/>
      <c r="E2396" s="3"/>
    </row>
    <row r="2397">
      <c r="B2397" s="3"/>
      <c r="C2397" s="3"/>
      <c r="D2397" s="3"/>
      <c r="E2397" s="3"/>
    </row>
    <row r="2398">
      <c r="B2398" s="3"/>
      <c r="C2398" s="3"/>
      <c r="D2398" s="3"/>
      <c r="E2398" s="3"/>
    </row>
    <row r="2399">
      <c r="B2399" s="3"/>
      <c r="C2399" s="3"/>
      <c r="D2399" s="3"/>
      <c r="E2399" s="3"/>
    </row>
    <row r="2400">
      <c r="B2400" s="3"/>
      <c r="C2400" s="3"/>
      <c r="D2400" s="3"/>
      <c r="E2400" s="3"/>
    </row>
    <row r="2401">
      <c r="B2401" s="3"/>
      <c r="C2401" s="3"/>
      <c r="D2401" s="3"/>
      <c r="E2401" s="3"/>
    </row>
    <row r="2402">
      <c r="B2402" s="3"/>
      <c r="C2402" s="3"/>
      <c r="D2402" s="3"/>
      <c r="E2402" s="3"/>
    </row>
    <row r="2403">
      <c r="B2403" s="3"/>
      <c r="C2403" s="3"/>
      <c r="D2403" s="3"/>
      <c r="E2403" s="3"/>
    </row>
    <row r="2404">
      <c r="B2404" s="3"/>
      <c r="C2404" s="3"/>
      <c r="D2404" s="3"/>
      <c r="E2404" s="3"/>
    </row>
    <row r="2405">
      <c r="B2405" s="3"/>
      <c r="C2405" s="3"/>
      <c r="D2405" s="3"/>
      <c r="E2405" s="3"/>
    </row>
    <row r="2406">
      <c r="B2406" s="3"/>
      <c r="C2406" s="3"/>
      <c r="D2406" s="3"/>
      <c r="E2406" s="3"/>
    </row>
    <row r="2407">
      <c r="B2407" s="3"/>
      <c r="C2407" s="3"/>
      <c r="D2407" s="3"/>
      <c r="E2407" s="3"/>
    </row>
    <row r="2408">
      <c r="B2408" s="3"/>
      <c r="C2408" s="3"/>
      <c r="D2408" s="3"/>
      <c r="E2408" s="3"/>
    </row>
    <row r="2409">
      <c r="B2409" s="3"/>
      <c r="C2409" s="3"/>
      <c r="D2409" s="3"/>
      <c r="E2409" s="3"/>
    </row>
    <row r="2410">
      <c r="B2410" s="3"/>
      <c r="C2410" s="3"/>
      <c r="D2410" s="3"/>
      <c r="E2410" s="3"/>
    </row>
    <row r="2411">
      <c r="B2411" s="3"/>
      <c r="C2411" s="3"/>
      <c r="D2411" s="3"/>
      <c r="E2411" s="3"/>
    </row>
    <row r="2412">
      <c r="B2412" s="3"/>
      <c r="C2412" s="3"/>
      <c r="D2412" s="3"/>
      <c r="E2412" s="3"/>
    </row>
    <row r="2413">
      <c r="B2413" s="3"/>
      <c r="C2413" s="3"/>
      <c r="D2413" s="3"/>
      <c r="E2413" s="3"/>
    </row>
    <row r="2414">
      <c r="B2414" s="3"/>
      <c r="C2414" s="3"/>
      <c r="D2414" s="3"/>
      <c r="E2414" s="3"/>
    </row>
    <row r="2415">
      <c r="B2415" s="3"/>
      <c r="C2415" s="3"/>
      <c r="D2415" s="3"/>
      <c r="E2415" s="3"/>
    </row>
    <row r="2416">
      <c r="B2416" s="3"/>
      <c r="C2416" s="3"/>
      <c r="D2416" s="3"/>
      <c r="E2416" s="3"/>
    </row>
    <row r="2417">
      <c r="B2417" s="3"/>
      <c r="C2417" s="3"/>
      <c r="D2417" s="3"/>
      <c r="E2417" s="3"/>
    </row>
    <row r="2418">
      <c r="B2418" s="3"/>
      <c r="C2418" s="3"/>
      <c r="D2418" s="3"/>
      <c r="E2418" s="3"/>
    </row>
    <row r="2419">
      <c r="B2419" s="3"/>
      <c r="C2419" s="3"/>
      <c r="D2419" s="3"/>
      <c r="E2419" s="3"/>
    </row>
    <row r="2420">
      <c r="B2420" s="3"/>
      <c r="C2420" s="3"/>
      <c r="D2420" s="3"/>
      <c r="E2420" s="3"/>
    </row>
    <row r="2421">
      <c r="B2421" s="3"/>
      <c r="C2421" s="3"/>
      <c r="D2421" s="3"/>
      <c r="E2421" s="3"/>
    </row>
    <row r="2422">
      <c r="B2422" s="3"/>
      <c r="C2422" s="3"/>
      <c r="D2422" s="3"/>
      <c r="E2422" s="3"/>
    </row>
    <row r="2423">
      <c r="B2423" s="3"/>
      <c r="C2423" s="3"/>
      <c r="D2423" s="3"/>
      <c r="E2423" s="3"/>
    </row>
    <row r="2424">
      <c r="B2424" s="3"/>
      <c r="C2424" s="3"/>
      <c r="D2424" s="3"/>
      <c r="E2424" s="3"/>
    </row>
    <row r="2425">
      <c r="B2425" s="3"/>
      <c r="C2425" s="3"/>
      <c r="D2425" s="3"/>
      <c r="E2425" s="3"/>
    </row>
    <row r="2426">
      <c r="B2426" s="3"/>
      <c r="C2426" s="3"/>
      <c r="D2426" s="3"/>
      <c r="E2426" s="3"/>
    </row>
    <row r="2427">
      <c r="B2427" s="3"/>
      <c r="C2427" s="3"/>
      <c r="D2427" s="3"/>
      <c r="E2427" s="3"/>
    </row>
    <row r="2428">
      <c r="B2428" s="3"/>
      <c r="C2428" s="3"/>
      <c r="D2428" s="3"/>
      <c r="E2428" s="3"/>
    </row>
    <row r="2429">
      <c r="B2429" s="3"/>
      <c r="C2429" s="3"/>
      <c r="D2429" s="3"/>
      <c r="E2429" s="3"/>
    </row>
    <row r="2430">
      <c r="B2430" s="3"/>
      <c r="C2430" s="3"/>
      <c r="D2430" s="3"/>
      <c r="E2430" s="3"/>
    </row>
    <row r="2431">
      <c r="B2431" s="3"/>
      <c r="C2431" s="3"/>
      <c r="D2431" s="3"/>
      <c r="E2431" s="3"/>
    </row>
    <row r="2432">
      <c r="B2432" s="3"/>
      <c r="C2432" s="3"/>
      <c r="D2432" s="3"/>
      <c r="E2432" s="3"/>
    </row>
    <row r="2433">
      <c r="B2433" s="3"/>
      <c r="C2433" s="3"/>
      <c r="D2433" s="3"/>
      <c r="E2433" s="3"/>
    </row>
    <row r="2434">
      <c r="B2434" s="3"/>
      <c r="C2434" s="3"/>
      <c r="D2434" s="3"/>
      <c r="E2434" s="3"/>
    </row>
    <row r="2435">
      <c r="B2435" s="3"/>
      <c r="C2435" s="3"/>
      <c r="D2435" s="3"/>
      <c r="E2435" s="3"/>
    </row>
    <row r="2436">
      <c r="B2436" s="3"/>
      <c r="C2436" s="3"/>
      <c r="D2436" s="3"/>
      <c r="E2436" s="3"/>
    </row>
    <row r="2437">
      <c r="B2437" s="3"/>
      <c r="C2437" s="3"/>
      <c r="D2437" s="3"/>
      <c r="E2437" s="3"/>
    </row>
    <row r="2438">
      <c r="B2438" s="3"/>
      <c r="C2438" s="3"/>
      <c r="D2438" s="3"/>
      <c r="E2438" s="3"/>
    </row>
    <row r="2439">
      <c r="B2439" s="3"/>
      <c r="C2439" s="3"/>
      <c r="D2439" s="3"/>
      <c r="E2439" s="3"/>
    </row>
    <row r="2440">
      <c r="B2440" s="3"/>
      <c r="C2440" s="3"/>
      <c r="D2440" s="3"/>
      <c r="E2440" s="3"/>
    </row>
    <row r="2441">
      <c r="B2441" s="3"/>
      <c r="C2441" s="3"/>
      <c r="D2441" s="3"/>
      <c r="E2441" s="3"/>
    </row>
    <row r="2442">
      <c r="B2442" s="3"/>
      <c r="C2442" s="3"/>
      <c r="D2442" s="3"/>
      <c r="E2442" s="3"/>
    </row>
    <row r="2443">
      <c r="B2443" s="3"/>
      <c r="C2443" s="3"/>
      <c r="D2443" s="3"/>
      <c r="E2443" s="3"/>
    </row>
    <row r="2444">
      <c r="B2444" s="3"/>
      <c r="C2444" s="3"/>
      <c r="D2444" s="3"/>
      <c r="E2444" s="3"/>
    </row>
    <row r="2445">
      <c r="B2445" s="3"/>
      <c r="C2445" s="3"/>
      <c r="D2445" s="3"/>
      <c r="E2445" s="3"/>
    </row>
    <row r="2446">
      <c r="B2446" s="3"/>
      <c r="C2446" s="3"/>
      <c r="D2446" s="3"/>
      <c r="E2446" s="3"/>
    </row>
    <row r="2447">
      <c r="B2447" s="3"/>
      <c r="C2447" s="3"/>
      <c r="D2447" s="3"/>
      <c r="E2447" s="3"/>
    </row>
    <row r="2448">
      <c r="B2448" s="3"/>
      <c r="C2448" s="3"/>
      <c r="D2448" s="3"/>
      <c r="E2448" s="3"/>
    </row>
    <row r="2449">
      <c r="B2449" s="3"/>
      <c r="C2449" s="3"/>
      <c r="D2449" s="3"/>
      <c r="E2449" s="3"/>
    </row>
    <row r="2450">
      <c r="B2450" s="3"/>
      <c r="C2450" s="3"/>
      <c r="D2450" s="3"/>
      <c r="E2450" s="3"/>
    </row>
    <row r="2451">
      <c r="B2451" s="3"/>
      <c r="C2451" s="3"/>
      <c r="D2451" s="3"/>
      <c r="E2451" s="3"/>
    </row>
    <row r="2452">
      <c r="B2452" s="3"/>
      <c r="C2452" s="3"/>
      <c r="D2452" s="3"/>
      <c r="E2452" s="3"/>
    </row>
    <row r="2453">
      <c r="B2453" s="3"/>
      <c r="C2453" s="3"/>
      <c r="D2453" s="3"/>
      <c r="E2453" s="3"/>
    </row>
    <row r="2454">
      <c r="B2454" s="3"/>
      <c r="C2454" s="3"/>
      <c r="D2454" s="3"/>
      <c r="E2454" s="3"/>
    </row>
    <row r="2455">
      <c r="B2455" s="3"/>
      <c r="C2455" s="3"/>
      <c r="D2455" s="3"/>
      <c r="E2455" s="3"/>
    </row>
    <row r="2456">
      <c r="B2456" s="3"/>
      <c r="C2456" s="3"/>
      <c r="D2456" s="3"/>
      <c r="E2456" s="3"/>
    </row>
    <row r="2457">
      <c r="B2457" s="3"/>
      <c r="C2457" s="3"/>
      <c r="D2457" s="3"/>
      <c r="E2457" s="3"/>
    </row>
    <row r="2458">
      <c r="B2458" s="3"/>
      <c r="C2458" s="3"/>
      <c r="D2458" s="3"/>
      <c r="E2458" s="3"/>
    </row>
    <row r="2459">
      <c r="B2459" s="3"/>
      <c r="C2459" s="3"/>
      <c r="D2459" s="3"/>
      <c r="E2459" s="3"/>
    </row>
    <row r="2460">
      <c r="B2460" s="3"/>
      <c r="C2460" s="3"/>
      <c r="D2460" s="3"/>
      <c r="E2460" s="3"/>
    </row>
    <row r="2461">
      <c r="B2461" s="3"/>
      <c r="C2461" s="3"/>
      <c r="D2461" s="3"/>
      <c r="E2461" s="3"/>
    </row>
    <row r="2462">
      <c r="B2462" s="3"/>
      <c r="C2462" s="3"/>
      <c r="D2462" s="3"/>
      <c r="E2462" s="3"/>
    </row>
    <row r="2463">
      <c r="B2463" s="3"/>
      <c r="C2463" s="3"/>
      <c r="D2463" s="3"/>
      <c r="E2463" s="3"/>
    </row>
    <row r="2464">
      <c r="B2464" s="3"/>
      <c r="C2464" s="3"/>
      <c r="D2464" s="3"/>
      <c r="E2464" s="3"/>
    </row>
    <row r="2465">
      <c r="B2465" s="3"/>
      <c r="C2465" s="3"/>
      <c r="D2465" s="3"/>
      <c r="E2465" s="3"/>
    </row>
    <row r="2466">
      <c r="B2466" s="3"/>
      <c r="C2466" s="3"/>
      <c r="D2466" s="3"/>
      <c r="E2466" s="3"/>
    </row>
    <row r="2467">
      <c r="B2467" s="3"/>
      <c r="C2467" s="3"/>
      <c r="D2467" s="3"/>
      <c r="E2467" s="3"/>
    </row>
    <row r="2468">
      <c r="B2468" s="3"/>
      <c r="C2468" s="3"/>
      <c r="D2468" s="3"/>
      <c r="E2468" s="3"/>
    </row>
    <row r="2469">
      <c r="B2469" s="3"/>
      <c r="C2469" s="3"/>
      <c r="D2469" s="3"/>
      <c r="E2469" s="3"/>
    </row>
    <row r="2470">
      <c r="B2470" s="3"/>
      <c r="C2470" s="3"/>
      <c r="D2470" s="3"/>
      <c r="E2470" s="3"/>
    </row>
    <row r="2471">
      <c r="B2471" s="3"/>
      <c r="C2471" s="3"/>
      <c r="D2471" s="3"/>
      <c r="E2471" s="3"/>
    </row>
    <row r="2472">
      <c r="B2472" s="3"/>
      <c r="C2472" s="3"/>
      <c r="D2472" s="3"/>
      <c r="E2472" s="3"/>
    </row>
    <row r="2473">
      <c r="B2473" s="3"/>
      <c r="C2473" s="3"/>
      <c r="D2473" s="3"/>
      <c r="E2473" s="3"/>
    </row>
    <row r="2474">
      <c r="B2474" s="3"/>
      <c r="C2474" s="3"/>
      <c r="D2474" s="3"/>
      <c r="E2474" s="3"/>
    </row>
    <row r="2475">
      <c r="B2475" s="3"/>
      <c r="C2475" s="3"/>
      <c r="D2475" s="3"/>
      <c r="E2475" s="3"/>
    </row>
    <row r="2476">
      <c r="B2476" s="3"/>
      <c r="C2476" s="3"/>
      <c r="D2476" s="3"/>
      <c r="E2476" s="3"/>
    </row>
    <row r="2477">
      <c r="B2477" s="3"/>
      <c r="C2477" s="3"/>
      <c r="D2477" s="3"/>
      <c r="E2477" s="3"/>
    </row>
    <row r="2478">
      <c r="B2478" s="3"/>
      <c r="C2478" s="3"/>
      <c r="D2478" s="3"/>
      <c r="E2478" s="3"/>
    </row>
    <row r="2479">
      <c r="B2479" s="3"/>
      <c r="C2479" s="3"/>
      <c r="D2479" s="3"/>
      <c r="E2479" s="3"/>
    </row>
    <row r="2480">
      <c r="B2480" s="3"/>
      <c r="C2480" s="3"/>
      <c r="D2480" s="3"/>
      <c r="E2480" s="3"/>
    </row>
    <row r="2481">
      <c r="B2481" s="3"/>
      <c r="C2481" s="3"/>
      <c r="D2481" s="3"/>
      <c r="E2481" s="3"/>
    </row>
    <row r="2482">
      <c r="B2482" s="3"/>
      <c r="C2482" s="3"/>
      <c r="D2482" s="3"/>
      <c r="E2482" s="3"/>
    </row>
    <row r="2483">
      <c r="B2483" s="3"/>
      <c r="C2483" s="3"/>
      <c r="D2483" s="3"/>
      <c r="E2483" s="3"/>
    </row>
    <row r="2484">
      <c r="B2484" s="3"/>
      <c r="C2484" s="3"/>
      <c r="D2484" s="3"/>
      <c r="E2484" s="3"/>
    </row>
    <row r="2485">
      <c r="B2485" s="3"/>
      <c r="C2485" s="3"/>
      <c r="D2485" s="3"/>
      <c r="E2485" s="3"/>
    </row>
    <row r="2486">
      <c r="B2486" s="3"/>
      <c r="C2486" s="3"/>
      <c r="D2486" s="3"/>
      <c r="E2486" s="3"/>
    </row>
    <row r="2487">
      <c r="B2487" s="3"/>
      <c r="C2487" s="3"/>
      <c r="D2487" s="3"/>
      <c r="E2487" s="3"/>
    </row>
    <row r="2488">
      <c r="B2488" s="3"/>
      <c r="C2488" s="3"/>
      <c r="D2488" s="3"/>
      <c r="E2488" s="3"/>
    </row>
    <row r="2489">
      <c r="B2489" s="3"/>
      <c r="C2489" s="3"/>
      <c r="D2489" s="3"/>
      <c r="E2489" s="3"/>
    </row>
    <row r="2490">
      <c r="B2490" s="3"/>
      <c r="C2490" s="3"/>
      <c r="D2490" s="3"/>
      <c r="E2490" s="3"/>
    </row>
    <row r="2491">
      <c r="B2491" s="3"/>
      <c r="C2491" s="3"/>
      <c r="D2491" s="3"/>
      <c r="E2491" s="3"/>
    </row>
    <row r="2492">
      <c r="B2492" s="3"/>
      <c r="C2492" s="3"/>
      <c r="D2492" s="3"/>
      <c r="E2492" s="3"/>
    </row>
    <row r="2493">
      <c r="B2493" s="3"/>
      <c r="C2493" s="3"/>
      <c r="D2493" s="3"/>
      <c r="E2493" s="3"/>
    </row>
    <row r="2494">
      <c r="B2494" s="3"/>
      <c r="C2494" s="3"/>
      <c r="D2494" s="3"/>
      <c r="E2494" s="3"/>
    </row>
    <row r="2495">
      <c r="B2495" s="3"/>
      <c r="C2495" s="3"/>
      <c r="D2495" s="3"/>
      <c r="E2495" s="3"/>
    </row>
    <row r="2496">
      <c r="B2496" s="3"/>
      <c r="C2496" s="3"/>
      <c r="D2496" s="3"/>
      <c r="E2496" s="3"/>
    </row>
    <row r="2497">
      <c r="B2497" s="3"/>
      <c r="C2497" s="3"/>
      <c r="D2497" s="3"/>
      <c r="E2497" s="3"/>
    </row>
    <row r="2498">
      <c r="B2498" s="3"/>
      <c r="C2498" s="3"/>
      <c r="D2498" s="3"/>
      <c r="E2498" s="3"/>
    </row>
    <row r="2499">
      <c r="B2499" s="3"/>
      <c r="C2499" s="3"/>
      <c r="D2499" s="3"/>
      <c r="E2499" s="3"/>
    </row>
    <row r="2500">
      <c r="B2500" s="3"/>
      <c r="C2500" s="3"/>
      <c r="D2500" s="3"/>
      <c r="E2500" s="3"/>
    </row>
    <row r="2501">
      <c r="B2501" s="3"/>
      <c r="C2501" s="3"/>
      <c r="D2501" s="3"/>
      <c r="E2501" s="3"/>
    </row>
    <row r="2502">
      <c r="B2502" s="3"/>
      <c r="C2502" s="3"/>
      <c r="D2502" s="3"/>
      <c r="E2502" s="3"/>
    </row>
    <row r="2503">
      <c r="B2503" s="3"/>
      <c r="C2503" s="3"/>
      <c r="D2503" s="3"/>
      <c r="E2503" s="3"/>
    </row>
    <row r="2504">
      <c r="B2504" s="3"/>
      <c r="C2504" s="3"/>
      <c r="D2504" s="3"/>
      <c r="E2504" s="3"/>
    </row>
    <row r="2505">
      <c r="B2505" s="3"/>
      <c r="C2505" s="3"/>
      <c r="D2505" s="3"/>
      <c r="E2505" s="3"/>
    </row>
    <row r="2506">
      <c r="B2506" s="3"/>
      <c r="C2506" s="3"/>
      <c r="D2506" s="3"/>
      <c r="E2506" s="3"/>
    </row>
    <row r="2507">
      <c r="B2507" s="3"/>
      <c r="C2507" s="3"/>
      <c r="D2507" s="3"/>
      <c r="E2507" s="3"/>
    </row>
    <row r="2508">
      <c r="B2508" s="3"/>
      <c r="C2508" s="3"/>
      <c r="D2508" s="3"/>
      <c r="E2508" s="3"/>
    </row>
    <row r="2509">
      <c r="B2509" s="3"/>
      <c r="C2509" s="3"/>
      <c r="D2509" s="3"/>
      <c r="E2509" s="3"/>
    </row>
    <row r="2510">
      <c r="B2510" s="3"/>
      <c r="C2510" s="3"/>
      <c r="D2510" s="3"/>
      <c r="E2510" s="3"/>
    </row>
    <row r="2511">
      <c r="B2511" s="3"/>
      <c r="C2511" s="3"/>
      <c r="D2511" s="3"/>
      <c r="E2511" s="3"/>
    </row>
    <row r="2512">
      <c r="B2512" s="3"/>
      <c r="C2512" s="3"/>
      <c r="D2512" s="3"/>
      <c r="E2512" s="3"/>
    </row>
    <row r="2513">
      <c r="B2513" s="3"/>
      <c r="C2513" s="3"/>
      <c r="D2513" s="3"/>
      <c r="E2513" s="3"/>
    </row>
    <row r="2514">
      <c r="B2514" s="3"/>
      <c r="C2514" s="3"/>
      <c r="D2514" s="3"/>
      <c r="E2514" s="3"/>
    </row>
    <row r="2515">
      <c r="B2515" s="3"/>
      <c r="C2515" s="3"/>
      <c r="D2515" s="3"/>
      <c r="E2515" s="3"/>
    </row>
    <row r="2516">
      <c r="B2516" s="3"/>
      <c r="C2516" s="3"/>
      <c r="D2516" s="3"/>
      <c r="E2516" s="3"/>
    </row>
    <row r="2517">
      <c r="B2517" s="3"/>
      <c r="C2517" s="3"/>
      <c r="D2517" s="3"/>
      <c r="E2517" s="3"/>
    </row>
    <row r="2518">
      <c r="B2518" s="3"/>
      <c r="C2518" s="3"/>
      <c r="D2518" s="3"/>
      <c r="E2518" s="3"/>
    </row>
    <row r="2519">
      <c r="B2519" s="3"/>
      <c r="C2519" s="3"/>
      <c r="D2519" s="3"/>
      <c r="E2519" s="3"/>
    </row>
    <row r="2520">
      <c r="B2520" s="3"/>
      <c r="C2520" s="3"/>
      <c r="D2520" s="3"/>
      <c r="E2520" s="3"/>
    </row>
    <row r="2521">
      <c r="B2521" s="3"/>
      <c r="C2521" s="3"/>
      <c r="D2521" s="3"/>
      <c r="E2521" s="3"/>
    </row>
    <row r="2522">
      <c r="B2522" s="3"/>
      <c r="C2522" s="3"/>
      <c r="D2522" s="3"/>
      <c r="E2522" s="3"/>
    </row>
    <row r="2523">
      <c r="B2523" s="3"/>
      <c r="C2523" s="3"/>
      <c r="D2523" s="3"/>
      <c r="E2523" s="3"/>
    </row>
    <row r="2524">
      <c r="B2524" s="3"/>
      <c r="C2524" s="3"/>
      <c r="D2524" s="3"/>
      <c r="E2524" s="3"/>
    </row>
    <row r="2525">
      <c r="B2525" s="3"/>
      <c r="C2525" s="3"/>
      <c r="D2525" s="3"/>
      <c r="E2525" s="3"/>
    </row>
    <row r="2526">
      <c r="B2526" s="3"/>
      <c r="C2526" s="3"/>
      <c r="D2526" s="3"/>
      <c r="E2526" s="3"/>
    </row>
    <row r="2527">
      <c r="B2527" s="3"/>
      <c r="C2527" s="3"/>
      <c r="D2527" s="3"/>
      <c r="E2527" s="3"/>
    </row>
    <row r="2528">
      <c r="B2528" s="3"/>
      <c r="C2528" s="3"/>
      <c r="D2528" s="3"/>
      <c r="E2528" s="3"/>
    </row>
    <row r="2529">
      <c r="B2529" s="3"/>
      <c r="C2529" s="3"/>
      <c r="D2529" s="3"/>
      <c r="E2529" s="3"/>
    </row>
    <row r="2530">
      <c r="B2530" s="3"/>
      <c r="C2530" s="3"/>
      <c r="D2530" s="3"/>
      <c r="E2530" s="3"/>
    </row>
    <row r="2531">
      <c r="B2531" s="3"/>
      <c r="C2531" s="3"/>
      <c r="D2531" s="3"/>
      <c r="E2531" s="3"/>
    </row>
    <row r="2532">
      <c r="B2532" s="3"/>
      <c r="C2532" s="3"/>
      <c r="D2532" s="3"/>
      <c r="E2532" s="3"/>
    </row>
    <row r="2533">
      <c r="B2533" s="3"/>
      <c r="C2533" s="3"/>
      <c r="D2533" s="3"/>
      <c r="E2533" s="3"/>
    </row>
    <row r="2534">
      <c r="B2534" s="3"/>
      <c r="C2534" s="3"/>
      <c r="D2534" s="3"/>
      <c r="E2534" s="3"/>
    </row>
    <row r="2535">
      <c r="B2535" s="3"/>
      <c r="C2535" s="3"/>
      <c r="D2535" s="3"/>
      <c r="E2535" s="3"/>
    </row>
    <row r="2536">
      <c r="B2536" s="3"/>
      <c r="C2536" s="3"/>
      <c r="D2536" s="3"/>
      <c r="E2536" s="3"/>
    </row>
    <row r="2537">
      <c r="B2537" s="3"/>
      <c r="C2537" s="3"/>
      <c r="D2537" s="3"/>
      <c r="E2537" s="3"/>
    </row>
    <row r="2538">
      <c r="B2538" s="3"/>
      <c r="C2538" s="3"/>
      <c r="D2538" s="3"/>
      <c r="E2538" s="3"/>
    </row>
    <row r="2539">
      <c r="B2539" s="3"/>
      <c r="C2539" s="3"/>
      <c r="D2539" s="3"/>
      <c r="E2539" s="3"/>
    </row>
    <row r="2540">
      <c r="B2540" s="3"/>
      <c r="C2540" s="3"/>
      <c r="D2540" s="3"/>
      <c r="E2540" s="3"/>
    </row>
    <row r="2541">
      <c r="B2541" s="3"/>
      <c r="C2541" s="3"/>
      <c r="D2541" s="3"/>
      <c r="E2541" s="3"/>
    </row>
    <row r="2542">
      <c r="B2542" s="3"/>
      <c r="C2542" s="3"/>
      <c r="D2542" s="3"/>
      <c r="E2542" s="3"/>
    </row>
    <row r="2543">
      <c r="B2543" s="3"/>
      <c r="C2543" s="3"/>
      <c r="D2543" s="3"/>
      <c r="E2543" s="3"/>
    </row>
    <row r="2544">
      <c r="B2544" s="3"/>
      <c r="C2544" s="3"/>
      <c r="D2544" s="3"/>
      <c r="E2544" s="3"/>
    </row>
    <row r="2545">
      <c r="B2545" s="3"/>
      <c r="C2545" s="3"/>
      <c r="D2545" s="3"/>
      <c r="E2545" s="3"/>
    </row>
    <row r="2546">
      <c r="B2546" s="3"/>
      <c r="C2546" s="3"/>
      <c r="D2546" s="3"/>
      <c r="E2546" s="3"/>
    </row>
    <row r="2547">
      <c r="B2547" s="3"/>
      <c r="C2547" s="3"/>
      <c r="D2547" s="3"/>
      <c r="E2547" s="3"/>
    </row>
    <row r="2548">
      <c r="B2548" s="3"/>
      <c r="C2548" s="3"/>
      <c r="D2548" s="3"/>
      <c r="E2548" s="3"/>
    </row>
    <row r="2549">
      <c r="B2549" s="3"/>
      <c r="C2549" s="3"/>
      <c r="D2549" s="3"/>
      <c r="E2549" s="3"/>
    </row>
    <row r="2550">
      <c r="B2550" s="3"/>
      <c r="C2550" s="3"/>
      <c r="D2550" s="3"/>
      <c r="E2550" s="3"/>
    </row>
    <row r="2551">
      <c r="B2551" s="3"/>
      <c r="C2551" s="3"/>
      <c r="D2551" s="3"/>
      <c r="E2551" s="3"/>
    </row>
    <row r="2552">
      <c r="B2552" s="3"/>
      <c r="C2552" s="3"/>
      <c r="D2552" s="3"/>
      <c r="E2552" s="3"/>
    </row>
    <row r="2553">
      <c r="B2553" s="3"/>
      <c r="C2553" s="3"/>
      <c r="D2553" s="3"/>
      <c r="E2553" s="3"/>
    </row>
    <row r="2554">
      <c r="B2554" s="3"/>
      <c r="C2554" s="3"/>
      <c r="D2554" s="3"/>
      <c r="E2554" s="3"/>
    </row>
    <row r="2555">
      <c r="B2555" s="3"/>
      <c r="C2555" s="3"/>
      <c r="D2555" s="3"/>
      <c r="E2555" s="3"/>
    </row>
    <row r="2556">
      <c r="B2556" s="3"/>
      <c r="C2556" s="3"/>
      <c r="D2556" s="3"/>
      <c r="E2556" s="3"/>
    </row>
    <row r="2557">
      <c r="B2557" s="3"/>
      <c r="C2557" s="3"/>
      <c r="D2557" s="3"/>
      <c r="E2557" s="3"/>
    </row>
    <row r="2558">
      <c r="B2558" s="3"/>
      <c r="C2558" s="3"/>
      <c r="D2558" s="3"/>
      <c r="E2558" s="3"/>
    </row>
    <row r="2559">
      <c r="B2559" s="3"/>
      <c r="C2559" s="3"/>
      <c r="D2559" s="3"/>
      <c r="E2559" s="3"/>
    </row>
    <row r="2560">
      <c r="B2560" s="3"/>
      <c r="C2560" s="3"/>
      <c r="D2560" s="3"/>
      <c r="E2560" s="3"/>
    </row>
    <row r="2561">
      <c r="B2561" s="3"/>
      <c r="C2561" s="3"/>
      <c r="D2561" s="3"/>
      <c r="E2561" s="3"/>
    </row>
    <row r="2562">
      <c r="B2562" s="3"/>
      <c r="C2562" s="3"/>
      <c r="D2562" s="3"/>
      <c r="E2562" s="3"/>
    </row>
    <row r="2563">
      <c r="B2563" s="3"/>
      <c r="C2563" s="3"/>
      <c r="D2563" s="3"/>
      <c r="E2563" s="3"/>
    </row>
    <row r="2564">
      <c r="B2564" s="3"/>
      <c r="C2564" s="3"/>
      <c r="D2564" s="3"/>
      <c r="E2564" s="3"/>
    </row>
    <row r="2565">
      <c r="B2565" s="3"/>
      <c r="C2565" s="3"/>
      <c r="D2565" s="3"/>
      <c r="E2565" s="3"/>
    </row>
    <row r="2566">
      <c r="B2566" s="3"/>
      <c r="C2566" s="3"/>
      <c r="D2566" s="3"/>
      <c r="E2566" s="3"/>
    </row>
    <row r="2567">
      <c r="B2567" s="3"/>
      <c r="C2567" s="3"/>
      <c r="D2567" s="3"/>
      <c r="E2567" s="3"/>
    </row>
    <row r="2568">
      <c r="B2568" s="3"/>
      <c r="C2568" s="3"/>
      <c r="D2568" s="3"/>
      <c r="E2568" s="3"/>
    </row>
    <row r="2569">
      <c r="B2569" s="3"/>
      <c r="C2569" s="3"/>
      <c r="D2569" s="3"/>
      <c r="E2569" s="3"/>
    </row>
    <row r="2570">
      <c r="B2570" s="3"/>
      <c r="C2570" s="3"/>
      <c r="D2570" s="3"/>
      <c r="E2570" s="3"/>
    </row>
    <row r="2571">
      <c r="B2571" s="3"/>
      <c r="C2571" s="3"/>
      <c r="D2571" s="3"/>
      <c r="E2571" s="3"/>
    </row>
    <row r="2572">
      <c r="B2572" s="3"/>
      <c r="C2572" s="3"/>
      <c r="D2572" s="3"/>
      <c r="E2572" s="3"/>
    </row>
    <row r="2573">
      <c r="B2573" s="3"/>
      <c r="C2573" s="3"/>
      <c r="D2573" s="3"/>
      <c r="E2573" s="3"/>
    </row>
    <row r="2574">
      <c r="B2574" s="3"/>
      <c r="C2574" s="3"/>
      <c r="D2574" s="3"/>
      <c r="E2574" s="3"/>
    </row>
    <row r="2575">
      <c r="B2575" s="3"/>
      <c r="C2575" s="3"/>
      <c r="D2575" s="3"/>
      <c r="E2575" s="3"/>
    </row>
    <row r="2576">
      <c r="B2576" s="3"/>
      <c r="C2576" s="3"/>
      <c r="D2576" s="3"/>
      <c r="E2576" s="3"/>
    </row>
    <row r="2577">
      <c r="B2577" s="3"/>
      <c r="C2577" s="3"/>
      <c r="D2577" s="3"/>
      <c r="E2577" s="3"/>
    </row>
    <row r="2578">
      <c r="B2578" s="3"/>
      <c r="C2578" s="3"/>
      <c r="D2578" s="3"/>
      <c r="E2578" s="3"/>
    </row>
    <row r="2579">
      <c r="B2579" s="3"/>
      <c r="C2579" s="3"/>
      <c r="D2579" s="3"/>
      <c r="E2579" s="3"/>
    </row>
    <row r="2580">
      <c r="B2580" s="3"/>
      <c r="C2580" s="3"/>
      <c r="D2580" s="3"/>
      <c r="E2580" s="3"/>
    </row>
    <row r="2581">
      <c r="B2581" s="3"/>
      <c r="C2581" s="3"/>
      <c r="D2581" s="3"/>
      <c r="E2581" s="3"/>
    </row>
    <row r="2582">
      <c r="B2582" s="3"/>
      <c r="C2582" s="3"/>
      <c r="D2582" s="3"/>
      <c r="E2582" s="3"/>
    </row>
    <row r="2583">
      <c r="B2583" s="3"/>
      <c r="C2583" s="3"/>
      <c r="D2583" s="3"/>
      <c r="E2583" s="3"/>
    </row>
    <row r="2584">
      <c r="B2584" s="3"/>
      <c r="C2584" s="3"/>
      <c r="D2584" s="3"/>
      <c r="E2584" s="3"/>
    </row>
    <row r="2585">
      <c r="B2585" s="3"/>
      <c r="C2585" s="3"/>
      <c r="D2585" s="3"/>
      <c r="E2585" s="3"/>
    </row>
    <row r="2586">
      <c r="B2586" s="3"/>
      <c r="C2586" s="3"/>
      <c r="D2586" s="3"/>
      <c r="E2586" s="3"/>
    </row>
    <row r="2587">
      <c r="B2587" s="3"/>
      <c r="C2587" s="3"/>
      <c r="D2587" s="3"/>
      <c r="E2587" s="3"/>
    </row>
    <row r="2588">
      <c r="B2588" s="3"/>
      <c r="C2588" s="3"/>
      <c r="D2588" s="3"/>
      <c r="E2588" s="3"/>
    </row>
    <row r="2589">
      <c r="B2589" s="3"/>
      <c r="C2589" s="3"/>
      <c r="D2589" s="3"/>
      <c r="E2589" s="3"/>
    </row>
    <row r="2590">
      <c r="B2590" s="3"/>
      <c r="C2590" s="3"/>
      <c r="D2590" s="3"/>
      <c r="E2590" s="3"/>
    </row>
    <row r="2591">
      <c r="B2591" s="3"/>
      <c r="C2591" s="3"/>
      <c r="D2591" s="3"/>
      <c r="E2591" s="3"/>
    </row>
    <row r="2592">
      <c r="B2592" s="3"/>
      <c r="C2592" s="3"/>
      <c r="D2592" s="3"/>
      <c r="E2592" s="3"/>
    </row>
    <row r="2593">
      <c r="B2593" s="3"/>
      <c r="C2593" s="3"/>
      <c r="D2593" s="3"/>
      <c r="E2593" s="3"/>
    </row>
    <row r="2594">
      <c r="B2594" s="3"/>
      <c r="C2594" s="3"/>
      <c r="D2594" s="3"/>
      <c r="E2594" s="3"/>
    </row>
    <row r="2595">
      <c r="B2595" s="3"/>
      <c r="C2595" s="3"/>
      <c r="D2595" s="3"/>
      <c r="E2595" s="3"/>
    </row>
    <row r="2596">
      <c r="B2596" s="3"/>
      <c r="C2596" s="3"/>
      <c r="D2596" s="3"/>
      <c r="E2596" s="3"/>
    </row>
    <row r="2597">
      <c r="B2597" s="3"/>
      <c r="C2597" s="3"/>
      <c r="D2597" s="3"/>
      <c r="E2597" s="3"/>
    </row>
    <row r="2598">
      <c r="B2598" s="3"/>
      <c r="C2598" s="3"/>
      <c r="D2598" s="3"/>
      <c r="E2598" s="3"/>
    </row>
    <row r="2599">
      <c r="B2599" s="3"/>
      <c r="C2599" s="3"/>
      <c r="D2599" s="3"/>
      <c r="E2599" s="3"/>
    </row>
    <row r="2600">
      <c r="B2600" s="3"/>
      <c r="C2600" s="3"/>
      <c r="D2600" s="3"/>
      <c r="E2600" s="3"/>
    </row>
    <row r="2601">
      <c r="B2601" s="3"/>
      <c r="C2601" s="3"/>
      <c r="D2601" s="3"/>
      <c r="E2601" s="3"/>
    </row>
    <row r="2602">
      <c r="B2602" s="3"/>
      <c r="C2602" s="3"/>
      <c r="D2602" s="3"/>
      <c r="E2602" s="3"/>
    </row>
    <row r="2603">
      <c r="B2603" s="3"/>
      <c r="C2603" s="3"/>
      <c r="D2603" s="3"/>
      <c r="E2603" s="3"/>
    </row>
    <row r="2604">
      <c r="B2604" s="3"/>
      <c r="C2604" s="3"/>
      <c r="D2604" s="3"/>
      <c r="E2604" s="3"/>
    </row>
    <row r="2605">
      <c r="B2605" s="3"/>
      <c r="C2605" s="3"/>
      <c r="D2605" s="3"/>
      <c r="E2605" s="3"/>
    </row>
    <row r="2606">
      <c r="B2606" s="3"/>
      <c r="C2606" s="3"/>
      <c r="D2606" s="3"/>
      <c r="E2606" s="3"/>
    </row>
    <row r="2607">
      <c r="B2607" s="3"/>
      <c r="C2607" s="3"/>
      <c r="D2607" s="3"/>
      <c r="E2607" s="3"/>
    </row>
    <row r="2608">
      <c r="B2608" s="3"/>
      <c r="C2608" s="3"/>
      <c r="D2608" s="3"/>
      <c r="E2608" s="3"/>
    </row>
    <row r="2609">
      <c r="B2609" s="3"/>
      <c r="C2609" s="3"/>
      <c r="D2609" s="3"/>
      <c r="E2609" s="3"/>
    </row>
    <row r="2610">
      <c r="B2610" s="3"/>
      <c r="C2610" s="3"/>
      <c r="D2610" s="3"/>
      <c r="E2610" s="3"/>
    </row>
    <row r="2611">
      <c r="B2611" s="3"/>
      <c r="C2611" s="3"/>
      <c r="D2611" s="3"/>
      <c r="E2611" s="3"/>
    </row>
    <row r="2612">
      <c r="B2612" s="3"/>
      <c r="C2612" s="3"/>
      <c r="D2612" s="3"/>
      <c r="E2612" s="3"/>
    </row>
    <row r="2613">
      <c r="B2613" s="3"/>
      <c r="C2613" s="3"/>
      <c r="D2613" s="3"/>
      <c r="E2613" s="3"/>
    </row>
    <row r="2614">
      <c r="B2614" s="3"/>
      <c r="C2614" s="3"/>
      <c r="D2614" s="3"/>
      <c r="E2614" s="3"/>
    </row>
    <row r="2615">
      <c r="B2615" s="3"/>
      <c r="C2615" s="3"/>
      <c r="D2615" s="3"/>
      <c r="E2615" s="3"/>
    </row>
    <row r="2616">
      <c r="B2616" s="3"/>
      <c r="C2616" s="3"/>
      <c r="D2616" s="3"/>
      <c r="E2616" s="3"/>
    </row>
    <row r="2617">
      <c r="B2617" s="3"/>
      <c r="C2617" s="3"/>
      <c r="D2617" s="3"/>
      <c r="E2617" s="3"/>
    </row>
    <row r="2618">
      <c r="B2618" s="3"/>
      <c r="C2618" s="3"/>
      <c r="D2618" s="3"/>
      <c r="E2618" s="3"/>
    </row>
    <row r="2619">
      <c r="B2619" s="3"/>
      <c r="C2619" s="3"/>
      <c r="D2619" s="3"/>
      <c r="E2619" s="3"/>
    </row>
    <row r="2620">
      <c r="B2620" s="3"/>
      <c r="C2620" s="3"/>
      <c r="D2620" s="3"/>
      <c r="E2620" s="3"/>
    </row>
    <row r="2621">
      <c r="B2621" s="3"/>
      <c r="C2621" s="3"/>
      <c r="D2621" s="3"/>
      <c r="E2621" s="3"/>
    </row>
    <row r="2622">
      <c r="B2622" s="3"/>
      <c r="C2622" s="3"/>
      <c r="D2622" s="3"/>
      <c r="E2622" s="3"/>
    </row>
    <row r="2623">
      <c r="B2623" s="3"/>
      <c r="C2623" s="3"/>
      <c r="D2623" s="3"/>
      <c r="E2623" s="3"/>
    </row>
    <row r="2624">
      <c r="B2624" s="3"/>
      <c r="C2624" s="3"/>
      <c r="D2624" s="3"/>
      <c r="E2624" s="3"/>
    </row>
    <row r="2625">
      <c r="B2625" s="3"/>
      <c r="C2625" s="3"/>
      <c r="D2625" s="3"/>
      <c r="E2625" s="3"/>
    </row>
    <row r="2626">
      <c r="B2626" s="3"/>
      <c r="C2626" s="3"/>
      <c r="D2626" s="3"/>
      <c r="E2626" s="3"/>
    </row>
    <row r="2627">
      <c r="B2627" s="3"/>
      <c r="C2627" s="3"/>
      <c r="D2627" s="3"/>
      <c r="E2627" s="3"/>
    </row>
    <row r="2628">
      <c r="B2628" s="3"/>
      <c r="C2628" s="3"/>
      <c r="D2628" s="3"/>
      <c r="E2628" s="3"/>
    </row>
    <row r="2629">
      <c r="B2629" s="3"/>
      <c r="C2629" s="3"/>
      <c r="D2629" s="3"/>
      <c r="E2629" s="3"/>
    </row>
    <row r="2630">
      <c r="B2630" s="3"/>
      <c r="C2630" s="3"/>
      <c r="D2630" s="3"/>
      <c r="E2630" s="3"/>
    </row>
    <row r="2631">
      <c r="B2631" s="3"/>
      <c r="C2631" s="3"/>
      <c r="D2631" s="3"/>
      <c r="E2631" s="3"/>
    </row>
    <row r="2632">
      <c r="B2632" s="3"/>
      <c r="C2632" s="3"/>
      <c r="D2632" s="3"/>
      <c r="E2632" s="3"/>
    </row>
    <row r="2633">
      <c r="B2633" s="3"/>
      <c r="C2633" s="3"/>
      <c r="D2633" s="3"/>
      <c r="E2633" s="3"/>
    </row>
    <row r="2634">
      <c r="B2634" s="3"/>
      <c r="C2634" s="3"/>
      <c r="D2634" s="3"/>
      <c r="E2634" s="3"/>
    </row>
    <row r="2635">
      <c r="B2635" s="3"/>
      <c r="C2635" s="3"/>
      <c r="D2635" s="3"/>
      <c r="E2635" s="3"/>
    </row>
    <row r="2636">
      <c r="B2636" s="3"/>
      <c r="C2636" s="3"/>
      <c r="D2636" s="3"/>
      <c r="E2636" s="3"/>
    </row>
    <row r="2637">
      <c r="B2637" s="3"/>
      <c r="C2637" s="3"/>
      <c r="D2637" s="3"/>
      <c r="E2637" s="3"/>
    </row>
    <row r="2638">
      <c r="B2638" s="3"/>
      <c r="C2638" s="3"/>
      <c r="D2638" s="3"/>
      <c r="E2638" s="3"/>
    </row>
    <row r="2639">
      <c r="B2639" s="3"/>
      <c r="C2639" s="3"/>
      <c r="D2639" s="3"/>
      <c r="E2639" s="3"/>
    </row>
    <row r="2640">
      <c r="B2640" s="3"/>
      <c r="C2640" s="3"/>
      <c r="D2640" s="3"/>
      <c r="E2640" s="3"/>
    </row>
    <row r="2641">
      <c r="B2641" s="3"/>
      <c r="C2641" s="3"/>
      <c r="D2641" s="3"/>
      <c r="E2641" s="3"/>
    </row>
    <row r="2642">
      <c r="B2642" s="3"/>
      <c r="C2642" s="3"/>
      <c r="D2642" s="3"/>
      <c r="E2642" s="3"/>
    </row>
    <row r="2643">
      <c r="B2643" s="3"/>
      <c r="C2643" s="3"/>
      <c r="D2643" s="3"/>
      <c r="E2643" s="3"/>
    </row>
    <row r="2644">
      <c r="B2644" s="3"/>
      <c r="C2644" s="3"/>
      <c r="D2644" s="3"/>
      <c r="E2644" s="3"/>
    </row>
    <row r="2645">
      <c r="B2645" s="3"/>
      <c r="C2645" s="3"/>
      <c r="D2645" s="3"/>
      <c r="E2645" s="3"/>
    </row>
    <row r="2646">
      <c r="B2646" s="3"/>
      <c r="C2646" s="3"/>
      <c r="D2646" s="3"/>
      <c r="E2646" s="3"/>
    </row>
    <row r="2647">
      <c r="B2647" s="3"/>
      <c r="C2647" s="3"/>
      <c r="D2647" s="3"/>
      <c r="E2647" s="3"/>
    </row>
    <row r="2648">
      <c r="B2648" s="3"/>
      <c r="C2648" s="3"/>
      <c r="D2648" s="3"/>
      <c r="E2648" s="3"/>
    </row>
    <row r="2649">
      <c r="B2649" s="3"/>
      <c r="C2649" s="3"/>
      <c r="D2649" s="3"/>
      <c r="E2649" s="3"/>
    </row>
    <row r="2650">
      <c r="B2650" s="3"/>
      <c r="C2650" s="3"/>
      <c r="D2650" s="3"/>
      <c r="E2650" s="3"/>
    </row>
    <row r="2651">
      <c r="B2651" s="3"/>
      <c r="C2651" s="3"/>
      <c r="D2651" s="3"/>
      <c r="E2651" s="3"/>
    </row>
    <row r="2652">
      <c r="B2652" s="3"/>
      <c r="C2652" s="3"/>
      <c r="D2652" s="3"/>
      <c r="E2652" s="3"/>
    </row>
    <row r="2653">
      <c r="B2653" s="3"/>
      <c r="C2653" s="3"/>
      <c r="D2653" s="3"/>
      <c r="E2653" s="3"/>
    </row>
    <row r="2654">
      <c r="B2654" s="3"/>
      <c r="C2654" s="3"/>
      <c r="D2654" s="3"/>
      <c r="E2654" s="3"/>
    </row>
    <row r="2655">
      <c r="B2655" s="3"/>
      <c r="C2655" s="3"/>
      <c r="D2655" s="3"/>
      <c r="E2655" s="3"/>
    </row>
    <row r="2656">
      <c r="B2656" s="3"/>
      <c r="C2656" s="3"/>
      <c r="D2656" s="3"/>
      <c r="E2656" s="3"/>
    </row>
    <row r="2657">
      <c r="B2657" s="3"/>
      <c r="C2657" s="3"/>
      <c r="D2657" s="3"/>
      <c r="E2657" s="3"/>
    </row>
    <row r="2658">
      <c r="B2658" s="3"/>
      <c r="C2658" s="3"/>
      <c r="D2658" s="3"/>
      <c r="E2658" s="3"/>
    </row>
    <row r="2659">
      <c r="B2659" s="3"/>
      <c r="C2659" s="3"/>
      <c r="D2659" s="3"/>
      <c r="E2659" s="3"/>
    </row>
    <row r="2660">
      <c r="B2660" s="3"/>
      <c r="C2660" s="3"/>
      <c r="D2660" s="3"/>
      <c r="E2660" s="3"/>
    </row>
    <row r="2661">
      <c r="B2661" s="3"/>
      <c r="C2661" s="3"/>
      <c r="D2661" s="3"/>
      <c r="E2661" s="3"/>
    </row>
    <row r="2662">
      <c r="B2662" s="3"/>
      <c r="C2662" s="3"/>
      <c r="D2662" s="3"/>
      <c r="E2662" s="3"/>
    </row>
    <row r="2663">
      <c r="B2663" s="3"/>
      <c r="C2663" s="3"/>
      <c r="D2663" s="3"/>
      <c r="E2663" s="3"/>
    </row>
    <row r="2664">
      <c r="B2664" s="3"/>
      <c r="C2664" s="3"/>
      <c r="D2664" s="3"/>
      <c r="E2664" s="3"/>
    </row>
    <row r="2665">
      <c r="B2665" s="3"/>
      <c r="C2665" s="3"/>
      <c r="D2665" s="3"/>
      <c r="E2665" s="3"/>
    </row>
    <row r="2666">
      <c r="B2666" s="3"/>
      <c r="C2666" s="3"/>
      <c r="D2666" s="3"/>
      <c r="E2666" s="3"/>
    </row>
    <row r="2667">
      <c r="B2667" s="3"/>
      <c r="C2667" s="3"/>
      <c r="D2667" s="3"/>
      <c r="E2667" s="3"/>
    </row>
    <row r="2668">
      <c r="B2668" s="3"/>
      <c r="C2668" s="3"/>
      <c r="D2668" s="3"/>
      <c r="E2668" s="3"/>
    </row>
    <row r="2669">
      <c r="B2669" s="3"/>
      <c r="C2669" s="3"/>
      <c r="D2669" s="3"/>
      <c r="E2669" s="3"/>
    </row>
    <row r="2670">
      <c r="B2670" s="3"/>
      <c r="C2670" s="3"/>
      <c r="D2670" s="3"/>
      <c r="E2670" s="3"/>
    </row>
    <row r="2671">
      <c r="B2671" s="3"/>
      <c r="C2671" s="3"/>
      <c r="D2671" s="3"/>
      <c r="E2671" s="3"/>
    </row>
    <row r="2672">
      <c r="B2672" s="3"/>
      <c r="C2672" s="3"/>
      <c r="D2672" s="3"/>
      <c r="E2672" s="3"/>
    </row>
    <row r="2673">
      <c r="B2673" s="3"/>
      <c r="C2673" s="3"/>
      <c r="D2673" s="3"/>
      <c r="E2673" s="3"/>
    </row>
    <row r="2674">
      <c r="B2674" s="3"/>
      <c r="C2674" s="3"/>
      <c r="D2674" s="3"/>
      <c r="E2674" s="3"/>
    </row>
    <row r="2675">
      <c r="B2675" s="3"/>
      <c r="C2675" s="3"/>
      <c r="D2675" s="3"/>
      <c r="E2675" s="3"/>
    </row>
    <row r="2676">
      <c r="B2676" s="3"/>
      <c r="C2676" s="3"/>
      <c r="D2676" s="3"/>
      <c r="E2676" s="3"/>
    </row>
    <row r="2677">
      <c r="B2677" s="3"/>
      <c r="C2677" s="3"/>
      <c r="D2677" s="3"/>
      <c r="E2677" s="3"/>
    </row>
    <row r="2678">
      <c r="B2678" s="3"/>
      <c r="C2678" s="3"/>
      <c r="D2678" s="3"/>
      <c r="E2678" s="3"/>
    </row>
    <row r="2679">
      <c r="B2679" s="3"/>
      <c r="C2679" s="3"/>
      <c r="D2679" s="3"/>
      <c r="E2679" s="3"/>
    </row>
    <row r="2680">
      <c r="B2680" s="3"/>
      <c r="C2680" s="3"/>
      <c r="D2680" s="3"/>
      <c r="E2680" s="3"/>
    </row>
    <row r="2681">
      <c r="B2681" s="3"/>
      <c r="C2681" s="3"/>
      <c r="D2681" s="3"/>
      <c r="E2681" s="3"/>
    </row>
    <row r="2682">
      <c r="B2682" s="3"/>
      <c r="C2682" s="3"/>
      <c r="D2682" s="3"/>
      <c r="E2682" s="3"/>
    </row>
    <row r="2683">
      <c r="B2683" s="3"/>
      <c r="C2683" s="3"/>
      <c r="D2683" s="3"/>
      <c r="E2683" s="3"/>
    </row>
    <row r="2684">
      <c r="B2684" s="3"/>
      <c r="C2684" s="3"/>
      <c r="D2684" s="3"/>
      <c r="E2684" s="3"/>
    </row>
    <row r="2685">
      <c r="B2685" s="3"/>
      <c r="C2685" s="3"/>
      <c r="D2685" s="3"/>
      <c r="E2685" s="3"/>
    </row>
    <row r="2686">
      <c r="B2686" s="3"/>
      <c r="C2686" s="3"/>
      <c r="D2686" s="3"/>
      <c r="E2686" s="3"/>
    </row>
    <row r="2687">
      <c r="B2687" s="3"/>
      <c r="C2687" s="3"/>
      <c r="D2687" s="3"/>
      <c r="E2687" s="3"/>
    </row>
    <row r="2688">
      <c r="B2688" s="3"/>
      <c r="C2688" s="3"/>
      <c r="D2688" s="3"/>
      <c r="E2688" s="3"/>
    </row>
    <row r="2689">
      <c r="B2689" s="3"/>
      <c r="C2689" s="3"/>
      <c r="D2689" s="3"/>
      <c r="E2689" s="3"/>
    </row>
    <row r="2690">
      <c r="B2690" s="3"/>
      <c r="C2690" s="3"/>
      <c r="D2690" s="3"/>
      <c r="E2690" s="3"/>
    </row>
    <row r="2691">
      <c r="B2691" s="3"/>
      <c r="C2691" s="3"/>
      <c r="D2691" s="3"/>
      <c r="E2691" s="3"/>
    </row>
    <row r="2692">
      <c r="B2692" s="3"/>
      <c r="C2692" s="3"/>
      <c r="D2692" s="3"/>
      <c r="E2692" s="3"/>
    </row>
    <row r="2693">
      <c r="B2693" s="3"/>
      <c r="C2693" s="3"/>
      <c r="D2693" s="3"/>
      <c r="E2693" s="3"/>
    </row>
    <row r="2694">
      <c r="B2694" s="3"/>
      <c r="C2694" s="3"/>
      <c r="D2694" s="3"/>
      <c r="E2694" s="3"/>
    </row>
    <row r="2695">
      <c r="B2695" s="3"/>
      <c r="C2695" s="3"/>
      <c r="D2695" s="3"/>
      <c r="E2695" s="3"/>
    </row>
    <row r="2696">
      <c r="B2696" s="3"/>
      <c r="C2696" s="3"/>
      <c r="D2696" s="3"/>
      <c r="E2696" s="3"/>
    </row>
    <row r="2697">
      <c r="B2697" s="3"/>
      <c r="C2697" s="3"/>
      <c r="D2697" s="3"/>
      <c r="E2697" s="3"/>
    </row>
    <row r="2698">
      <c r="B2698" s="3"/>
      <c r="C2698" s="3"/>
      <c r="D2698" s="3"/>
      <c r="E2698" s="3"/>
    </row>
    <row r="2699">
      <c r="B2699" s="3"/>
      <c r="C2699" s="3"/>
      <c r="D2699" s="3"/>
      <c r="E2699" s="3"/>
    </row>
    <row r="2700">
      <c r="B2700" s="3"/>
      <c r="C2700" s="3"/>
      <c r="D2700" s="3"/>
      <c r="E2700" s="3"/>
    </row>
    <row r="2701">
      <c r="B2701" s="3"/>
      <c r="C2701" s="3"/>
      <c r="D2701" s="3"/>
      <c r="E2701" s="3"/>
    </row>
    <row r="2702">
      <c r="B2702" s="3"/>
      <c r="C2702" s="3"/>
      <c r="D2702" s="3"/>
      <c r="E2702" s="3"/>
    </row>
    <row r="2703">
      <c r="B2703" s="3"/>
      <c r="C2703" s="3"/>
      <c r="D2703" s="3"/>
      <c r="E2703" s="3"/>
    </row>
    <row r="2704">
      <c r="B2704" s="3"/>
      <c r="C2704" s="3"/>
      <c r="D2704" s="3"/>
      <c r="E2704" s="3"/>
    </row>
    <row r="2705">
      <c r="B2705" s="3"/>
      <c r="C2705" s="3"/>
      <c r="D2705" s="3"/>
      <c r="E2705" s="3"/>
    </row>
    <row r="2706">
      <c r="B2706" s="3"/>
      <c r="C2706" s="3"/>
      <c r="D2706" s="3"/>
      <c r="E2706" s="3"/>
    </row>
    <row r="2707">
      <c r="B2707" s="3"/>
      <c r="C2707" s="3"/>
      <c r="D2707" s="3"/>
      <c r="E2707" s="3"/>
    </row>
    <row r="2708">
      <c r="B2708" s="3"/>
      <c r="C2708" s="3"/>
      <c r="D2708" s="3"/>
      <c r="E2708" s="3"/>
    </row>
    <row r="2709">
      <c r="B2709" s="3"/>
      <c r="C2709" s="3"/>
      <c r="D2709" s="3"/>
      <c r="E2709" s="3"/>
    </row>
    <row r="2710">
      <c r="B2710" s="3"/>
      <c r="C2710" s="3"/>
      <c r="D2710" s="3"/>
      <c r="E2710" s="3"/>
    </row>
    <row r="2711">
      <c r="B2711" s="3"/>
      <c r="C2711" s="3"/>
      <c r="D2711" s="3"/>
      <c r="E2711" s="3"/>
    </row>
    <row r="2712">
      <c r="B2712" s="3"/>
      <c r="C2712" s="3"/>
      <c r="D2712" s="3"/>
      <c r="E2712" s="3"/>
    </row>
    <row r="2713">
      <c r="B2713" s="3"/>
      <c r="C2713" s="3"/>
      <c r="D2713" s="3"/>
      <c r="E2713" s="3"/>
    </row>
    <row r="2714">
      <c r="B2714" s="3"/>
      <c r="C2714" s="3"/>
      <c r="D2714" s="3"/>
      <c r="E2714" s="3"/>
    </row>
    <row r="2715">
      <c r="B2715" s="3"/>
      <c r="C2715" s="3"/>
      <c r="D2715" s="3"/>
      <c r="E2715" s="3"/>
    </row>
    <row r="2716">
      <c r="B2716" s="3"/>
      <c r="C2716" s="3"/>
      <c r="D2716" s="3"/>
      <c r="E2716" s="3"/>
    </row>
    <row r="2717">
      <c r="B2717" s="3"/>
      <c r="C2717" s="3"/>
      <c r="D2717" s="3"/>
      <c r="E2717" s="3"/>
    </row>
    <row r="2718">
      <c r="B2718" s="3"/>
      <c r="C2718" s="3"/>
      <c r="D2718" s="3"/>
      <c r="E2718" s="3"/>
    </row>
    <row r="2719">
      <c r="B2719" s="3"/>
      <c r="C2719" s="3"/>
      <c r="D2719" s="3"/>
      <c r="E2719" s="3"/>
    </row>
    <row r="2720">
      <c r="B2720" s="3"/>
      <c r="C2720" s="3"/>
      <c r="D2720" s="3"/>
      <c r="E2720" s="3"/>
    </row>
    <row r="2721">
      <c r="B2721" s="3"/>
      <c r="C2721" s="3"/>
      <c r="D2721" s="3"/>
      <c r="E2721" s="3"/>
    </row>
    <row r="2722">
      <c r="B2722" s="3"/>
      <c r="C2722" s="3"/>
      <c r="D2722" s="3"/>
      <c r="E2722" s="3"/>
    </row>
    <row r="2723">
      <c r="B2723" s="3"/>
      <c r="C2723" s="3"/>
      <c r="D2723" s="3"/>
      <c r="E2723" s="3"/>
    </row>
    <row r="2724">
      <c r="B2724" s="3"/>
      <c r="C2724" s="3"/>
      <c r="D2724" s="3"/>
      <c r="E2724" s="3"/>
    </row>
    <row r="2725">
      <c r="B2725" s="3"/>
      <c r="C2725" s="3"/>
      <c r="D2725" s="3"/>
      <c r="E2725" s="3"/>
    </row>
    <row r="2726">
      <c r="B2726" s="3"/>
      <c r="C2726" s="3"/>
      <c r="D2726" s="3"/>
      <c r="E2726" s="3"/>
    </row>
    <row r="2727">
      <c r="B2727" s="3"/>
      <c r="C2727" s="3"/>
      <c r="D2727" s="3"/>
      <c r="E2727" s="3"/>
    </row>
    <row r="2728">
      <c r="B2728" s="3"/>
      <c r="C2728" s="3"/>
      <c r="D2728" s="3"/>
      <c r="E2728" s="3"/>
    </row>
    <row r="2729">
      <c r="B2729" s="3"/>
      <c r="C2729" s="3"/>
      <c r="D2729" s="3"/>
      <c r="E2729" s="3"/>
    </row>
    <row r="2730">
      <c r="B2730" s="3"/>
      <c r="C2730" s="3"/>
      <c r="D2730" s="3"/>
      <c r="E2730" s="3"/>
    </row>
    <row r="2731">
      <c r="B2731" s="3"/>
      <c r="C2731" s="3"/>
      <c r="D2731" s="3"/>
      <c r="E2731" s="3"/>
    </row>
    <row r="2732">
      <c r="B2732" s="3"/>
      <c r="C2732" s="3"/>
      <c r="D2732" s="3"/>
      <c r="E2732" s="3"/>
    </row>
    <row r="2733">
      <c r="B2733" s="3"/>
      <c r="C2733" s="3"/>
      <c r="D2733" s="3"/>
      <c r="E2733" s="3"/>
    </row>
    <row r="2734">
      <c r="B2734" s="3"/>
      <c r="C2734" s="3"/>
      <c r="D2734" s="3"/>
      <c r="E2734" s="3"/>
    </row>
    <row r="2735">
      <c r="B2735" s="3"/>
      <c r="C2735" s="3"/>
      <c r="D2735" s="3"/>
      <c r="E2735" s="3"/>
    </row>
    <row r="2736">
      <c r="B2736" s="3"/>
      <c r="C2736" s="3"/>
      <c r="D2736" s="3"/>
      <c r="E2736" s="3"/>
    </row>
    <row r="2737">
      <c r="B2737" s="3"/>
      <c r="C2737" s="3"/>
      <c r="D2737" s="3"/>
      <c r="E2737" s="3"/>
    </row>
    <row r="2738">
      <c r="B2738" s="3"/>
      <c r="C2738" s="3"/>
      <c r="D2738" s="3"/>
      <c r="E2738" s="3"/>
    </row>
    <row r="2739">
      <c r="B2739" s="3"/>
      <c r="C2739" s="3"/>
      <c r="D2739" s="3"/>
      <c r="E2739" s="3"/>
    </row>
    <row r="2740">
      <c r="B2740" s="3"/>
      <c r="C2740" s="3"/>
      <c r="D2740" s="3"/>
      <c r="E2740" s="3"/>
    </row>
    <row r="2741">
      <c r="B2741" s="3"/>
      <c r="C2741" s="3"/>
      <c r="D2741" s="3"/>
      <c r="E2741" s="3"/>
    </row>
    <row r="2742">
      <c r="B2742" s="3"/>
      <c r="C2742" s="3"/>
      <c r="D2742" s="3"/>
      <c r="E2742" s="3"/>
    </row>
    <row r="2743">
      <c r="B2743" s="3"/>
      <c r="C2743" s="3"/>
      <c r="D2743" s="3"/>
      <c r="E2743" s="3"/>
    </row>
    <row r="2744">
      <c r="B2744" s="3"/>
      <c r="C2744" s="3"/>
      <c r="D2744" s="3"/>
      <c r="E2744" s="3"/>
    </row>
    <row r="2745">
      <c r="B2745" s="3"/>
      <c r="C2745" s="3"/>
      <c r="D2745" s="3"/>
      <c r="E2745" s="3"/>
    </row>
    <row r="2746">
      <c r="B2746" s="3"/>
      <c r="C2746" s="3"/>
      <c r="D2746" s="3"/>
      <c r="E2746" s="3"/>
    </row>
    <row r="2747">
      <c r="B2747" s="3"/>
      <c r="C2747" s="3"/>
      <c r="D2747" s="3"/>
      <c r="E2747" s="3"/>
    </row>
    <row r="2748">
      <c r="B2748" s="3"/>
      <c r="C2748" s="3"/>
      <c r="D2748" s="3"/>
      <c r="E2748" s="3"/>
    </row>
    <row r="2749">
      <c r="B2749" s="3"/>
      <c r="C2749" s="3"/>
      <c r="D2749" s="3"/>
      <c r="E2749" s="3"/>
    </row>
    <row r="2750">
      <c r="B2750" s="3"/>
      <c r="C2750" s="3"/>
      <c r="D2750" s="3"/>
      <c r="E2750" s="3"/>
    </row>
    <row r="2751">
      <c r="B2751" s="3"/>
      <c r="C2751" s="3"/>
      <c r="D2751" s="3"/>
      <c r="E2751" s="3"/>
    </row>
    <row r="2752">
      <c r="B2752" s="3"/>
      <c r="C2752" s="3"/>
      <c r="D2752" s="3"/>
      <c r="E2752" s="3"/>
    </row>
    <row r="2753">
      <c r="B2753" s="3"/>
      <c r="C2753" s="3"/>
      <c r="D2753" s="3"/>
      <c r="E2753" s="3"/>
    </row>
    <row r="2754">
      <c r="B2754" s="3"/>
      <c r="C2754" s="3"/>
      <c r="D2754" s="3"/>
      <c r="E2754" s="3"/>
    </row>
    <row r="2755">
      <c r="B2755" s="3"/>
      <c r="C2755" s="3"/>
      <c r="D2755" s="3"/>
      <c r="E2755" s="3"/>
    </row>
    <row r="2756">
      <c r="B2756" s="3"/>
      <c r="C2756" s="3"/>
      <c r="D2756" s="3"/>
      <c r="E2756" s="3"/>
    </row>
    <row r="2757">
      <c r="B2757" s="3"/>
      <c r="C2757" s="3"/>
      <c r="D2757" s="3"/>
      <c r="E2757" s="3"/>
    </row>
    <row r="2758">
      <c r="B2758" s="3"/>
      <c r="C2758" s="3"/>
      <c r="D2758" s="3"/>
      <c r="E2758" s="3"/>
    </row>
    <row r="2759">
      <c r="B2759" s="3"/>
      <c r="C2759" s="3"/>
      <c r="D2759" s="3"/>
      <c r="E2759" s="3"/>
    </row>
    <row r="2760">
      <c r="B2760" s="3"/>
      <c r="C2760" s="3"/>
      <c r="D2760" s="3"/>
      <c r="E2760" s="3"/>
    </row>
    <row r="2761">
      <c r="B2761" s="3"/>
      <c r="C2761" s="3"/>
      <c r="D2761" s="3"/>
      <c r="E2761" s="3"/>
    </row>
    <row r="2762">
      <c r="B2762" s="3"/>
      <c r="C2762" s="3"/>
      <c r="D2762" s="3"/>
      <c r="E2762" s="3"/>
    </row>
    <row r="2763">
      <c r="B2763" s="3"/>
      <c r="C2763" s="3"/>
      <c r="D2763" s="3"/>
      <c r="E2763" s="3"/>
    </row>
    <row r="2764">
      <c r="B2764" s="3"/>
      <c r="C2764" s="3"/>
      <c r="D2764" s="3"/>
      <c r="E2764" s="3"/>
    </row>
    <row r="2765">
      <c r="B2765" s="3"/>
      <c r="C2765" s="3"/>
      <c r="D2765" s="3"/>
      <c r="E2765" s="3"/>
    </row>
    <row r="2766">
      <c r="B2766" s="3"/>
      <c r="C2766" s="3"/>
      <c r="D2766" s="3"/>
      <c r="E2766" s="3"/>
    </row>
    <row r="2767">
      <c r="B2767" s="3"/>
      <c r="C2767" s="3"/>
      <c r="D2767" s="3"/>
      <c r="E2767" s="3"/>
    </row>
    <row r="2768">
      <c r="B2768" s="3"/>
      <c r="C2768" s="3"/>
      <c r="D2768" s="3"/>
      <c r="E2768" s="3"/>
    </row>
    <row r="2769">
      <c r="B2769" s="3"/>
      <c r="C2769" s="3"/>
      <c r="D2769" s="3"/>
      <c r="E2769" s="3"/>
    </row>
    <row r="2770">
      <c r="B2770" s="3"/>
      <c r="C2770" s="3"/>
      <c r="D2770" s="3"/>
      <c r="E2770" s="3"/>
    </row>
    <row r="2771">
      <c r="B2771" s="3"/>
      <c r="C2771" s="3"/>
      <c r="D2771" s="3"/>
      <c r="E2771" s="3"/>
    </row>
    <row r="2772">
      <c r="B2772" s="3"/>
      <c r="C2772" s="3"/>
      <c r="D2772" s="3"/>
      <c r="E2772" s="3"/>
    </row>
    <row r="2773">
      <c r="B2773" s="3"/>
      <c r="C2773" s="3"/>
      <c r="D2773" s="3"/>
      <c r="E2773" s="3"/>
    </row>
    <row r="2774">
      <c r="B2774" s="3"/>
      <c r="C2774" s="3"/>
      <c r="D2774" s="3"/>
      <c r="E2774" s="3"/>
    </row>
    <row r="2775">
      <c r="B2775" s="3"/>
      <c r="C2775" s="3"/>
      <c r="D2775" s="3"/>
      <c r="E2775" s="3"/>
    </row>
    <row r="2776">
      <c r="B2776" s="3"/>
      <c r="C2776" s="3"/>
      <c r="D2776" s="3"/>
      <c r="E2776" s="3"/>
    </row>
    <row r="2777">
      <c r="B2777" s="3"/>
      <c r="C2777" s="3"/>
      <c r="D2777" s="3"/>
      <c r="E2777" s="3"/>
    </row>
    <row r="2778">
      <c r="B2778" s="3"/>
      <c r="C2778" s="3"/>
      <c r="D2778" s="3"/>
      <c r="E2778" s="3"/>
    </row>
    <row r="2779">
      <c r="B2779" s="3"/>
      <c r="C2779" s="3"/>
      <c r="D2779" s="3"/>
      <c r="E2779" s="3"/>
    </row>
    <row r="2780">
      <c r="B2780" s="3"/>
      <c r="C2780" s="3"/>
      <c r="D2780" s="3"/>
      <c r="E2780" s="3"/>
    </row>
    <row r="2781">
      <c r="B2781" s="3"/>
      <c r="C2781" s="3"/>
      <c r="D2781" s="3"/>
      <c r="E2781" s="3"/>
    </row>
    <row r="2782">
      <c r="B2782" s="3"/>
      <c r="C2782" s="3"/>
      <c r="D2782" s="3"/>
      <c r="E2782" s="3"/>
    </row>
    <row r="2783">
      <c r="B2783" s="3"/>
      <c r="C2783" s="3"/>
      <c r="D2783" s="3"/>
      <c r="E2783" s="3"/>
    </row>
    <row r="2784">
      <c r="B2784" s="3"/>
      <c r="C2784" s="3"/>
      <c r="D2784" s="3"/>
      <c r="E2784" s="3"/>
    </row>
    <row r="2785">
      <c r="B2785" s="3"/>
      <c r="C2785" s="3"/>
      <c r="D2785" s="3"/>
      <c r="E2785" s="3"/>
    </row>
    <row r="2786">
      <c r="B2786" s="3"/>
      <c r="C2786" s="3"/>
      <c r="D2786" s="3"/>
      <c r="E2786" s="3"/>
    </row>
    <row r="2787">
      <c r="B2787" s="3"/>
      <c r="C2787" s="3"/>
      <c r="D2787" s="3"/>
      <c r="E2787" s="3"/>
    </row>
    <row r="2788">
      <c r="B2788" s="3"/>
      <c r="C2788" s="3"/>
      <c r="D2788" s="3"/>
      <c r="E2788" s="3"/>
    </row>
    <row r="2789">
      <c r="B2789" s="3"/>
      <c r="C2789" s="3"/>
      <c r="D2789" s="3"/>
      <c r="E2789" s="3"/>
    </row>
    <row r="2790">
      <c r="B2790" s="3"/>
      <c r="C2790" s="3"/>
      <c r="D2790" s="3"/>
      <c r="E2790" s="3"/>
    </row>
    <row r="2791">
      <c r="B2791" s="3"/>
      <c r="C2791" s="3"/>
      <c r="D2791" s="3"/>
      <c r="E2791" s="3"/>
    </row>
    <row r="2792">
      <c r="B2792" s="3"/>
      <c r="C2792" s="3"/>
      <c r="D2792" s="3"/>
      <c r="E2792" s="3"/>
    </row>
    <row r="2793">
      <c r="B2793" s="3"/>
      <c r="C2793" s="3"/>
      <c r="D2793" s="3"/>
      <c r="E2793" s="3"/>
    </row>
    <row r="2794">
      <c r="B2794" s="3"/>
      <c r="C2794" s="3"/>
      <c r="D2794" s="3"/>
      <c r="E2794" s="3"/>
    </row>
    <row r="2795">
      <c r="B2795" s="3"/>
      <c r="C2795" s="3"/>
      <c r="D2795" s="3"/>
      <c r="E2795" s="3"/>
    </row>
    <row r="2796">
      <c r="B2796" s="3"/>
      <c r="C2796" s="3"/>
      <c r="D2796" s="3"/>
      <c r="E2796" s="3"/>
    </row>
    <row r="2797">
      <c r="B2797" s="3"/>
      <c r="C2797" s="3"/>
      <c r="D2797" s="3"/>
      <c r="E2797" s="3"/>
    </row>
    <row r="2798">
      <c r="B2798" s="3"/>
      <c r="C2798" s="3"/>
      <c r="D2798" s="3"/>
      <c r="E2798" s="3"/>
    </row>
    <row r="2799">
      <c r="B2799" s="3"/>
      <c r="C2799" s="3"/>
      <c r="D2799" s="3"/>
      <c r="E2799" s="3"/>
    </row>
    <row r="2800">
      <c r="B2800" s="3"/>
      <c r="C2800" s="3"/>
      <c r="D2800" s="3"/>
      <c r="E2800" s="3"/>
    </row>
    <row r="2801">
      <c r="B2801" s="3"/>
      <c r="C2801" s="3"/>
      <c r="D2801" s="3"/>
      <c r="E2801" s="3"/>
    </row>
    <row r="2802">
      <c r="B2802" s="3"/>
      <c r="C2802" s="3"/>
      <c r="D2802" s="3"/>
      <c r="E2802" s="3"/>
    </row>
    <row r="2803">
      <c r="B2803" s="3"/>
      <c r="C2803" s="3"/>
      <c r="D2803" s="3"/>
      <c r="E2803" s="3"/>
    </row>
    <row r="2804">
      <c r="B2804" s="3"/>
      <c r="C2804" s="3"/>
      <c r="D2804" s="3"/>
      <c r="E2804" s="3"/>
    </row>
    <row r="2805">
      <c r="B2805" s="3"/>
      <c r="C2805" s="3"/>
      <c r="D2805" s="3"/>
      <c r="E2805" s="3"/>
    </row>
    <row r="2806">
      <c r="B2806" s="3"/>
      <c r="C2806" s="3"/>
      <c r="D2806" s="3"/>
      <c r="E2806" s="3"/>
    </row>
    <row r="2807">
      <c r="B2807" s="3"/>
      <c r="C2807" s="3"/>
      <c r="D2807" s="3"/>
      <c r="E2807" s="3"/>
    </row>
    <row r="2808">
      <c r="B2808" s="3"/>
      <c r="C2808" s="3"/>
      <c r="D2808" s="3"/>
      <c r="E2808" s="3"/>
    </row>
    <row r="2809">
      <c r="B2809" s="3"/>
      <c r="C2809" s="3"/>
      <c r="D2809" s="3"/>
      <c r="E2809" s="3"/>
    </row>
    <row r="2810">
      <c r="B2810" s="3"/>
      <c r="C2810" s="3"/>
      <c r="D2810" s="3"/>
      <c r="E2810" s="3"/>
    </row>
    <row r="2811">
      <c r="B2811" s="3"/>
      <c r="C2811" s="3"/>
      <c r="D2811" s="3"/>
      <c r="E2811" s="3"/>
    </row>
    <row r="2812">
      <c r="B2812" s="3"/>
      <c r="C2812" s="3"/>
      <c r="D2812" s="3"/>
      <c r="E2812" s="3"/>
    </row>
    <row r="2813">
      <c r="B2813" s="3"/>
      <c r="C2813" s="3"/>
      <c r="D2813" s="3"/>
      <c r="E2813" s="3"/>
    </row>
    <row r="2814">
      <c r="B2814" s="3"/>
      <c r="C2814" s="3"/>
      <c r="D2814" s="3"/>
      <c r="E2814" s="3"/>
    </row>
    <row r="2815">
      <c r="B2815" s="3"/>
      <c r="C2815" s="3"/>
      <c r="D2815" s="3"/>
      <c r="E2815" s="3"/>
    </row>
    <row r="2816">
      <c r="B2816" s="3"/>
      <c r="C2816" s="3"/>
      <c r="D2816" s="3"/>
      <c r="E2816" s="3"/>
    </row>
    <row r="2817">
      <c r="B2817" s="3"/>
      <c r="C2817" s="3"/>
      <c r="D2817" s="3"/>
      <c r="E2817" s="3"/>
    </row>
    <row r="2818">
      <c r="B2818" s="3"/>
      <c r="C2818" s="3"/>
      <c r="D2818" s="3"/>
      <c r="E2818" s="3"/>
    </row>
    <row r="2819">
      <c r="B2819" s="3"/>
      <c r="C2819" s="3"/>
      <c r="D2819" s="3"/>
      <c r="E2819" s="3"/>
    </row>
    <row r="2820">
      <c r="B2820" s="3"/>
      <c r="C2820" s="3"/>
      <c r="D2820" s="3"/>
      <c r="E2820" s="3"/>
    </row>
    <row r="2821">
      <c r="B2821" s="3"/>
      <c r="C2821" s="3"/>
      <c r="D2821" s="3"/>
      <c r="E2821" s="3"/>
    </row>
    <row r="2822">
      <c r="B2822" s="3"/>
      <c r="C2822" s="3"/>
      <c r="D2822" s="3"/>
      <c r="E2822" s="3"/>
    </row>
    <row r="2823">
      <c r="B2823" s="3"/>
      <c r="C2823" s="3"/>
      <c r="D2823" s="3"/>
      <c r="E2823" s="3"/>
    </row>
    <row r="2824">
      <c r="B2824" s="3"/>
      <c r="C2824" s="3"/>
      <c r="D2824" s="3"/>
      <c r="E2824" s="3"/>
    </row>
    <row r="2825">
      <c r="B2825" s="3"/>
      <c r="C2825" s="3"/>
      <c r="D2825" s="3"/>
      <c r="E2825" s="3"/>
    </row>
    <row r="2826">
      <c r="B2826" s="3"/>
      <c r="C2826" s="3"/>
      <c r="D2826" s="3"/>
      <c r="E2826" s="3"/>
    </row>
    <row r="2827">
      <c r="B2827" s="3"/>
      <c r="C2827" s="3"/>
      <c r="D2827" s="3"/>
      <c r="E2827" s="3"/>
    </row>
    <row r="2828">
      <c r="B2828" s="3"/>
      <c r="C2828" s="3"/>
      <c r="D2828" s="3"/>
      <c r="E2828" s="3"/>
    </row>
    <row r="2829">
      <c r="B2829" s="3"/>
      <c r="C2829" s="3"/>
      <c r="D2829" s="3"/>
      <c r="E2829" s="3"/>
    </row>
    <row r="2830">
      <c r="B2830" s="3"/>
      <c r="C2830" s="3"/>
      <c r="D2830" s="3"/>
      <c r="E2830" s="3"/>
    </row>
    <row r="2831">
      <c r="B2831" s="3"/>
      <c r="C2831" s="3"/>
      <c r="D2831" s="3"/>
      <c r="E2831" s="3"/>
    </row>
    <row r="2832">
      <c r="B2832" s="3"/>
      <c r="C2832" s="3"/>
      <c r="D2832" s="3"/>
      <c r="E2832" s="3"/>
    </row>
    <row r="2833">
      <c r="B2833" s="3"/>
      <c r="C2833" s="3"/>
      <c r="D2833" s="3"/>
      <c r="E2833" s="3"/>
    </row>
    <row r="2834">
      <c r="B2834" s="3"/>
      <c r="C2834" s="3"/>
      <c r="D2834" s="3"/>
      <c r="E2834" s="3"/>
    </row>
    <row r="2835">
      <c r="B2835" s="3"/>
      <c r="C2835" s="3"/>
      <c r="D2835" s="3"/>
      <c r="E2835" s="3"/>
    </row>
    <row r="2836">
      <c r="B2836" s="3"/>
      <c r="C2836" s="3"/>
      <c r="D2836" s="3"/>
      <c r="E2836" s="3"/>
    </row>
    <row r="2837">
      <c r="B2837" s="3"/>
      <c r="C2837" s="3"/>
      <c r="D2837" s="3"/>
      <c r="E2837" s="3"/>
    </row>
    <row r="2838">
      <c r="B2838" s="3"/>
      <c r="C2838" s="3"/>
      <c r="D2838" s="3"/>
      <c r="E2838" s="3"/>
    </row>
    <row r="2839">
      <c r="B2839" s="3"/>
      <c r="C2839" s="3"/>
      <c r="D2839" s="3"/>
      <c r="E2839" s="3"/>
    </row>
    <row r="2840">
      <c r="B2840" s="3"/>
      <c r="C2840" s="3"/>
      <c r="D2840" s="3"/>
      <c r="E2840" s="3"/>
    </row>
    <row r="2841">
      <c r="B2841" s="3"/>
      <c r="C2841" s="3"/>
      <c r="D2841" s="3"/>
      <c r="E2841" s="3"/>
    </row>
    <row r="2842">
      <c r="B2842" s="3"/>
      <c r="C2842" s="3"/>
      <c r="D2842" s="3"/>
      <c r="E2842" s="3"/>
    </row>
    <row r="2843">
      <c r="B2843" s="3"/>
      <c r="C2843" s="3"/>
      <c r="D2843" s="3"/>
      <c r="E2843" s="3"/>
    </row>
    <row r="2844">
      <c r="B2844" s="3"/>
      <c r="C2844" s="3"/>
      <c r="D2844" s="3"/>
      <c r="E2844" s="3"/>
    </row>
    <row r="2845">
      <c r="B2845" s="3"/>
      <c r="C2845" s="3"/>
      <c r="D2845" s="3"/>
      <c r="E2845" s="3"/>
    </row>
    <row r="2846">
      <c r="B2846" s="3"/>
      <c r="C2846" s="3"/>
      <c r="D2846" s="3"/>
      <c r="E2846" s="3"/>
    </row>
    <row r="2847">
      <c r="B2847" s="3"/>
      <c r="C2847" s="3"/>
      <c r="D2847" s="3"/>
      <c r="E2847" s="3"/>
    </row>
    <row r="2848">
      <c r="B2848" s="3"/>
      <c r="C2848" s="3"/>
      <c r="D2848" s="3"/>
      <c r="E2848" s="3"/>
    </row>
    <row r="2849">
      <c r="B2849" s="3"/>
      <c r="C2849" s="3"/>
      <c r="D2849" s="3"/>
      <c r="E2849" s="3"/>
    </row>
    <row r="2850">
      <c r="B2850" s="3"/>
      <c r="C2850" s="3"/>
      <c r="D2850" s="3"/>
      <c r="E2850" s="3"/>
    </row>
    <row r="2851">
      <c r="B2851" s="3"/>
      <c r="C2851" s="3"/>
      <c r="D2851" s="3"/>
      <c r="E2851" s="3"/>
    </row>
    <row r="2852">
      <c r="B2852" s="3"/>
      <c r="C2852" s="3"/>
      <c r="D2852" s="3"/>
      <c r="E2852" s="3"/>
    </row>
    <row r="2853">
      <c r="B2853" s="3"/>
      <c r="C2853" s="3"/>
      <c r="D2853" s="3"/>
      <c r="E2853" s="3"/>
    </row>
    <row r="2854">
      <c r="B2854" s="3"/>
      <c r="C2854" s="3"/>
      <c r="D2854" s="3"/>
      <c r="E2854" s="3"/>
    </row>
    <row r="2855">
      <c r="B2855" s="3"/>
      <c r="C2855" s="3"/>
      <c r="D2855" s="3"/>
      <c r="E2855" s="3"/>
    </row>
    <row r="2856">
      <c r="B2856" s="3"/>
      <c r="C2856" s="3"/>
      <c r="D2856" s="3"/>
      <c r="E2856" s="3"/>
    </row>
    <row r="2857">
      <c r="B2857" s="3"/>
      <c r="C2857" s="3"/>
      <c r="D2857" s="3"/>
      <c r="E2857" s="3"/>
    </row>
    <row r="2858">
      <c r="B2858" s="3"/>
      <c r="C2858" s="3"/>
      <c r="D2858" s="3"/>
      <c r="E2858" s="3"/>
    </row>
    <row r="2859">
      <c r="B2859" s="3"/>
      <c r="C2859" s="3"/>
      <c r="D2859" s="3"/>
      <c r="E2859" s="3"/>
    </row>
    <row r="2860">
      <c r="B2860" s="3"/>
      <c r="C2860" s="3"/>
      <c r="D2860" s="3"/>
      <c r="E2860" s="3"/>
    </row>
    <row r="2861">
      <c r="B2861" s="3"/>
      <c r="C2861" s="3"/>
      <c r="D2861" s="3"/>
      <c r="E2861" s="3"/>
    </row>
    <row r="2862">
      <c r="B2862" s="3"/>
      <c r="C2862" s="3"/>
      <c r="D2862" s="3"/>
      <c r="E2862" s="3"/>
    </row>
    <row r="2863">
      <c r="B2863" s="3"/>
      <c r="C2863" s="3"/>
      <c r="D2863" s="3"/>
      <c r="E2863" s="3"/>
    </row>
    <row r="2864">
      <c r="B2864" s="3"/>
      <c r="C2864" s="3"/>
      <c r="D2864" s="3"/>
      <c r="E2864" s="3"/>
    </row>
    <row r="2865">
      <c r="B2865" s="3"/>
      <c r="C2865" s="3"/>
      <c r="D2865" s="3"/>
      <c r="E2865" s="3"/>
    </row>
    <row r="2866">
      <c r="B2866" s="3"/>
      <c r="C2866" s="3"/>
      <c r="D2866" s="3"/>
      <c r="E2866" s="3"/>
    </row>
    <row r="2867">
      <c r="B2867" s="3"/>
      <c r="C2867" s="3"/>
      <c r="D2867" s="3"/>
      <c r="E2867" s="3"/>
    </row>
    <row r="2868">
      <c r="B2868" s="3"/>
      <c r="C2868" s="3"/>
      <c r="D2868" s="3"/>
      <c r="E2868" s="3"/>
    </row>
    <row r="2869">
      <c r="B2869" s="3"/>
      <c r="C2869" s="3"/>
      <c r="D2869" s="3"/>
      <c r="E2869" s="3"/>
    </row>
    <row r="2870">
      <c r="B2870" s="3"/>
      <c r="C2870" s="3"/>
      <c r="D2870" s="3"/>
      <c r="E2870" s="3"/>
    </row>
    <row r="2871">
      <c r="B2871" s="3"/>
      <c r="C2871" s="3"/>
      <c r="D2871" s="3"/>
      <c r="E2871" s="3"/>
    </row>
    <row r="2872">
      <c r="B2872" s="3"/>
      <c r="C2872" s="3"/>
      <c r="D2872" s="3"/>
      <c r="E2872" s="3"/>
    </row>
    <row r="2873">
      <c r="B2873" s="3"/>
      <c r="C2873" s="3"/>
      <c r="D2873" s="3"/>
      <c r="E2873" s="3"/>
    </row>
    <row r="2874">
      <c r="B2874" s="3"/>
      <c r="C2874" s="3"/>
      <c r="D2874" s="3"/>
      <c r="E2874" s="3"/>
    </row>
    <row r="2875">
      <c r="B2875" s="3"/>
      <c r="C2875" s="3"/>
      <c r="D2875" s="3"/>
      <c r="E2875" s="3"/>
    </row>
    <row r="2876">
      <c r="B2876" s="3"/>
      <c r="C2876" s="3"/>
      <c r="D2876" s="3"/>
      <c r="E2876" s="3"/>
    </row>
    <row r="2877">
      <c r="B2877" s="3"/>
      <c r="C2877" s="3"/>
      <c r="D2877" s="3"/>
      <c r="E2877" s="3"/>
    </row>
    <row r="2878">
      <c r="B2878" s="3"/>
      <c r="C2878" s="3"/>
      <c r="D2878" s="3"/>
      <c r="E2878" s="3"/>
    </row>
    <row r="2879">
      <c r="B2879" s="3"/>
      <c r="C2879" s="3"/>
      <c r="D2879" s="3"/>
      <c r="E2879" s="3"/>
    </row>
    <row r="2880">
      <c r="B2880" s="3"/>
      <c r="C2880" s="3"/>
      <c r="D2880" s="3"/>
      <c r="E2880" s="3"/>
    </row>
    <row r="2881">
      <c r="B2881" s="3"/>
      <c r="C2881" s="3"/>
      <c r="D2881" s="3"/>
      <c r="E2881" s="3"/>
    </row>
    <row r="2882">
      <c r="B2882" s="3"/>
      <c r="C2882" s="3"/>
      <c r="D2882" s="3"/>
      <c r="E2882" s="3"/>
    </row>
    <row r="2883">
      <c r="B2883" s="3"/>
      <c r="C2883" s="3"/>
      <c r="D2883" s="3"/>
      <c r="E2883" s="3"/>
    </row>
    <row r="2884">
      <c r="B2884" s="3"/>
      <c r="C2884" s="3"/>
      <c r="D2884" s="3"/>
      <c r="E2884" s="3"/>
    </row>
    <row r="2885">
      <c r="B2885" s="3"/>
      <c r="C2885" s="3"/>
      <c r="D2885" s="3"/>
      <c r="E2885" s="3"/>
    </row>
    <row r="2886">
      <c r="B2886" s="3"/>
      <c r="C2886" s="3"/>
      <c r="D2886" s="3"/>
      <c r="E2886" s="3"/>
    </row>
    <row r="2887">
      <c r="B2887" s="3"/>
      <c r="C2887" s="3"/>
      <c r="D2887" s="3"/>
      <c r="E2887" s="3"/>
    </row>
    <row r="2888">
      <c r="B2888" s="3"/>
      <c r="C2888" s="3"/>
      <c r="D2888" s="3"/>
      <c r="E2888" s="3"/>
    </row>
    <row r="2889">
      <c r="B2889" s="3"/>
      <c r="C2889" s="3"/>
      <c r="D2889" s="3"/>
      <c r="E2889" s="3"/>
    </row>
    <row r="2890">
      <c r="B2890" s="3"/>
      <c r="C2890" s="3"/>
      <c r="D2890" s="3"/>
      <c r="E2890" s="3"/>
    </row>
    <row r="2891">
      <c r="B2891" s="3"/>
      <c r="C2891" s="3"/>
      <c r="D2891" s="3"/>
      <c r="E2891" s="3"/>
    </row>
    <row r="2892">
      <c r="B2892" s="3"/>
      <c r="C2892" s="3"/>
      <c r="D2892" s="3"/>
      <c r="E2892" s="3"/>
    </row>
    <row r="2893">
      <c r="B2893" s="3"/>
      <c r="C2893" s="3"/>
      <c r="D2893" s="3"/>
      <c r="E2893" s="3"/>
    </row>
    <row r="2894">
      <c r="B2894" s="3"/>
      <c r="C2894" s="3"/>
      <c r="D2894" s="3"/>
      <c r="E2894" s="3"/>
    </row>
    <row r="2895">
      <c r="B2895" s="3"/>
      <c r="C2895" s="3"/>
      <c r="D2895" s="3"/>
      <c r="E2895" s="3"/>
    </row>
    <row r="2896">
      <c r="B2896" s="3"/>
      <c r="C2896" s="3"/>
      <c r="D2896" s="3"/>
      <c r="E2896" s="3"/>
    </row>
    <row r="2897">
      <c r="B2897" s="3"/>
      <c r="C2897" s="3"/>
      <c r="D2897" s="3"/>
      <c r="E2897" s="3"/>
    </row>
    <row r="2898">
      <c r="B2898" s="3"/>
      <c r="C2898" s="3"/>
      <c r="D2898" s="3"/>
      <c r="E2898" s="3"/>
    </row>
    <row r="2899">
      <c r="B2899" s="3"/>
      <c r="C2899" s="3"/>
      <c r="D2899" s="3"/>
      <c r="E2899" s="3"/>
    </row>
    <row r="2900">
      <c r="B2900" s="3"/>
      <c r="C2900" s="3"/>
      <c r="D2900" s="3"/>
      <c r="E2900" s="3"/>
    </row>
    <row r="2901">
      <c r="B2901" s="3"/>
      <c r="C2901" s="3"/>
      <c r="D2901" s="3"/>
      <c r="E2901" s="3"/>
    </row>
    <row r="2902">
      <c r="B2902" s="3"/>
      <c r="C2902" s="3"/>
      <c r="D2902" s="3"/>
      <c r="E2902" s="3"/>
    </row>
    <row r="2903">
      <c r="B2903" s="3"/>
      <c r="C2903" s="3"/>
      <c r="D2903" s="3"/>
      <c r="E2903" s="3"/>
    </row>
    <row r="2904">
      <c r="B2904" s="3"/>
      <c r="C2904" s="3"/>
      <c r="D2904" s="3"/>
      <c r="E2904" s="3"/>
    </row>
    <row r="2905">
      <c r="B2905" s="3"/>
      <c r="C2905" s="3"/>
      <c r="D2905" s="3"/>
      <c r="E2905" s="3"/>
    </row>
    <row r="2906">
      <c r="B2906" s="3"/>
      <c r="C2906" s="3"/>
      <c r="D2906" s="3"/>
      <c r="E2906" s="3"/>
    </row>
    <row r="2907">
      <c r="B2907" s="3"/>
      <c r="C2907" s="3"/>
      <c r="D2907" s="3"/>
      <c r="E2907" s="3"/>
    </row>
    <row r="2908">
      <c r="B2908" s="3"/>
      <c r="C2908" s="3"/>
      <c r="D2908" s="3"/>
      <c r="E2908" s="3"/>
    </row>
    <row r="2909">
      <c r="B2909" s="3"/>
      <c r="C2909" s="3"/>
      <c r="D2909" s="3"/>
      <c r="E2909" s="3"/>
    </row>
    <row r="2910">
      <c r="B2910" s="3"/>
      <c r="C2910" s="3"/>
      <c r="D2910" s="3"/>
      <c r="E2910" s="3"/>
    </row>
    <row r="2911">
      <c r="B2911" s="3"/>
      <c r="C2911" s="3"/>
      <c r="D2911" s="3"/>
      <c r="E2911" s="3"/>
    </row>
    <row r="2912">
      <c r="B2912" s="3"/>
      <c r="C2912" s="3"/>
      <c r="D2912" s="3"/>
      <c r="E2912" s="3"/>
    </row>
    <row r="2913">
      <c r="B2913" s="3"/>
      <c r="C2913" s="3"/>
      <c r="D2913" s="3"/>
      <c r="E2913" s="3"/>
    </row>
    <row r="2914">
      <c r="B2914" s="3"/>
      <c r="C2914" s="3"/>
      <c r="D2914" s="3"/>
      <c r="E2914" s="3"/>
    </row>
    <row r="2915">
      <c r="B2915" s="3"/>
      <c r="C2915" s="3"/>
      <c r="D2915" s="3"/>
      <c r="E2915" s="3"/>
    </row>
    <row r="2916">
      <c r="B2916" s="3"/>
      <c r="C2916" s="3"/>
      <c r="D2916" s="3"/>
      <c r="E2916" s="3"/>
    </row>
    <row r="2917">
      <c r="B2917" s="3"/>
      <c r="C2917" s="3"/>
      <c r="D2917" s="3"/>
      <c r="E2917" s="3"/>
    </row>
    <row r="2918">
      <c r="B2918" s="3"/>
      <c r="C2918" s="3"/>
      <c r="D2918" s="3"/>
      <c r="E2918" s="3"/>
    </row>
    <row r="2919">
      <c r="B2919" s="3"/>
      <c r="C2919" s="3"/>
      <c r="D2919" s="3"/>
      <c r="E2919" s="3"/>
    </row>
    <row r="2920">
      <c r="B2920" s="3"/>
      <c r="C2920" s="3"/>
      <c r="D2920" s="3"/>
      <c r="E2920" s="3"/>
    </row>
    <row r="2921">
      <c r="B2921" s="3"/>
      <c r="C2921" s="3"/>
      <c r="D2921" s="3"/>
      <c r="E2921" s="3"/>
    </row>
    <row r="2922">
      <c r="B2922" s="3"/>
      <c r="C2922" s="3"/>
      <c r="D2922" s="3"/>
      <c r="E2922" s="3"/>
    </row>
    <row r="2923">
      <c r="B2923" s="3"/>
      <c r="C2923" s="3"/>
      <c r="D2923" s="3"/>
      <c r="E2923" s="3"/>
    </row>
    <row r="2924">
      <c r="B2924" s="3"/>
      <c r="C2924" s="3"/>
      <c r="D2924" s="3"/>
      <c r="E2924" s="3"/>
    </row>
    <row r="2925">
      <c r="B2925" s="3"/>
      <c r="C2925" s="3"/>
      <c r="D2925" s="3"/>
      <c r="E2925" s="3"/>
    </row>
    <row r="2926">
      <c r="B2926" s="3"/>
      <c r="C2926" s="3"/>
      <c r="D2926" s="3"/>
      <c r="E2926" s="3"/>
    </row>
    <row r="2927">
      <c r="B2927" s="3"/>
      <c r="C2927" s="3"/>
      <c r="D2927" s="3"/>
      <c r="E2927" s="3"/>
    </row>
    <row r="2928">
      <c r="B2928" s="3"/>
      <c r="C2928" s="3"/>
      <c r="D2928" s="3"/>
      <c r="E2928" s="3"/>
    </row>
    <row r="2929">
      <c r="B2929" s="3"/>
      <c r="C2929" s="3"/>
      <c r="D2929" s="3"/>
      <c r="E2929" s="3"/>
    </row>
    <row r="2930">
      <c r="B2930" s="3"/>
      <c r="C2930" s="3"/>
      <c r="D2930" s="3"/>
      <c r="E2930" s="3"/>
    </row>
    <row r="2931">
      <c r="B2931" s="3"/>
      <c r="C2931" s="3"/>
      <c r="D2931" s="3"/>
      <c r="E2931" s="3"/>
    </row>
    <row r="2932">
      <c r="B2932" s="3"/>
      <c r="C2932" s="3"/>
      <c r="D2932" s="3"/>
      <c r="E2932" s="3"/>
    </row>
    <row r="2933">
      <c r="B2933" s="3"/>
      <c r="C2933" s="3"/>
      <c r="D2933" s="3"/>
      <c r="E2933" s="3"/>
    </row>
    <row r="2934">
      <c r="B2934" s="3"/>
      <c r="C2934" s="3"/>
      <c r="D2934" s="3"/>
      <c r="E2934" s="3"/>
    </row>
    <row r="2935">
      <c r="B2935" s="3"/>
      <c r="C2935" s="3"/>
      <c r="D2935" s="3"/>
      <c r="E2935" s="3"/>
    </row>
    <row r="2936">
      <c r="B2936" s="3"/>
      <c r="C2936" s="3"/>
      <c r="D2936" s="3"/>
      <c r="E2936" s="3"/>
    </row>
    <row r="2937">
      <c r="B2937" s="3"/>
      <c r="C2937" s="3"/>
      <c r="D2937" s="3"/>
      <c r="E2937" s="3"/>
    </row>
    <row r="2938">
      <c r="B2938" s="3"/>
      <c r="C2938" s="3"/>
      <c r="D2938" s="3"/>
      <c r="E2938" s="3"/>
    </row>
    <row r="2939">
      <c r="B2939" s="3"/>
      <c r="C2939" s="3"/>
      <c r="D2939" s="3"/>
      <c r="E2939" s="3"/>
    </row>
    <row r="2940">
      <c r="B2940" s="3"/>
      <c r="C2940" s="3"/>
      <c r="D2940" s="3"/>
      <c r="E2940" s="3"/>
    </row>
    <row r="2941">
      <c r="B2941" s="3"/>
      <c r="C2941" s="3"/>
      <c r="D2941" s="3"/>
      <c r="E2941" s="3"/>
    </row>
    <row r="2942">
      <c r="B2942" s="3"/>
      <c r="C2942" s="3"/>
      <c r="D2942" s="3"/>
      <c r="E2942" s="3"/>
    </row>
    <row r="2943">
      <c r="B2943" s="3"/>
      <c r="C2943" s="3"/>
      <c r="D2943" s="3"/>
      <c r="E2943" s="3"/>
    </row>
    <row r="2944">
      <c r="B2944" s="3"/>
      <c r="C2944" s="3"/>
      <c r="D2944" s="3"/>
      <c r="E2944" s="3"/>
    </row>
    <row r="2945">
      <c r="B2945" s="3"/>
      <c r="C2945" s="3"/>
      <c r="D2945" s="3"/>
      <c r="E2945" s="3"/>
    </row>
    <row r="2946">
      <c r="B2946" s="3"/>
      <c r="C2946" s="3"/>
      <c r="D2946" s="3"/>
      <c r="E2946" s="3"/>
    </row>
    <row r="2947">
      <c r="B2947" s="3"/>
      <c r="C2947" s="3"/>
      <c r="D2947" s="3"/>
      <c r="E2947" s="3"/>
    </row>
    <row r="2948">
      <c r="B2948" s="3"/>
      <c r="C2948" s="3"/>
      <c r="D2948" s="3"/>
      <c r="E2948" s="3"/>
    </row>
    <row r="2949">
      <c r="B2949" s="3"/>
      <c r="C2949" s="3"/>
      <c r="D2949" s="3"/>
      <c r="E2949" s="3"/>
    </row>
    <row r="2950">
      <c r="B2950" s="3"/>
      <c r="C2950" s="3"/>
      <c r="D2950" s="3"/>
      <c r="E2950" s="3"/>
    </row>
    <row r="2951">
      <c r="B2951" s="3"/>
      <c r="C2951" s="3"/>
      <c r="D2951" s="3"/>
      <c r="E2951" s="3"/>
    </row>
    <row r="2952">
      <c r="B2952" s="3"/>
      <c r="C2952" s="3"/>
      <c r="D2952" s="3"/>
      <c r="E2952" s="3"/>
    </row>
    <row r="2953">
      <c r="B2953" s="3"/>
      <c r="C2953" s="3"/>
      <c r="D2953" s="3"/>
      <c r="E2953" s="3"/>
    </row>
    <row r="2954">
      <c r="B2954" s="3"/>
      <c r="C2954" s="3"/>
      <c r="D2954" s="3"/>
      <c r="E2954" s="3"/>
    </row>
    <row r="2955">
      <c r="B2955" s="3"/>
      <c r="C2955" s="3"/>
      <c r="D2955" s="3"/>
      <c r="E2955" s="3"/>
    </row>
    <row r="2956">
      <c r="B2956" s="3"/>
      <c r="C2956" s="3"/>
      <c r="D2956" s="3"/>
      <c r="E2956" s="3"/>
    </row>
    <row r="2957">
      <c r="B2957" s="3"/>
      <c r="C2957" s="3"/>
      <c r="D2957" s="3"/>
      <c r="E2957" s="3"/>
    </row>
    <row r="2958">
      <c r="B2958" s="3"/>
      <c r="C2958" s="3"/>
      <c r="D2958" s="3"/>
      <c r="E2958" s="3"/>
    </row>
    <row r="2959">
      <c r="B2959" s="3"/>
      <c r="C2959" s="3"/>
      <c r="D2959" s="3"/>
      <c r="E2959" s="3"/>
    </row>
    <row r="2960">
      <c r="B2960" s="3"/>
      <c r="C2960" s="3"/>
      <c r="D2960" s="3"/>
      <c r="E2960" s="3"/>
    </row>
    <row r="2961">
      <c r="B2961" s="3"/>
      <c r="C2961" s="3"/>
      <c r="D2961" s="3"/>
      <c r="E2961" s="3"/>
    </row>
    <row r="2962">
      <c r="B2962" s="3"/>
      <c r="C2962" s="3"/>
      <c r="D2962" s="3"/>
      <c r="E2962" s="3"/>
    </row>
    <row r="2963">
      <c r="B2963" s="3"/>
      <c r="C2963" s="3"/>
      <c r="D2963" s="3"/>
      <c r="E2963" s="3"/>
    </row>
    <row r="2964">
      <c r="B2964" s="3"/>
      <c r="C2964" s="3"/>
      <c r="D2964" s="3"/>
      <c r="E2964" s="3"/>
    </row>
    <row r="2965">
      <c r="B2965" s="3"/>
      <c r="C2965" s="3"/>
      <c r="D2965" s="3"/>
      <c r="E2965" s="3"/>
    </row>
    <row r="2966">
      <c r="B2966" s="3"/>
      <c r="C2966" s="3"/>
      <c r="D2966" s="3"/>
      <c r="E2966" s="3"/>
    </row>
    <row r="2967">
      <c r="B2967" s="3"/>
      <c r="C2967" s="3"/>
      <c r="D2967" s="3"/>
      <c r="E2967" s="3"/>
    </row>
    <row r="2968">
      <c r="B2968" s="3"/>
      <c r="C2968" s="3"/>
      <c r="D2968" s="3"/>
      <c r="E2968" s="3"/>
    </row>
    <row r="2969">
      <c r="B2969" s="3"/>
      <c r="C2969" s="3"/>
      <c r="D2969" s="3"/>
      <c r="E2969" s="3"/>
    </row>
    <row r="2970">
      <c r="B2970" s="3"/>
      <c r="C2970" s="3"/>
      <c r="D2970" s="3"/>
      <c r="E2970" s="3"/>
    </row>
    <row r="2971">
      <c r="B2971" s="3"/>
      <c r="C2971" s="3"/>
      <c r="D2971" s="3"/>
      <c r="E2971" s="3"/>
    </row>
    <row r="2972">
      <c r="B2972" s="3"/>
      <c r="C2972" s="3"/>
      <c r="D2972" s="3"/>
      <c r="E2972" s="3"/>
    </row>
    <row r="2973">
      <c r="B2973" s="3"/>
      <c r="C2973" s="3"/>
      <c r="D2973" s="3"/>
      <c r="E2973" s="3"/>
    </row>
    <row r="2974">
      <c r="B2974" s="3"/>
      <c r="C2974" s="3"/>
      <c r="D2974" s="3"/>
      <c r="E2974" s="3"/>
    </row>
    <row r="2975">
      <c r="B2975" s="3"/>
      <c r="C2975" s="3"/>
      <c r="D2975" s="3"/>
      <c r="E2975" s="3"/>
    </row>
    <row r="2976">
      <c r="B2976" s="3"/>
      <c r="C2976" s="3"/>
      <c r="D2976" s="3"/>
      <c r="E2976" s="3"/>
    </row>
    <row r="2977">
      <c r="B2977" s="3"/>
      <c r="C2977" s="3"/>
      <c r="D2977" s="3"/>
      <c r="E2977" s="3"/>
    </row>
    <row r="2978">
      <c r="B2978" s="3"/>
      <c r="C2978" s="3"/>
      <c r="D2978" s="3"/>
      <c r="E2978" s="3"/>
    </row>
    <row r="2979">
      <c r="B2979" s="3"/>
      <c r="C2979" s="3"/>
      <c r="D2979" s="3"/>
      <c r="E2979" s="3"/>
    </row>
    <row r="2980">
      <c r="B2980" s="3"/>
      <c r="C2980" s="3"/>
      <c r="D2980" s="3"/>
      <c r="E2980" s="3"/>
    </row>
    <row r="2981">
      <c r="B2981" s="3"/>
      <c r="C2981" s="3"/>
      <c r="D2981" s="3"/>
      <c r="E2981" s="3"/>
    </row>
    <row r="2982">
      <c r="B2982" s="3"/>
      <c r="C2982" s="3"/>
      <c r="D2982" s="3"/>
      <c r="E2982" s="3"/>
    </row>
    <row r="2983">
      <c r="B2983" s="3"/>
      <c r="C2983" s="3"/>
      <c r="D2983" s="3"/>
      <c r="E2983" s="3"/>
    </row>
    <row r="2984">
      <c r="B2984" s="3"/>
      <c r="C2984" s="3"/>
      <c r="D2984" s="3"/>
      <c r="E2984" s="3"/>
    </row>
    <row r="2985">
      <c r="B2985" s="3"/>
      <c r="C2985" s="3"/>
      <c r="D2985" s="3"/>
      <c r="E2985" s="3"/>
    </row>
    <row r="2986">
      <c r="B2986" s="3"/>
      <c r="C2986" s="3"/>
      <c r="D2986" s="3"/>
      <c r="E2986" s="3"/>
    </row>
    <row r="2987">
      <c r="B2987" s="3"/>
      <c r="C2987" s="3"/>
      <c r="D2987" s="3"/>
      <c r="E2987" s="3"/>
    </row>
    <row r="2988">
      <c r="B2988" s="3"/>
      <c r="C2988" s="3"/>
      <c r="D2988" s="3"/>
      <c r="E2988" s="3"/>
    </row>
    <row r="2989">
      <c r="B2989" s="3"/>
      <c r="C2989" s="3"/>
      <c r="D2989" s="3"/>
      <c r="E2989" s="3"/>
    </row>
    <row r="2990">
      <c r="B2990" s="3"/>
      <c r="C2990" s="3"/>
      <c r="D2990" s="3"/>
      <c r="E2990" s="3"/>
    </row>
    <row r="2991">
      <c r="B2991" s="3"/>
      <c r="C2991" s="3"/>
      <c r="D2991" s="3"/>
      <c r="E2991" s="3"/>
    </row>
    <row r="2992">
      <c r="B2992" s="3"/>
      <c r="C2992" s="3"/>
      <c r="D2992" s="3"/>
      <c r="E2992" s="3"/>
    </row>
    <row r="2993">
      <c r="B2993" s="3"/>
      <c r="C2993" s="3"/>
      <c r="D2993" s="3"/>
      <c r="E2993" s="3"/>
    </row>
    <row r="2994">
      <c r="B2994" s="3"/>
      <c r="C2994" s="3"/>
      <c r="D2994" s="3"/>
      <c r="E2994" s="3"/>
    </row>
    <row r="2995">
      <c r="B2995" s="3"/>
      <c r="C2995" s="3"/>
      <c r="D2995" s="3"/>
      <c r="E2995" s="3"/>
    </row>
    <row r="2996">
      <c r="B2996" s="3"/>
      <c r="C2996" s="3"/>
      <c r="D2996" s="3"/>
      <c r="E2996" s="3"/>
    </row>
    <row r="2997">
      <c r="B2997" s="3"/>
      <c r="C2997" s="3"/>
      <c r="D2997" s="3"/>
      <c r="E2997" s="3"/>
    </row>
    <row r="2998">
      <c r="B2998" s="3"/>
      <c r="C2998" s="3"/>
      <c r="D2998" s="3"/>
      <c r="E2998" s="3"/>
    </row>
    <row r="2999">
      <c r="B2999" s="3"/>
      <c r="C2999" s="3"/>
      <c r="D2999" s="3"/>
      <c r="E2999" s="3"/>
    </row>
    <row r="3000">
      <c r="B3000" s="3"/>
      <c r="C3000" s="3"/>
      <c r="D3000" s="3"/>
      <c r="E3000" s="3"/>
    </row>
    <row r="3001">
      <c r="B3001" s="3"/>
      <c r="C3001" s="3"/>
      <c r="D3001" s="3"/>
      <c r="E3001" s="3"/>
    </row>
    <row r="3002">
      <c r="B3002" s="3"/>
      <c r="C3002" s="3"/>
      <c r="D3002" s="3"/>
      <c r="E3002" s="3"/>
    </row>
    <row r="3003">
      <c r="B3003" s="3"/>
      <c r="C3003" s="3"/>
      <c r="D3003" s="3"/>
      <c r="E3003" s="3"/>
    </row>
    <row r="3004">
      <c r="B3004" s="3"/>
      <c r="C3004" s="3"/>
      <c r="D3004" s="3"/>
      <c r="E3004" s="3"/>
    </row>
    <row r="3005">
      <c r="B3005" s="3"/>
      <c r="C3005" s="3"/>
      <c r="D3005" s="3"/>
      <c r="E3005" s="3"/>
    </row>
    <row r="3006">
      <c r="B3006" s="3"/>
      <c r="C3006" s="3"/>
      <c r="D3006" s="3"/>
      <c r="E3006" s="3"/>
    </row>
    <row r="3007">
      <c r="B3007" s="3"/>
      <c r="C3007" s="3"/>
      <c r="D3007" s="3"/>
      <c r="E3007" s="3"/>
    </row>
    <row r="3008">
      <c r="B3008" s="3"/>
      <c r="C3008" s="3"/>
      <c r="D3008" s="3"/>
      <c r="E3008" s="3"/>
    </row>
    <row r="3009">
      <c r="B3009" s="3"/>
      <c r="C3009" s="3"/>
      <c r="D3009" s="3"/>
      <c r="E3009" s="3"/>
    </row>
    <row r="3010">
      <c r="B3010" s="3"/>
      <c r="C3010" s="3"/>
      <c r="D3010" s="3"/>
      <c r="E3010" s="3"/>
    </row>
    <row r="3011">
      <c r="B3011" s="3"/>
      <c r="C3011" s="3"/>
      <c r="D3011" s="3"/>
      <c r="E3011" s="3"/>
    </row>
    <row r="3012">
      <c r="B3012" s="3"/>
      <c r="C3012" s="3"/>
      <c r="D3012" s="3"/>
      <c r="E3012" s="3"/>
    </row>
    <row r="3013">
      <c r="B3013" s="3"/>
      <c r="C3013" s="3"/>
      <c r="D3013" s="3"/>
      <c r="E3013" s="3"/>
    </row>
    <row r="3014">
      <c r="B3014" s="3"/>
      <c r="C3014" s="3"/>
      <c r="D3014" s="3"/>
      <c r="E3014" s="3"/>
    </row>
    <row r="3015">
      <c r="B3015" s="3"/>
      <c r="C3015" s="3"/>
      <c r="D3015" s="3"/>
      <c r="E3015" s="3"/>
    </row>
    <row r="3016">
      <c r="B3016" s="3"/>
      <c r="C3016" s="3"/>
      <c r="D3016" s="3"/>
      <c r="E3016" s="3"/>
    </row>
    <row r="3017">
      <c r="B3017" s="3"/>
      <c r="C3017" s="3"/>
      <c r="D3017" s="3"/>
      <c r="E3017" s="3"/>
    </row>
    <row r="3018">
      <c r="B3018" s="3"/>
      <c r="C3018" s="3"/>
      <c r="D3018" s="3"/>
      <c r="E3018" s="3"/>
    </row>
    <row r="3019">
      <c r="B3019" s="3"/>
      <c r="C3019" s="3"/>
      <c r="D3019" s="3"/>
      <c r="E3019" s="3"/>
    </row>
    <row r="3020">
      <c r="B3020" s="3"/>
      <c r="C3020" s="3"/>
      <c r="D3020" s="3"/>
      <c r="E3020" s="3"/>
    </row>
    <row r="3021">
      <c r="B3021" s="3"/>
      <c r="C3021" s="3"/>
      <c r="D3021" s="3"/>
      <c r="E3021" s="3"/>
    </row>
    <row r="3022">
      <c r="B3022" s="3"/>
      <c r="C3022" s="3"/>
      <c r="D3022" s="3"/>
      <c r="E3022" s="3"/>
    </row>
    <row r="3023">
      <c r="B3023" s="3"/>
      <c r="C3023" s="3"/>
      <c r="D3023" s="3"/>
      <c r="E3023" s="3"/>
    </row>
    <row r="3024">
      <c r="B3024" s="3"/>
      <c r="C3024" s="3"/>
      <c r="D3024" s="3"/>
      <c r="E3024" s="3"/>
    </row>
    <row r="3025">
      <c r="B3025" s="3"/>
      <c r="C3025" s="3"/>
      <c r="D3025" s="3"/>
      <c r="E3025" s="3"/>
    </row>
    <row r="3026">
      <c r="B3026" s="3"/>
      <c r="C3026" s="3"/>
      <c r="D3026" s="3"/>
      <c r="E3026" s="3"/>
    </row>
    <row r="3027">
      <c r="B3027" s="3"/>
      <c r="C3027" s="3"/>
      <c r="D3027" s="3"/>
      <c r="E3027" s="3"/>
    </row>
    <row r="3028">
      <c r="B3028" s="3"/>
      <c r="C3028" s="3"/>
      <c r="D3028" s="3"/>
      <c r="E3028" s="3"/>
    </row>
    <row r="3029">
      <c r="B3029" s="3"/>
      <c r="C3029" s="3"/>
      <c r="D3029" s="3"/>
      <c r="E3029" s="3"/>
    </row>
    <row r="3030">
      <c r="B3030" s="3"/>
      <c r="C3030" s="3"/>
      <c r="D3030" s="3"/>
      <c r="E3030" s="3"/>
    </row>
    <row r="3031">
      <c r="B3031" s="3"/>
      <c r="C3031" s="3"/>
      <c r="D3031" s="3"/>
      <c r="E3031" s="3"/>
    </row>
    <row r="3032">
      <c r="B3032" s="3"/>
      <c r="C3032" s="3"/>
      <c r="D3032" s="3"/>
      <c r="E3032" s="3"/>
    </row>
    <row r="3033">
      <c r="B3033" s="3"/>
      <c r="C3033" s="3"/>
      <c r="D3033" s="3"/>
      <c r="E3033" s="3"/>
    </row>
    <row r="3034">
      <c r="B3034" s="3"/>
      <c r="C3034" s="3"/>
      <c r="D3034" s="3"/>
      <c r="E3034" s="3"/>
    </row>
    <row r="3035">
      <c r="B3035" s="3"/>
      <c r="C3035" s="3"/>
      <c r="D3035" s="3"/>
      <c r="E3035" s="3"/>
    </row>
    <row r="3036">
      <c r="B3036" s="3"/>
      <c r="C3036" s="3"/>
      <c r="D3036" s="3"/>
      <c r="E3036" s="3"/>
    </row>
    <row r="3037">
      <c r="B3037" s="3"/>
      <c r="C3037" s="3"/>
      <c r="D3037" s="3"/>
      <c r="E3037" s="3"/>
    </row>
    <row r="3038">
      <c r="B3038" s="3"/>
      <c r="C3038" s="3"/>
      <c r="D3038" s="3"/>
      <c r="E3038" s="3"/>
    </row>
    <row r="3039">
      <c r="B3039" s="3"/>
      <c r="C3039" s="3"/>
      <c r="D3039" s="3"/>
      <c r="E3039" s="3"/>
    </row>
    <row r="3040">
      <c r="B3040" s="3"/>
      <c r="C3040" s="3"/>
      <c r="D3040" s="3"/>
      <c r="E3040" s="3"/>
    </row>
    <row r="3041">
      <c r="B3041" s="3"/>
      <c r="C3041" s="3"/>
      <c r="D3041" s="3"/>
      <c r="E3041" s="3"/>
    </row>
    <row r="3042">
      <c r="B3042" s="3"/>
      <c r="C3042" s="3"/>
      <c r="D3042" s="3"/>
      <c r="E3042" s="3"/>
    </row>
    <row r="3043">
      <c r="B3043" s="3"/>
      <c r="C3043" s="3"/>
      <c r="D3043" s="3"/>
      <c r="E3043" s="3"/>
    </row>
    <row r="3044">
      <c r="B3044" s="3"/>
      <c r="C3044" s="3"/>
      <c r="D3044" s="3"/>
      <c r="E3044" s="3"/>
    </row>
    <row r="3045">
      <c r="B3045" s="3"/>
      <c r="C3045" s="3"/>
      <c r="D3045" s="3"/>
      <c r="E3045" s="3"/>
    </row>
    <row r="3046">
      <c r="B3046" s="3"/>
      <c r="C3046" s="3"/>
      <c r="D3046" s="3"/>
      <c r="E3046" s="3"/>
    </row>
    <row r="3047">
      <c r="B3047" s="3"/>
      <c r="C3047" s="3"/>
      <c r="D3047" s="3"/>
      <c r="E3047" s="3"/>
    </row>
    <row r="3048">
      <c r="B3048" s="3"/>
      <c r="C3048" s="3"/>
      <c r="D3048" s="3"/>
      <c r="E3048" s="3"/>
    </row>
    <row r="3049">
      <c r="B3049" s="3"/>
      <c r="C3049" s="3"/>
      <c r="D3049" s="3"/>
      <c r="E3049" s="3"/>
    </row>
    <row r="3050">
      <c r="B3050" s="3"/>
      <c r="C3050" s="3"/>
      <c r="D3050" s="3"/>
      <c r="E3050" s="3"/>
    </row>
    <row r="3051">
      <c r="B3051" s="3"/>
      <c r="C3051" s="3"/>
      <c r="D3051" s="3"/>
      <c r="E3051" s="3"/>
    </row>
    <row r="3052">
      <c r="B3052" s="3"/>
      <c r="C3052" s="3"/>
      <c r="D3052" s="3"/>
      <c r="E3052" s="3"/>
    </row>
    <row r="3053">
      <c r="B3053" s="3"/>
      <c r="C3053" s="3"/>
      <c r="D3053" s="3"/>
      <c r="E3053" s="3"/>
    </row>
    <row r="3054">
      <c r="B3054" s="3"/>
      <c r="C3054" s="3"/>
      <c r="D3054" s="3"/>
      <c r="E3054" s="3"/>
    </row>
    <row r="3055">
      <c r="B3055" s="3"/>
      <c r="C3055" s="3"/>
      <c r="D3055" s="3"/>
      <c r="E3055" s="3"/>
    </row>
    <row r="3056">
      <c r="B3056" s="3"/>
      <c r="C3056" s="3"/>
      <c r="D3056" s="3"/>
      <c r="E3056" s="3"/>
    </row>
    <row r="3057">
      <c r="B3057" s="3"/>
      <c r="C3057" s="3"/>
      <c r="D3057" s="3"/>
      <c r="E3057" s="3"/>
    </row>
    <row r="3058">
      <c r="B3058" s="3"/>
      <c r="C3058" s="3"/>
      <c r="D3058" s="3"/>
      <c r="E3058" s="3"/>
    </row>
    <row r="3059">
      <c r="B3059" s="3"/>
      <c r="C3059" s="3"/>
      <c r="D3059" s="3"/>
      <c r="E3059" s="3"/>
    </row>
    <row r="3060">
      <c r="B3060" s="3"/>
      <c r="C3060" s="3"/>
      <c r="D3060" s="3"/>
      <c r="E3060" s="3"/>
    </row>
    <row r="3061">
      <c r="B3061" s="3"/>
      <c r="C3061" s="3"/>
      <c r="D3061" s="3"/>
      <c r="E3061" s="3"/>
    </row>
    <row r="3062">
      <c r="B3062" s="3"/>
      <c r="C3062" s="3"/>
      <c r="D3062" s="3"/>
      <c r="E3062" s="3"/>
    </row>
    <row r="3063">
      <c r="B3063" s="3"/>
      <c r="C3063" s="3"/>
      <c r="D3063" s="3"/>
      <c r="E3063" s="3"/>
    </row>
    <row r="3064">
      <c r="B3064" s="3"/>
      <c r="C3064" s="3"/>
      <c r="D3064" s="3"/>
      <c r="E3064" s="3"/>
    </row>
    <row r="3065">
      <c r="B3065" s="3"/>
      <c r="C3065" s="3"/>
      <c r="D3065" s="3"/>
      <c r="E3065" s="3"/>
    </row>
    <row r="3066">
      <c r="B3066" s="3"/>
      <c r="C3066" s="3"/>
      <c r="D3066" s="3"/>
      <c r="E3066" s="3"/>
    </row>
    <row r="3067">
      <c r="B3067" s="3"/>
      <c r="C3067" s="3"/>
      <c r="D3067" s="3"/>
      <c r="E3067" s="3"/>
    </row>
    <row r="3068">
      <c r="B3068" s="3"/>
      <c r="C3068" s="3"/>
      <c r="D3068" s="3"/>
      <c r="E3068" s="3"/>
    </row>
    <row r="3069">
      <c r="B3069" s="3"/>
      <c r="C3069" s="3"/>
      <c r="D3069" s="3"/>
      <c r="E3069" s="3"/>
    </row>
    <row r="3070">
      <c r="B3070" s="3"/>
      <c r="C3070" s="3"/>
      <c r="D3070" s="3"/>
      <c r="E3070" s="3"/>
    </row>
    <row r="3071">
      <c r="B3071" s="3"/>
      <c r="C3071" s="3"/>
      <c r="D3071" s="3"/>
      <c r="E3071" s="3"/>
    </row>
    <row r="3072">
      <c r="B3072" s="3"/>
      <c r="C3072" s="3"/>
      <c r="D3072" s="3"/>
      <c r="E3072" s="3"/>
    </row>
    <row r="3073">
      <c r="B3073" s="3"/>
      <c r="C3073" s="3"/>
      <c r="D3073" s="3"/>
      <c r="E3073" s="3"/>
    </row>
    <row r="3074">
      <c r="B3074" s="3"/>
      <c r="C3074" s="3"/>
      <c r="D3074" s="3"/>
      <c r="E3074" s="3"/>
    </row>
    <row r="3075">
      <c r="B3075" s="3"/>
      <c r="C3075" s="3"/>
      <c r="D3075" s="3"/>
      <c r="E3075" s="3"/>
    </row>
    <row r="3076">
      <c r="B3076" s="3"/>
      <c r="C3076" s="3"/>
      <c r="D3076" s="3"/>
      <c r="E3076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38"/>
    <col customWidth="1" min="3" max="3" width="13.75"/>
    <col customWidth="1" min="4" max="4" width="14.63"/>
  </cols>
  <sheetData>
    <row r="3" ht="22.5" customHeight="1">
      <c r="B3" s="1" t="s">
        <v>24</v>
      </c>
      <c r="C3" s="1" t="s">
        <v>45</v>
      </c>
      <c r="D3" s="1" t="s">
        <v>25</v>
      </c>
      <c r="F3" s="3">
        <v>4.0</v>
      </c>
    </row>
    <row r="4" ht="22.5" customHeight="1">
      <c r="B4" s="4">
        <v>4.0</v>
      </c>
      <c r="C4" s="4">
        <v>7.89</v>
      </c>
      <c r="D4" s="4">
        <v>134.5</v>
      </c>
      <c r="F4" s="3">
        <v>1124.0</v>
      </c>
      <c r="G4" s="7">
        <f t="array" ref="G4">average(index(D:D,F3):index(D:D,F4))</f>
        <v>132.8688671</v>
      </c>
    </row>
    <row r="5" ht="22.5" customHeight="1">
      <c r="B5" s="4">
        <v>20005.0</v>
      </c>
      <c r="C5" s="4">
        <v>7.88</v>
      </c>
      <c r="D5" s="4">
        <v>137.6</v>
      </c>
      <c r="G5" s="7">
        <f t="array" ref="G5">index(B:B,F3)-index(B:B,F4)</f>
        <v>-22403210</v>
      </c>
    </row>
    <row r="6" ht="22.5" customHeight="1">
      <c r="B6" s="4">
        <v>40008.0</v>
      </c>
      <c r="C6" s="4">
        <v>7.88</v>
      </c>
      <c r="D6" s="4">
        <v>137.8</v>
      </c>
      <c r="G6" s="7">
        <f>-G4 * G5 / 3600000</f>
        <v>826.8580921</v>
      </c>
    </row>
    <row r="7" ht="22.5" customHeight="1">
      <c r="B7" s="4">
        <v>60011.0</v>
      </c>
      <c r="C7" s="4">
        <v>7.87</v>
      </c>
      <c r="D7" s="4">
        <v>137.8</v>
      </c>
    </row>
    <row r="8" ht="22.5" customHeight="1">
      <c r="B8" s="4">
        <v>80014.0</v>
      </c>
      <c r="C8" s="4">
        <v>7.87</v>
      </c>
      <c r="D8" s="4">
        <v>137.8</v>
      </c>
    </row>
    <row r="9" ht="22.5" customHeight="1">
      <c r="B9" s="4">
        <v>100017.0</v>
      </c>
      <c r="C9" s="4">
        <v>7.87</v>
      </c>
      <c r="D9" s="4">
        <v>137.8</v>
      </c>
    </row>
    <row r="10" ht="22.5" customHeight="1">
      <c r="B10" s="4">
        <v>120019.0</v>
      </c>
      <c r="C10" s="4">
        <v>7.87</v>
      </c>
      <c r="D10" s="4">
        <v>137.8</v>
      </c>
    </row>
    <row r="11" ht="22.5" customHeight="1">
      <c r="B11" s="4">
        <v>140022.0</v>
      </c>
      <c r="C11" s="4">
        <v>7.87</v>
      </c>
      <c r="D11" s="4">
        <v>137.7</v>
      </c>
    </row>
    <row r="12" ht="22.5" customHeight="1">
      <c r="B12" s="4">
        <v>160025.0</v>
      </c>
      <c r="C12" s="4">
        <v>7.86</v>
      </c>
      <c r="D12" s="4">
        <v>137.7</v>
      </c>
    </row>
    <row r="13" ht="22.5" customHeight="1">
      <c r="B13" s="4">
        <v>180028.0</v>
      </c>
      <c r="C13" s="4">
        <v>7.86</v>
      </c>
      <c r="D13" s="4">
        <v>137.7</v>
      </c>
    </row>
    <row r="14" ht="22.5" customHeight="1">
      <c r="B14" s="4">
        <v>200031.0</v>
      </c>
      <c r="C14" s="4">
        <v>7.86</v>
      </c>
      <c r="D14" s="4">
        <v>137.7</v>
      </c>
    </row>
    <row r="15" ht="22.5" customHeight="1">
      <c r="B15" s="4">
        <v>220034.0</v>
      </c>
      <c r="C15" s="4">
        <v>7.86</v>
      </c>
      <c r="D15" s="4">
        <v>137.7</v>
      </c>
    </row>
    <row r="16" ht="22.5" customHeight="1">
      <c r="B16" s="4">
        <v>240036.0</v>
      </c>
      <c r="C16" s="4">
        <v>7.86</v>
      </c>
      <c r="D16" s="4">
        <v>137.7</v>
      </c>
    </row>
    <row r="17" ht="22.5" customHeight="1">
      <c r="B17" s="4">
        <v>260039.0</v>
      </c>
      <c r="C17" s="4">
        <v>7.86</v>
      </c>
      <c r="D17" s="4">
        <v>137.6</v>
      </c>
    </row>
    <row r="18" ht="22.5" customHeight="1">
      <c r="B18" s="4">
        <v>280042.0</v>
      </c>
      <c r="C18" s="4">
        <v>7.86</v>
      </c>
      <c r="D18" s="4">
        <v>137.7</v>
      </c>
    </row>
    <row r="19" ht="22.5" customHeight="1">
      <c r="B19" s="4">
        <v>300045.0</v>
      </c>
      <c r="C19" s="4">
        <v>7.86</v>
      </c>
      <c r="D19" s="4">
        <v>137.7</v>
      </c>
    </row>
    <row r="20" ht="22.5" customHeight="1">
      <c r="B20" s="4">
        <v>320048.0</v>
      </c>
      <c r="C20" s="4">
        <v>7.85</v>
      </c>
      <c r="D20" s="4">
        <v>137.6</v>
      </c>
    </row>
    <row r="21" ht="22.5" customHeight="1">
      <c r="B21" s="4">
        <v>340050.0</v>
      </c>
      <c r="C21" s="4">
        <v>7.85</v>
      </c>
      <c r="D21" s="4">
        <v>137.6</v>
      </c>
    </row>
    <row r="22" ht="22.5" customHeight="1">
      <c r="B22" s="4">
        <v>360053.0</v>
      </c>
      <c r="C22" s="4">
        <v>7.85</v>
      </c>
      <c r="D22" s="4">
        <v>137.6</v>
      </c>
    </row>
    <row r="23" ht="22.5" customHeight="1">
      <c r="B23" s="4">
        <v>380056.0</v>
      </c>
      <c r="C23" s="4">
        <v>7.85</v>
      </c>
      <c r="D23" s="4">
        <v>137.5</v>
      </c>
    </row>
    <row r="24" ht="22.5" customHeight="1">
      <c r="B24" s="4">
        <v>400059.0</v>
      </c>
      <c r="C24" s="4">
        <v>7.85</v>
      </c>
      <c r="D24" s="4">
        <v>137.5</v>
      </c>
    </row>
    <row r="25" ht="22.5" customHeight="1">
      <c r="B25" s="4">
        <v>420062.0</v>
      </c>
      <c r="C25" s="4">
        <v>7.85</v>
      </c>
      <c r="D25" s="4">
        <v>137.5</v>
      </c>
    </row>
    <row r="26" ht="22.5" customHeight="1">
      <c r="B26" s="4">
        <v>440065.0</v>
      </c>
      <c r="C26" s="4">
        <v>7.84</v>
      </c>
      <c r="D26" s="4">
        <v>137.5</v>
      </c>
    </row>
    <row r="27" ht="22.5" customHeight="1">
      <c r="B27" s="4">
        <v>460067.0</v>
      </c>
      <c r="C27" s="4">
        <v>7.84</v>
      </c>
      <c r="D27" s="4">
        <v>137.5</v>
      </c>
    </row>
    <row r="28" ht="22.5" customHeight="1">
      <c r="B28" s="4">
        <v>480070.0</v>
      </c>
      <c r="C28" s="4">
        <v>7.84</v>
      </c>
      <c r="D28" s="4">
        <v>137.5</v>
      </c>
    </row>
    <row r="29" ht="22.5" customHeight="1">
      <c r="B29" s="4">
        <v>500073.0</v>
      </c>
      <c r="C29" s="4">
        <v>7.84</v>
      </c>
      <c r="D29" s="4">
        <v>137.5</v>
      </c>
    </row>
    <row r="30" ht="22.5" customHeight="1">
      <c r="B30" s="4">
        <v>520076.0</v>
      </c>
      <c r="C30" s="4">
        <v>7.84</v>
      </c>
      <c r="D30" s="4">
        <v>137.4</v>
      </c>
    </row>
    <row r="31" ht="22.5" customHeight="1">
      <c r="B31" s="4">
        <v>540079.0</v>
      </c>
      <c r="C31" s="4">
        <v>7.84</v>
      </c>
      <c r="D31" s="4">
        <v>137.4</v>
      </c>
    </row>
    <row r="32" ht="22.5" customHeight="1">
      <c r="B32" s="4">
        <v>560081.0</v>
      </c>
      <c r="C32" s="4">
        <v>7.84</v>
      </c>
      <c r="D32" s="4">
        <v>137.4</v>
      </c>
    </row>
    <row r="33" ht="22.5" customHeight="1">
      <c r="B33" s="4">
        <v>580084.0</v>
      </c>
      <c r="C33" s="4">
        <v>7.84</v>
      </c>
      <c r="D33" s="4">
        <v>137.4</v>
      </c>
    </row>
    <row r="34" ht="22.5" customHeight="1">
      <c r="B34" s="4">
        <v>600087.0</v>
      </c>
      <c r="C34" s="4">
        <v>7.84</v>
      </c>
      <c r="D34" s="4">
        <v>137.3</v>
      </c>
    </row>
    <row r="35" ht="22.5" customHeight="1">
      <c r="B35" s="4">
        <v>620089.0</v>
      </c>
      <c r="C35" s="4">
        <v>7.84</v>
      </c>
      <c r="D35" s="4">
        <v>137.4</v>
      </c>
    </row>
    <row r="36" ht="22.5" customHeight="1">
      <c r="B36" s="4">
        <v>640092.0</v>
      </c>
      <c r="C36" s="4">
        <v>7.84</v>
      </c>
      <c r="D36" s="4">
        <v>137.3</v>
      </c>
    </row>
    <row r="37" ht="22.5" customHeight="1">
      <c r="B37" s="4">
        <v>660094.0</v>
      </c>
      <c r="C37" s="4">
        <v>7.84</v>
      </c>
      <c r="D37" s="4">
        <v>137.3</v>
      </c>
    </row>
    <row r="38" ht="22.5" customHeight="1">
      <c r="B38" s="4">
        <v>680097.0</v>
      </c>
      <c r="C38" s="4">
        <v>7.83</v>
      </c>
      <c r="D38" s="4">
        <v>137.3</v>
      </c>
    </row>
    <row r="39" ht="22.5" customHeight="1">
      <c r="B39" s="4">
        <v>700100.0</v>
      </c>
      <c r="C39" s="4">
        <v>7.83</v>
      </c>
      <c r="D39" s="4">
        <v>137.4</v>
      </c>
    </row>
    <row r="40" ht="22.5" customHeight="1">
      <c r="B40" s="4">
        <v>720103.0</v>
      </c>
      <c r="C40" s="4">
        <v>7.83</v>
      </c>
      <c r="D40" s="4">
        <v>137.3</v>
      </c>
    </row>
    <row r="41" ht="22.5" customHeight="1">
      <c r="B41" s="4">
        <v>740106.0</v>
      </c>
      <c r="C41" s="4">
        <v>7.83</v>
      </c>
      <c r="D41" s="4">
        <v>137.2</v>
      </c>
    </row>
    <row r="42" ht="22.5" customHeight="1">
      <c r="B42" s="4">
        <v>760109.0</v>
      </c>
      <c r="C42" s="4">
        <v>7.83</v>
      </c>
      <c r="D42" s="4">
        <v>137.2</v>
      </c>
    </row>
    <row r="43" ht="22.5" customHeight="1">
      <c r="B43" s="4">
        <v>780111.0</v>
      </c>
      <c r="C43" s="4">
        <v>7.83</v>
      </c>
      <c r="D43" s="4">
        <v>137.2</v>
      </c>
    </row>
    <row r="44" ht="22.5" customHeight="1">
      <c r="B44" s="4">
        <v>800114.0</v>
      </c>
      <c r="C44" s="4">
        <v>7.83</v>
      </c>
      <c r="D44" s="4">
        <v>137.2</v>
      </c>
    </row>
    <row r="45" ht="22.5" customHeight="1">
      <c r="B45" s="4">
        <v>820117.0</v>
      </c>
      <c r="C45" s="4">
        <v>7.83</v>
      </c>
      <c r="D45" s="4">
        <v>137.2</v>
      </c>
    </row>
    <row r="46" ht="22.5" customHeight="1">
      <c r="B46" s="4">
        <v>840120.0</v>
      </c>
      <c r="C46" s="4">
        <v>7.83</v>
      </c>
      <c r="D46" s="4">
        <v>137.2</v>
      </c>
    </row>
    <row r="47" ht="22.5" customHeight="1">
      <c r="B47" s="4">
        <v>860123.0</v>
      </c>
      <c r="C47" s="4">
        <v>7.83</v>
      </c>
      <c r="D47" s="4">
        <v>137.2</v>
      </c>
    </row>
    <row r="48" ht="22.5" customHeight="1">
      <c r="B48" s="4">
        <v>880125.0</v>
      </c>
      <c r="C48" s="4">
        <v>7.82</v>
      </c>
      <c r="D48" s="4">
        <v>137.1</v>
      </c>
    </row>
    <row r="49" ht="22.5" customHeight="1">
      <c r="B49" s="4">
        <v>900128.0</v>
      </c>
      <c r="C49" s="4">
        <v>7.82</v>
      </c>
      <c r="D49" s="4">
        <v>137.2</v>
      </c>
    </row>
    <row r="50" ht="22.5" customHeight="1">
      <c r="B50" s="4">
        <v>920131.0</v>
      </c>
      <c r="C50" s="4">
        <v>7.83</v>
      </c>
      <c r="D50" s="4">
        <v>137.1</v>
      </c>
    </row>
    <row r="51" ht="22.5" customHeight="1">
      <c r="B51" s="4">
        <v>940134.0</v>
      </c>
      <c r="C51" s="4">
        <v>7.82</v>
      </c>
      <c r="D51" s="4">
        <v>137.1</v>
      </c>
    </row>
    <row r="52" ht="22.5" customHeight="1">
      <c r="B52" s="4">
        <v>960137.0</v>
      </c>
      <c r="C52" s="4">
        <v>7.82</v>
      </c>
      <c r="D52" s="4">
        <v>137.1</v>
      </c>
    </row>
    <row r="53" ht="22.5" customHeight="1">
      <c r="B53" s="4">
        <v>980140.0</v>
      </c>
      <c r="C53" s="4">
        <v>7.82</v>
      </c>
      <c r="D53" s="4">
        <v>137.1</v>
      </c>
    </row>
    <row r="54" ht="22.5" customHeight="1">
      <c r="B54" s="4">
        <v>1000142.0</v>
      </c>
      <c r="C54" s="4">
        <v>7.82</v>
      </c>
      <c r="D54" s="4">
        <v>137.1</v>
      </c>
    </row>
    <row r="55" ht="22.5" customHeight="1">
      <c r="B55" s="4">
        <v>1020145.0</v>
      </c>
      <c r="C55" s="4">
        <v>7.82</v>
      </c>
      <c r="D55" s="4">
        <v>137.0</v>
      </c>
    </row>
    <row r="56" ht="22.5" customHeight="1">
      <c r="B56" s="4">
        <v>1040148.0</v>
      </c>
      <c r="C56" s="4">
        <v>7.82</v>
      </c>
      <c r="D56" s="4">
        <v>137.0</v>
      </c>
    </row>
    <row r="57" ht="22.5" customHeight="1">
      <c r="B57" s="4">
        <v>1060151.0</v>
      </c>
      <c r="C57" s="4">
        <v>7.82</v>
      </c>
      <c r="D57" s="4">
        <v>137.0</v>
      </c>
    </row>
    <row r="58" ht="22.5" customHeight="1">
      <c r="B58" s="4">
        <v>1080154.0</v>
      </c>
      <c r="C58" s="4">
        <v>7.82</v>
      </c>
      <c r="D58" s="4">
        <v>137.0</v>
      </c>
    </row>
    <row r="59" ht="22.5" customHeight="1">
      <c r="B59" s="4">
        <v>1100156.0</v>
      </c>
      <c r="C59" s="4">
        <v>7.82</v>
      </c>
      <c r="D59" s="4">
        <v>137.0</v>
      </c>
    </row>
    <row r="60" ht="22.5" customHeight="1">
      <c r="B60" s="4">
        <v>1120159.0</v>
      </c>
      <c r="C60" s="4">
        <v>7.82</v>
      </c>
      <c r="D60" s="4">
        <v>137.0</v>
      </c>
    </row>
    <row r="61" ht="22.5" customHeight="1">
      <c r="B61" s="4">
        <v>1140162.0</v>
      </c>
      <c r="C61" s="4">
        <v>7.82</v>
      </c>
      <c r="D61" s="4">
        <v>137.0</v>
      </c>
    </row>
    <row r="62" ht="22.5" customHeight="1">
      <c r="B62" s="4">
        <v>1160165.0</v>
      </c>
      <c r="C62" s="4">
        <v>7.81</v>
      </c>
      <c r="D62" s="4">
        <v>136.9</v>
      </c>
    </row>
    <row r="63" ht="22.5" customHeight="1">
      <c r="B63" s="4">
        <v>1180168.0</v>
      </c>
      <c r="C63" s="4">
        <v>7.82</v>
      </c>
      <c r="D63" s="4">
        <v>136.9</v>
      </c>
    </row>
    <row r="64" ht="22.5" customHeight="1">
      <c r="B64" s="4">
        <v>1200171.0</v>
      </c>
      <c r="C64" s="4">
        <v>7.82</v>
      </c>
      <c r="D64" s="4">
        <v>137.0</v>
      </c>
    </row>
    <row r="65" ht="22.5" customHeight="1">
      <c r="B65" s="4">
        <v>1220173.0</v>
      </c>
      <c r="C65" s="4">
        <v>7.81</v>
      </c>
      <c r="D65" s="4">
        <v>136.9</v>
      </c>
    </row>
    <row r="66" ht="22.5" customHeight="1">
      <c r="B66" s="4">
        <v>1240177.0</v>
      </c>
      <c r="C66" s="4">
        <v>7.81</v>
      </c>
      <c r="D66" s="4">
        <v>136.9</v>
      </c>
    </row>
    <row r="67" ht="22.5" customHeight="1">
      <c r="B67" s="4">
        <v>1260180.0</v>
      </c>
      <c r="C67" s="4">
        <v>7.81</v>
      </c>
      <c r="D67" s="4">
        <v>136.8</v>
      </c>
    </row>
    <row r="68" ht="22.5" customHeight="1">
      <c r="B68" s="4">
        <v>1280183.0</v>
      </c>
      <c r="C68" s="4">
        <v>7.81</v>
      </c>
      <c r="D68" s="4">
        <v>136.9</v>
      </c>
    </row>
    <row r="69" ht="22.5" customHeight="1">
      <c r="B69" s="4">
        <v>1300186.0</v>
      </c>
      <c r="C69" s="4">
        <v>7.81</v>
      </c>
      <c r="D69" s="4">
        <v>136.9</v>
      </c>
    </row>
    <row r="70" ht="22.5" customHeight="1">
      <c r="B70" s="4">
        <v>1320188.0</v>
      </c>
      <c r="C70" s="4">
        <v>7.81</v>
      </c>
      <c r="D70" s="4">
        <v>136.8</v>
      </c>
    </row>
    <row r="71" ht="22.5" customHeight="1">
      <c r="B71" s="4">
        <v>1340191.0</v>
      </c>
      <c r="C71" s="4">
        <v>7.81</v>
      </c>
      <c r="D71" s="4">
        <v>136.9</v>
      </c>
    </row>
    <row r="72" ht="22.5" customHeight="1">
      <c r="B72" s="4">
        <v>1360194.0</v>
      </c>
      <c r="C72" s="4">
        <v>7.8</v>
      </c>
      <c r="D72" s="4">
        <v>136.8</v>
      </c>
    </row>
    <row r="73" ht="22.5" customHeight="1">
      <c r="B73" s="4">
        <v>1380197.0</v>
      </c>
      <c r="C73" s="4">
        <v>7.8</v>
      </c>
      <c r="D73" s="4">
        <v>136.8</v>
      </c>
    </row>
    <row r="74" ht="22.5" customHeight="1">
      <c r="B74" s="4">
        <v>1400200.0</v>
      </c>
      <c r="C74" s="4">
        <v>7.81</v>
      </c>
      <c r="D74" s="4">
        <v>136.8</v>
      </c>
    </row>
    <row r="75" ht="22.5" customHeight="1">
      <c r="B75" s="4">
        <v>1420203.0</v>
      </c>
      <c r="C75" s="4">
        <v>7.8</v>
      </c>
      <c r="D75" s="4">
        <v>136.7</v>
      </c>
    </row>
    <row r="76" ht="22.5" customHeight="1">
      <c r="B76" s="4">
        <v>1440205.0</v>
      </c>
      <c r="C76" s="4">
        <v>7.8</v>
      </c>
      <c r="D76" s="4">
        <v>136.7</v>
      </c>
    </row>
    <row r="77" ht="22.5" customHeight="1">
      <c r="B77" s="4">
        <v>1460208.0</v>
      </c>
      <c r="C77" s="4">
        <v>7.8</v>
      </c>
      <c r="D77" s="4">
        <v>136.8</v>
      </c>
    </row>
    <row r="78" ht="22.5" customHeight="1">
      <c r="B78" s="4">
        <v>1480211.0</v>
      </c>
      <c r="C78" s="4">
        <v>7.8</v>
      </c>
      <c r="D78" s="4">
        <v>136.7</v>
      </c>
    </row>
    <row r="79" ht="22.5" customHeight="1">
      <c r="B79" s="4">
        <v>1500214.0</v>
      </c>
      <c r="C79" s="4">
        <v>7.8</v>
      </c>
      <c r="D79" s="4">
        <v>136.7</v>
      </c>
    </row>
    <row r="80" ht="22.5" customHeight="1">
      <c r="B80" s="4">
        <v>1520217.0</v>
      </c>
      <c r="C80" s="4">
        <v>7.8</v>
      </c>
      <c r="D80" s="4">
        <v>136.7</v>
      </c>
    </row>
    <row r="81" ht="22.5" customHeight="1">
      <c r="B81" s="4">
        <v>1540219.0</v>
      </c>
      <c r="C81" s="4">
        <v>7.8</v>
      </c>
      <c r="D81" s="4">
        <v>136.8</v>
      </c>
    </row>
    <row r="82" ht="22.5" customHeight="1">
      <c r="B82" s="4">
        <v>1560222.0</v>
      </c>
      <c r="C82" s="4">
        <v>7.8</v>
      </c>
      <c r="D82" s="4">
        <v>136.7</v>
      </c>
    </row>
    <row r="83" ht="22.5" customHeight="1">
      <c r="B83" s="4">
        <v>1580225.0</v>
      </c>
      <c r="C83" s="4">
        <v>7.8</v>
      </c>
      <c r="D83" s="4">
        <v>136.7</v>
      </c>
    </row>
    <row r="84" ht="22.5" customHeight="1">
      <c r="B84" s="4">
        <v>1600228.0</v>
      </c>
      <c r="C84" s="4">
        <v>7.8</v>
      </c>
      <c r="D84" s="4">
        <v>136.7</v>
      </c>
    </row>
    <row r="85" ht="22.5" customHeight="1">
      <c r="B85" s="4">
        <v>1620231.0</v>
      </c>
      <c r="C85" s="4">
        <v>7.8</v>
      </c>
      <c r="D85" s="4">
        <v>136.7</v>
      </c>
    </row>
    <row r="86" ht="22.5" customHeight="1">
      <c r="B86" s="4">
        <v>1640233.0</v>
      </c>
      <c r="C86" s="4">
        <v>7.8</v>
      </c>
      <c r="D86" s="4">
        <v>136.6</v>
      </c>
    </row>
    <row r="87" ht="22.5" customHeight="1">
      <c r="B87" s="4">
        <v>1660236.0</v>
      </c>
      <c r="C87" s="4">
        <v>7.8</v>
      </c>
      <c r="D87" s="4">
        <v>136.6</v>
      </c>
    </row>
    <row r="88" ht="22.5" customHeight="1">
      <c r="B88" s="4">
        <v>1680239.0</v>
      </c>
      <c r="C88" s="4">
        <v>7.8</v>
      </c>
      <c r="D88" s="4">
        <v>136.6</v>
      </c>
    </row>
    <row r="89" ht="22.5" customHeight="1">
      <c r="B89" s="4">
        <v>1700242.0</v>
      </c>
      <c r="C89" s="4">
        <v>7.8</v>
      </c>
      <c r="D89" s="4">
        <v>136.7</v>
      </c>
    </row>
    <row r="90" ht="22.5" customHeight="1">
      <c r="B90" s="4">
        <v>1720245.0</v>
      </c>
      <c r="C90" s="4">
        <v>7.8</v>
      </c>
      <c r="D90" s="4">
        <v>136.6</v>
      </c>
    </row>
    <row r="91" ht="22.5" customHeight="1">
      <c r="B91" s="4">
        <v>1740248.0</v>
      </c>
      <c r="C91" s="4">
        <v>7.79</v>
      </c>
      <c r="D91" s="4">
        <v>136.6</v>
      </c>
    </row>
    <row r="92" ht="22.5" customHeight="1">
      <c r="B92" s="4">
        <v>1760250.0</v>
      </c>
      <c r="C92" s="4">
        <v>7.79</v>
      </c>
      <c r="D92" s="4">
        <v>136.6</v>
      </c>
    </row>
    <row r="93" ht="22.5" customHeight="1">
      <c r="B93" s="4">
        <v>1780253.0</v>
      </c>
      <c r="C93" s="4">
        <v>7.79</v>
      </c>
      <c r="D93" s="4">
        <v>136.5</v>
      </c>
    </row>
    <row r="94" ht="22.5" customHeight="1">
      <c r="B94" s="4">
        <v>1800256.0</v>
      </c>
      <c r="C94" s="4">
        <v>7.79</v>
      </c>
      <c r="D94" s="4">
        <v>136.6</v>
      </c>
    </row>
    <row r="95" ht="22.5" customHeight="1">
      <c r="B95" s="4">
        <v>1820259.0</v>
      </c>
      <c r="C95" s="4">
        <v>7.79</v>
      </c>
      <c r="D95" s="4">
        <v>136.6</v>
      </c>
    </row>
    <row r="96" ht="22.5" customHeight="1">
      <c r="B96" s="4">
        <v>1840262.0</v>
      </c>
      <c r="C96" s="4">
        <v>7.79</v>
      </c>
      <c r="D96" s="4">
        <v>136.6</v>
      </c>
    </row>
    <row r="97" ht="22.5" customHeight="1">
      <c r="B97" s="4">
        <v>1860264.0</v>
      </c>
      <c r="C97" s="4">
        <v>7.79</v>
      </c>
      <c r="D97" s="4">
        <v>136.5</v>
      </c>
    </row>
    <row r="98" ht="22.5" customHeight="1">
      <c r="B98" s="4">
        <v>1880267.0</v>
      </c>
      <c r="C98" s="4">
        <v>7.79</v>
      </c>
      <c r="D98" s="4">
        <v>136.5</v>
      </c>
    </row>
    <row r="99" ht="22.5" customHeight="1">
      <c r="B99" s="4">
        <v>1900270.0</v>
      </c>
      <c r="C99" s="4">
        <v>7.79</v>
      </c>
      <c r="D99" s="4">
        <v>136.5</v>
      </c>
    </row>
    <row r="100" ht="22.5" customHeight="1">
      <c r="B100" s="4">
        <v>1920273.0</v>
      </c>
      <c r="C100" s="4">
        <v>7.79</v>
      </c>
      <c r="D100" s="4">
        <v>136.5</v>
      </c>
    </row>
    <row r="101" ht="22.5" customHeight="1">
      <c r="B101" s="4">
        <v>1940276.0</v>
      </c>
      <c r="C101" s="4">
        <v>7.79</v>
      </c>
      <c r="D101" s="4">
        <v>136.5</v>
      </c>
    </row>
    <row r="102" ht="22.5" customHeight="1">
      <c r="B102" s="4">
        <v>1960279.0</v>
      </c>
      <c r="C102" s="4">
        <v>7.78</v>
      </c>
      <c r="D102" s="4">
        <v>136.4</v>
      </c>
    </row>
    <row r="103" ht="22.5" customHeight="1">
      <c r="B103" s="4">
        <v>1980281.0</v>
      </c>
      <c r="C103" s="4">
        <v>7.78</v>
      </c>
      <c r="D103" s="4">
        <v>136.4</v>
      </c>
    </row>
    <row r="104" ht="22.5" customHeight="1">
      <c r="B104" s="4">
        <v>2000284.0</v>
      </c>
      <c r="C104" s="4">
        <v>7.78</v>
      </c>
      <c r="D104" s="4">
        <v>136.4</v>
      </c>
    </row>
    <row r="105" ht="22.5" customHeight="1">
      <c r="B105" s="4">
        <v>2020287.0</v>
      </c>
      <c r="C105" s="4">
        <v>7.78</v>
      </c>
      <c r="D105" s="4">
        <v>136.5</v>
      </c>
    </row>
    <row r="106" ht="22.5" customHeight="1">
      <c r="B106" s="4">
        <v>2040290.0</v>
      </c>
      <c r="C106" s="4">
        <v>7.78</v>
      </c>
      <c r="D106" s="4">
        <v>136.4</v>
      </c>
    </row>
    <row r="107" ht="22.5" customHeight="1">
      <c r="B107" s="4">
        <v>2060294.0</v>
      </c>
      <c r="C107" s="4">
        <v>7.78</v>
      </c>
      <c r="D107" s="4">
        <v>136.4</v>
      </c>
    </row>
    <row r="108" ht="22.5" customHeight="1">
      <c r="B108" s="4">
        <v>2080296.0</v>
      </c>
      <c r="C108" s="4">
        <v>7.78</v>
      </c>
      <c r="D108" s="4">
        <v>136.3</v>
      </c>
    </row>
    <row r="109" ht="22.5" customHeight="1">
      <c r="B109" s="4">
        <v>2100299.0</v>
      </c>
      <c r="C109" s="4">
        <v>7.78</v>
      </c>
      <c r="D109" s="4">
        <v>136.4</v>
      </c>
    </row>
    <row r="110" ht="22.5" customHeight="1">
      <c r="B110" s="4">
        <v>2120302.0</v>
      </c>
      <c r="C110" s="4">
        <v>7.78</v>
      </c>
      <c r="D110" s="4">
        <v>136.3</v>
      </c>
    </row>
    <row r="111" ht="22.5" customHeight="1">
      <c r="B111" s="4">
        <v>2140305.0</v>
      </c>
      <c r="C111" s="4">
        <v>7.78</v>
      </c>
      <c r="D111" s="4">
        <v>136.4</v>
      </c>
    </row>
    <row r="112" ht="22.5" customHeight="1">
      <c r="B112" s="4">
        <v>2160308.0</v>
      </c>
      <c r="C112" s="4">
        <v>7.78</v>
      </c>
      <c r="D112" s="4">
        <v>136.4</v>
      </c>
    </row>
    <row r="113" ht="22.5" customHeight="1">
      <c r="B113" s="4">
        <v>2180311.0</v>
      </c>
      <c r="C113" s="4">
        <v>7.78</v>
      </c>
      <c r="D113" s="4">
        <v>136.3</v>
      </c>
    </row>
    <row r="114" ht="22.5" customHeight="1">
      <c r="B114" s="4">
        <v>2200313.0</v>
      </c>
      <c r="C114" s="4">
        <v>7.78</v>
      </c>
      <c r="D114" s="4">
        <v>136.3</v>
      </c>
    </row>
    <row r="115" ht="22.5" customHeight="1">
      <c r="B115" s="4">
        <v>2220316.0</v>
      </c>
      <c r="C115" s="4">
        <v>7.78</v>
      </c>
      <c r="D115" s="4">
        <v>136.3</v>
      </c>
    </row>
    <row r="116" ht="22.5" customHeight="1">
      <c r="B116" s="4">
        <v>2240319.0</v>
      </c>
      <c r="C116" s="4">
        <v>7.78</v>
      </c>
      <c r="D116" s="4">
        <v>136.3</v>
      </c>
    </row>
    <row r="117" ht="22.5" customHeight="1">
      <c r="B117" s="4">
        <v>2260322.0</v>
      </c>
      <c r="C117" s="4">
        <v>7.78</v>
      </c>
      <c r="D117" s="4">
        <v>136.3</v>
      </c>
    </row>
    <row r="118" ht="22.5" customHeight="1">
      <c r="B118" s="4">
        <v>2280325.0</v>
      </c>
      <c r="C118" s="4">
        <v>7.78</v>
      </c>
      <c r="D118" s="4">
        <v>136.3</v>
      </c>
    </row>
    <row r="119" ht="22.5" customHeight="1">
      <c r="B119" s="4">
        <v>2300327.0</v>
      </c>
      <c r="C119" s="4">
        <v>7.78</v>
      </c>
      <c r="D119" s="4">
        <v>136.3</v>
      </c>
    </row>
    <row r="120" ht="22.5" customHeight="1">
      <c r="B120" s="4">
        <v>2320330.0</v>
      </c>
      <c r="C120" s="4">
        <v>7.77</v>
      </c>
      <c r="D120" s="4">
        <v>136.3</v>
      </c>
    </row>
    <row r="121" ht="22.5" customHeight="1">
      <c r="B121" s="4">
        <v>2340333.0</v>
      </c>
      <c r="C121" s="4">
        <v>7.78</v>
      </c>
      <c r="D121" s="4">
        <v>136.2</v>
      </c>
    </row>
    <row r="122" ht="22.5" customHeight="1">
      <c r="B122" s="4">
        <v>2360336.0</v>
      </c>
      <c r="C122" s="4">
        <v>7.77</v>
      </c>
      <c r="D122" s="4">
        <v>136.2</v>
      </c>
    </row>
    <row r="123" ht="22.5" customHeight="1">
      <c r="B123" s="4">
        <v>2380339.0</v>
      </c>
      <c r="C123" s="4">
        <v>7.77</v>
      </c>
      <c r="D123" s="4">
        <v>136.2</v>
      </c>
    </row>
    <row r="124" ht="22.5" customHeight="1">
      <c r="B124" s="4">
        <v>2400342.0</v>
      </c>
      <c r="C124" s="4">
        <v>7.77</v>
      </c>
      <c r="D124" s="4">
        <v>136.2</v>
      </c>
    </row>
    <row r="125" ht="22.5" customHeight="1">
      <c r="B125" s="4">
        <v>2420344.0</v>
      </c>
      <c r="C125" s="4">
        <v>7.77</v>
      </c>
      <c r="D125" s="4">
        <v>136.2</v>
      </c>
    </row>
    <row r="126" ht="22.5" customHeight="1">
      <c r="B126" s="4">
        <v>2440347.0</v>
      </c>
      <c r="C126" s="4">
        <v>7.77</v>
      </c>
      <c r="D126" s="4">
        <v>136.2</v>
      </c>
    </row>
    <row r="127" ht="22.5" customHeight="1">
      <c r="B127" s="4">
        <v>2460350.0</v>
      </c>
      <c r="C127" s="4">
        <v>7.77</v>
      </c>
      <c r="D127" s="4">
        <v>136.2</v>
      </c>
    </row>
    <row r="128" ht="22.5" customHeight="1">
      <c r="B128" s="4">
        <v>2480353.0</v>
      </c>
      <c r="C128" s="4">
        <v>7.77</v>
      </c>
      <c r="D128" s="4">
        <v>136.2</v>
      </c>
    </row>
    <row r="129" ht="22.5" customHeight="1">
      <c r="B129" s="4">
        <v>2500356.0</v>
      </c>
      <c r="C129" s="4">
        <v>7.77</v>
      </c>
      <c r="D129" s="4">
        <v>136.2</v>
      </c>
    </row>
    <row r="130" ht="22.5" customHeight="1">
      <c r="B130" s="4">
        <v>2520358.0</v>
      </c>
      <c r="C130" s="4">
        <v>7.77</v>
      </c>
      <c r="D130" s="4">
        <v>136.2</v>
      </c>
    </row>
    <row r="131" ht="22.5" customHeight="1">
      <c r="B131" s="4">
        <v>2540361.0</v>
      </c>
      <c r="C131" s="4">
        <v>7.77</v>
      </c>
      <c r="D131" s="4">
        <v>136.1</v>
      </c>
    </row>
    <row r="132" ht="22.5" customHeight="1">
      <c r="B132" s="4">
        <v>2560364.0</v>
      </c>
      <c r="C132" s="4">
        <v>7.77</v>
      </c>
      <c r="D132" s="4">
        <v>136.2</v>
      </c>
    </row>
    <row r="133" ht="22.5" customHeight="1">
      <c r="B133" s="4">
        <v>2580367.0</v>
      </c>
      <c r="C133" s="4">
        <v>7.77</v>
      </c>
      <c r="D133" s="4">
        <v>136.1</v>
      </c>
    </row>
    <row r="134" ht="22.5" customHeight="1">
      <c r="B134" s="4">
        <v>2600370.0</v>
      </c>
      <c r="C134" s="4">
        <v>7.77</v>
      </c>
      <c r="D134" s="4">
        <v>136.2</v>
      </c>
    </row>
    <row r="135" ht="22.5" customHeight="1">
      <c r="B135" s="4">
        <v>2620372.0</v>
      </c>
      <c r="C135" s="4">
        <v>7.77</v>
      </c>
      <c r="D135" s="4">
        <v>136.1</v>
      </c>
    </row>
    <row r="136" ht="22.5" customHeight="1">
      <c r="B136" s="4">
        <v>2640375.0</v>
      </c>
      <c r="C136" s="4">
        <v>7.77</v>
      </c>
      <c r="D136" s="4">
        <v>136.2</v>
      </c>
    </row>
    <row r="137" ht="22.5" customHeight="1">
      <c r="B137" s="4">
        <v>2660378.0</v>
      </c>
      <c r="C137" s="4">
        <v>7.76</v>
      </c>
      <c r="D137" s="4">
        <v>136.1</v>
      </c>
    </row>
    <row r="138" ht="22.5" customHeight="1">
      <c r="B138" s="4">
        <v>2680381.0</v>
      </c>
      <c r="C138" s="4">
        <v>7.77</v>
      </c>
      <c r="D138" s="4">
        <v>136.1</v>
      </c>
    </row>
    <row r="139" ht="22.5" customHeight="1">
      <c r="B139" s="4">
        <v>2700384.0</v>
      </c>
      <c r="C139" s="4">
        <v>7.76</v>
      </c>
      <c r="D139" s="4">
        <v>136.1</v>
      </c>
    </row>
    <row r="140" ht="22.5" customHeight="1">
      <c r="B140" s="4">
        <v>2720387.0</v>
      </c>
      <c r="C140" s="4">
        <v>7.76</v>
      </c>
      <c r="D140" s="4">
        <v>136.1</v>
      </c>
    </row>
    <row r="141" ht="22.5" customHeight="1">
      <c r="B141" s="4">
        <v>2740389.0</v>
      </c>
      <c r="C141" s="4">
        <v>7.76</v>
      </c>
      <c r="D141" s="4">
        <v>136.1</v>
      </c>
    </row>
    <row r="142" ht="22.5" customHeight="1">
      <c r="B142" s="4">
        <v>2760392.0</v>
      </c>
      <c r="C142" s="4">
        <v>7.76</v>
      </c>
      <c r="D142" s="4">
        <v>136.0</v>
      </c>
    </row>
    <row r="143" ht="22.5" customHeight="1">
      <c r="B143" s="4">
        <v>2780396.0</v>
      </c>
      <c r="C143" s="4">
        <v>7.76</v>
      </c>
      <c r="D143" s="4">
        <v>136.1</v>
      </c>
    </row>
    <row r="144" ht="22.5" customHeight="1">
      <c r="B144" s="4">
        <v>2800399.0</v>
      </c>
      <c r="C144" s="4">
        <v>7.76</v>
      </c>
      <c r="D144" s="4">
        <v>136.0</v>
      </c>
    </row>
    <row r="145" ht="22.5" customHeight="1">
      <c r="B145" s="4">
        <v>2820402.0</v>
      </c>
      <c r="C145" s="4">
        <v>7.76</v>
      </c>
      <c r="D145" s="4">
        <v>136.0</v>
      </c>
    </row>
    <row r="146" ht="22.5" customHeight="1">
      <c r="B146" s="4">
        <v>2840404.0</v>
      </c>
      <c r="C146" s="4">
        <v>7.76</v>
      </c>
      <c r="D146" s="4">
        <v>136.0</v>
      </c>
    </row>
    <row r="147" ht="22.5" customHeight="1">
      <c r="B147" s="4">
        <v>2860407.0</v>
      </c>
      <c r="C147" s="4">
        <v>7.76</v>
      </c>
      <c r="D147" s="4">
        <v>136.0</v>
      </c>
    </row>
    <row r="148" ht="22.5" customHeight="1">
      <c r="B148" s="4">
        <v>2880410.0</v>
      </c>
      <c r="C148" s="4">
        <v>7.76</v>
      </c>
      <c r="D148" s="4">
        <v>135.9</v>
      </c>
    </row>
    <row r="149" ht="22.5" customHeight="1">
      <c r="B149" s="4">
        <v>2900413.0</v>
      </c>
      <c r="C149" s="4">
        <v>7.76</v>
      </c>
      <c r="D149" s="4">
        <v>135.9</v>
      </c>
    </row>
    <row r="150" ht="22.5" customHeight="1">
      <c r="B150" s="4">
        <v>2920416.0</v>
      </c>
      <c r="C150" s="4">
        <v>7.76</v>
      </c>
      <c r="D150" s="4">
        <v>135.9</v>
      </c>
    </row>
    <row r="151" ht="22.5" customHeight="1">
      <c r="B151" s="4">
        <v>2940419.0</v>
      </c>
      <c r="C151" s="4">
        <v>7.76</v>
      </c>
      <c r="D151" s="4">
        <v>136.0</v>
      </c>
    </row>
    <row r="152" ht="22.5" customHeight="1">
      <c r="B152" s="4">
        <v>2960421.0</v>
      </c>
      <c r="C152" s="4">
        <v>7.76</v>
      </c>
      <c r="D152" s="4">
        <v>136.0</v>
      </c>
    </row>
    <row r="153" ht="22.5" customHeight="1">
      <c r="B153" s="4">
        <v>2980424.0</v>
      </c>
      <c r="C153" s="4">
        <v>7.76</v>
      </c>
      <c r="D153" s="4">
        <v>136.0</v>
      </c>
    </row>
    <row r="154" ht="22.5" customHeight="1">
      <c r="B154" s="4">
        <v>3000427.0</v>
      </c>
      <c r="C154" s="4">
        <v>7.76</v>
      </c>
      <c r="D154" s="4">
        <v>135.9</v>
      </c>
    </row>
    <row r="155" ht="22.5" customHeight="1">
      <c r="B155" s="4">
        <v>3020430.0</v>
      </c>
      <c r="C155" s="4">
        <v>7.76</v>
      </c>
      <c r="D155" s="4">
        <v>135.9</v>
      </c>
    </row>
    <row r="156" ht="22.5" customHeight="1">
      <c r="B156" s="4">
        <v>3040433.0</v>
      </c>
      <c r="C156" s="4">
        <v>7.76</v>
      </c>
      <c r="D156" s="4">
        <v>135.9</v>
      </c>
    </row>
    <row r="157" ht="22.5" customHeight="1">
      <c r="B157" s="4">
        <v>3060435.0</v>
      </c>
      <c r="C157" s="4">
        <v>7.76</v>
      </c>
      <c r="D157" s="4">
        <v>135.9</v>
      </c>
    </row>
    <row r="158" ht="22.5" customHeight="1">
      <c r="B158" s="4">
        <v>3080438.0</v>
      </c>
      <c r="C158" s="4">
        <v>7.76</v>
      </c>
      <c r="D158" s="4">
        <v>135.9</v>
      </c>
    </row>
    <row r="159" ht="22.5" customHeight="1">
      <c r="B159" s="4">
        <v>3100441.0</v>
      </c>
      <c r="C159" s="4">
        <v>7.75</v>
      </c>
      <c r="D159" s="4">
        <v>135.9</v>
      </c>
    </row>
    <row r="160" ht="22.5" customHeight="1">
      <c r="B160" s="4">
        <v>3120444.0</v>
      </c>
      <c r="C160" s="4">
        <v>7.75</v>
      </c>
      <c r="D160" s="4">
        <v>135.9</v>
      </c>
    </row>
    <row r="161" ht="22.5" customHeight="1">
      <c r="B161" s="4">
        <v>3140447.0</v>
      </c>
      <c r="C161" s="4">
        <v>7.75</v>
      </c>
      <c r="D161" s="4">
        <v>135.8</v>
      </c>
    </row>
    <row r="162" ht="22.5" customHeight="1">
      <c r="B162" s="4">
        <v>3160450.0</v>
      </c>
      <c r="C162" s="4">
        <v>7.75</v>
      </c>
      <c r="D162" s="4">
        <v>135.8</v>
      </c>
    </row>
    <row r="163" ht="22.5" customHeight="1">
      <c r="B163" s="4">
        <v>3180452.0</v>
      </c>
      <c r="C163" s="4">
        <v>7.75</v>
      </c>
      <c r="D163" s="4">
        <v>135.9</v>
      </c>
    </row>
    <row r="164" ht="22.5" customHeight="1">
      <c r="B164" s="4">
        <v>3200455.0</v>
      </c>
      <c r="C164" s="4">
        <v>7.75</v>
      </c>
      <c r="D164" s="4">
        <v>135.8</v>
      </c>
    </row>
    <row r="165" ht="22.5" customHeight="1">
      <c r="B165" s="4">
        <v>3220458.0</v>
      </c>
      <c r="C165" s="4">
        <v>7.75</v>
      </c>
      <c r="D165" s="4">
        <v>135.8</v>
      </c>
    </row>
    <row r="166" ht="22.5" customHeight="1">
      <c r="B166" s="4">
        <v>3240461.0</v>
      </c>
      <c r="C166" s="4">
        <v>7.75</v>
      </c>
      <c r="D166" s="4">
        <v>135.8</v>
      </c>
    </row>
    <row r="167" ht="22.5" customHeight="1">
      <c r="B167" s="4">
        <v>3260464.0</v>
      </c>
      <c r="C167" s="4">
        <v>7.75</v>
      </c>
      <c r="D167" s="4">
        <v>135.8</v>
      </c>
    </row>
    <row r="168" ht="22.5" customHeight="1">
      <c r="B168" s="4">
        <v>3280466.0</v>
      </c>
      <c r="C168" s="4">
        <v>7.75</v>
      </c>
      <c r="D168" s="4">
        <v>135.7</v>
      </c>
    </row>
    <row r="169" ht="22.5" customHeight="1">
      <c r="B169" s="4">
        <v>3300469.0</v>
      </c>
      <c r="C169" s="4">
        <v>7.75</v>
      </c>
      <c r="D169" s="4">
        <v>135.8</v>
      </c>
    </row>
    <row r="170" ht="22.5" customHeight="1">
      <c r="B170" s="4">
        <v>3320472.0</v>
      </c>
      <c r="C170" s="4">
        <v>7.75</v>
      </c>
      <c r="D170" s="4">
        <v>135.8</v>
      </c>
    </row>
    <row r="171" ht="22.5" customHeight="1">
      <c r="B171" s="4">
        <v>3340475.0</v>
      </c>
      <c r="C171" s="4">
        <v>7.75</v>
      </c>
      <c r="D171" s="4">
        <v>135.7</v>
      </c>
    </row>
    <row r="172" ht="22.5" customHeight="1">
      <c r="B172" s="4">
        <v>3360478.0</v>
      </c>
      <c r="C172" s="4">
        <v>7.75</v>
      </c>
      <c r="D172" s="4">
        <v>135.8</v>
      </c>
    </row>
    <row r="173" ht="22.5" customHeight="1">
      <c r="B173" s="4">
        <v>3380481.0</v>
      </c>
      <c r="C173" s="4">
        <v>7.75</v>
      </c>
      <c r="D173" s="4">
        <v>135.7</v>
      </c>
    </row>
    <row r="174" ht="22.5" customHeight="1">
      <c r="B174" s="4">
        <v>3400483.0</v>
      </c>
      <c r="C174" s="4">
        <v>7.74</v>
      </c>
      <c r="D174" s="4">
        <v>135.7</v>
      </c>
    </row>
    <row r="175" ht="22.5" customHeight="1">
      <c r="B175" s="4">
        <v>3420486.0</v>
      </c>
      <c r="C175" s="4">
        <v>7.74</v>
      </c>
      <c r="D175" s="4">
        <v>135.7</v>
      </c>
    </row>
    <row r="176" ht="22.5" customHeight="1">
      <c r="B176" s="4">
        <v>3440489.0</v>
      </c>
      <c r="C176" s="4">
        <v>7.75</v>
      </c>
      <c r="D176" s="4">
        <v>135.7</v>
      </c>
    </row>
    <row r="177" ht="22.5" customHeight="1">
      <c r="B177" s="4">
        <v>3460492.0</v>
      </c>
      <c r="C177" s="4">
        <v>7.74</v>
      </c>
      <c r="D177" s="4">
        <v>135.7</v>
      </c>
    </row>
    <row r="178" ht="22.5" customHeight="1">
      <c r="B178" s="4">
        <v>3480495.0</v>
      </c>
      <c r="C178" s="4">
        <v>7.74</v>
      </c>
      <c r="D178" s="4">
        <v>135.7</v>
      </c>
    </row>
    <row r="179" ht="22.5" customHeight="1">
      <c r="B179" s="4">
        <v>3500497.0</v>
      </c>
      <c r="C179" s="4">
        <v>7.74</v>
      </c>
      <c r="D179" s="4">
        <v>135.7</v>
      </c>
    </row>
    <row r="180" ht="22.5" customHeight="1">
      <c r="B180" s="4">
        <v>3520500.0</v>
      </c>
      <c r="C180" s="4">
        <v>7.74</v>
      </c>
      <c r="D180" s="4">
        <v>135.7</v>
      </c>
    </row>
    <row r="181" ht="22.5" customHeight="1">
      <c r="B181" s="4">
        <v>3540504.0</v>
      </c>
      <c r="C181" s="4">
        <v>7.74</v>
      </c>
      <c r="D181" s="4">
        <v>135.7</v>
      </c>
    </row>
    <row r="182" ht="22.5" customHeight="1">
      <c r="B182" s="4">
        <v>3560507.0</v>
      </c>
      <c r="C182" s="4">
        <v>7.74</v>
      </c>
      <c r="D182" s="4">
        <v>135.7</v>
      </c>
    </row>
    <row r="183" ht="22.5" customHeight="1">
      <c r="B183" s="4">
        <v>3580510.0</v>
      </c>
      <c r="C183" s="4">
        <v>7.74</v>
      </c>
      <c r="D183" s="4">
        <v>135.7</v>
      </c>
    </row>
    <row r="184" ht="22.5" customHeight="1">
      <c r="B184" s="4">
        <v>3600513.0</v>
      </c>
      <c r="C184" s="4">
        <v>7.74</v>
      </c>
      <c r="D184" s="4">
        <v>135.5</v>
      </c>
    </row>
    <row r="185" ht="22.5" customHeight="1">
      <c r="B185" s="4">
        <v>3620515.0</v>
      </c>
      <c r="C185" s="4">
        <v>7.74</v>
      </c>
      <c r="D185" s="4">
        <v>135.6</v>
      </c>
    </row>
    <row r="186" ht="22.5" customHeight="1">
      <c r="B186" s="4">
        <v>3640518.0</v>
      </c>
      <c r="C186" s="4">
        <v>7.74</v>
      </c>
      <c r="D186" s="4">
        <v>135.6</v>
      </c>
    </row>
    <row r="187" ht="22.5" customHeight="1">
      <c r="B187" s="4">
        <v>3660521.0</v>
      </c>
      <c r="C187" s="4">
        <v>7.74</v>
      </c>
      <c r="D187" s="4">
        <v>135.7</v>
      </c>
    </row>
    <row r="188" ht="22.5" customHeight="1">
      <c r="B188" s="4">
        <v>3680524.0</v>
      </c>
      <c r="C188" s="4">
        <v>7.74</v>
      </c>
      <c r="D188" s="4">
        <v>135.6</v>
      </c>
    </row>
    <row r="189" ht="22.5" customHeight="1">
      <c r="B189" s="4">
        <v>3700527.0</v>
      </c>
      <c r="C189" s="4">
        <v>7.74</v>
      </c>
      <c r="D189" s="4">
        <v>135.6</v>
      </c>
    </row>
    <row r="190" ht="22.5" customHeight="1">
      <c r="B190" s="4">
        <v>3720529.0</v>
      </c>
      <c r="C190" s="4">
        <v>7.74</v>
      </c>
      <c r="D190" s="4">
        <v>135.6</v>
      </c>
    </row>
    <row r="191" ht="22.5" customHeight="1">
      <c r="B191" s="4">
        <v>3740532.0</v>
      </c>
      <c r="C191" s="4">
        <v>7.74</v>
      </c>
      <c r="D191" s="4">
        <v>135.6</v>
      </c>
    </row>
    <row r="192" ht="22.5" customHeight="1">
      <c r="B192" s="4">
        <v>3760535.0</v>
      </c>
      <c r="C192" s="4">
        <v>7.74</v>
      </c>
      <c r="D192" s="4">
        <v>135.6</v>
      </c>
    </row>
    <row r="193" ht="22.5" customHeight="1">
      <c r="B193" s="4">
        <v>3780538.0</v>
      </c>
      <c r="C193" s="4">
        <v>7.74</v>
      </c>
      <c r="D193" s="4">
        <v>135.6</v>
      </c>
    </row>
    <row r="194" ht="22.5" customHeight="1">
      <c r="B194" s="4">
        <v>3800541.0</v>
      </c>
      <c r="C194" s="4">
        <v>7.74</v>
      </c>
      <c r="D194" s="4">
        <v>135.5</v>
      </c>
    </row>
    <row r="195" ht="22.5" customHeight="1">
      <c r="B195" s="4">
        <v>3820544.0</v>
      </c>
      <c r="C195" s="4">
        <v>7.74</v>
      </c>
      <c r="D195" s="4">
        <v>135.6</v>
      </c>
    </row>
    <row r="196" ht="22.5" customHeight="1">
      <c r="B196" s="4">
        <v>3840546.0</v>
      </c>
      <c r="C196" s="4">
        <v>7.74</v>
      </c>
      <c r="D196" s="4">
        <v>135.6</v>
      </c>
    </row>
    <row r="197" ht="22.5" customHeight="1">
      <c r="B197" s="4">
        <v>3860549.0</v>
      </c>
      <c r="C197" s="4">
        <v>7.74</v>
      </c>
      <c r="D197" s="4">
        <v>135.6</v>
      </c>
    </row>
    <row r="198" ht="22.5" customHeight="1">
      <c r="B198" s="4">
        <v>3880552.0</v>
      </c>
      <c r="C198" s="4">
        <v>7.74</v>
      </c>
      <c r="D198" s="4">
        <v>135.5</v>
      </c>
    </row>
    <row r="199" ht="22.5" customHeight="1">
      <c r="B199" s="4">
        <v>3900555.0</v>
      </c>
      <c r="C199" s="4">
        <v>7.74</v>
      </c>
      <c r="D199" s="4">
        <v>135.5</v>
      </c>
    </row>
    <row r="200" ht="22.5" customHeight="1">
      <c r="B200" s="4">
        <v>3920558.0</v>
      </c>
      <c r="C200" s="4">
        <v>7.73</v>
      </c>
      <c r="D200" s="4">
        <v>135.6</v>
      </c>
    </row>
    <row r="201" ht="22.5" customHeight="1">
      <c r="B201" s="4">
        <v>3940560.0</v>
      </c>
      <c r="C201" s="4">
        <v>7.73</v>
      </c>
      <c r="D201" s="4">
        <v>135.6</v>
      </c>
    </row>
    <row r="202" ht="22.5" customHeight="1">
      <c r="B202" s="4">
        <v>3960563.0</v>
      </c>
      <c r="C202" s="4">
        <v>7.73</v>
      </c>
      <c r="D202" s="4">
        <v>135.5</v>
      </c>
    </row>
    <row r="203" ht="22.5" customHeight="1">
      <c r="B203" s="4">
        <v>3980566.0</v>
      </c>
      <c r="C203" s="4">
        <v>7.74</v>
      </c>
      <c r="D203" s="4">
        <v>135.5</v>
      </c>
    </row>
    <row r="204" ht="22.5" customHeight="1">
      <c r="B204" s="4">
        <v>4000569.0</v>
      </c>
      <c r="C204" s="4">
        <v>7.73</v>
      </c>
      <c r="D204" s="4">
        <v>135.5</v>
      </c>
    </row>
    <row r="205" ht="22.5" customHeight="1">
      <c r="B205" s="4">
        <v>4020572.0</v>
      </c>
      <c r="C205" s="4">
        <v>7.74</v>
      </c>
      <c r="D205" s="4">
        <v>135.5</v>
      </c>
    </row>
    <row r="206" ht="22.5" customHeight="1">
      <c r="B206" s="4">
        <v>4040574.0</v>
      </c>
      <c r="C206" s="4">
        <v>7.73</v>
      </c>
      <c r="D206" s="4">
        <v>135.5</v>
      </c>
    </row>
    <row r="207" ht="22.5" customHeight="1">
      <c r="B207" s="4">
        <v>4060577.0</v>
      </c>
      <c r="C207" s="4">
        <v>7.73</v>
      </c>
      <c r="D207" s="4">
        <v>135.5</v>
      </c>
    </row>
    <row r="208" ht="22.5" customHeight="1">
      <c r="B208" s="4">
        <v>4080580.0</v>
      </c>
      <c r="C208" s="4">
        <v>7.73</v>
      </c>
      <c r="D208" s="4">
        <v>135.4</v>
      </c>
    </row>
    <row r="209" ht="22.5" customHeight="1">
      <c r="B209" s="4">
        <v>4100583.0</v>
      </c>
      <c r="C209" s="4">
        <v>7.73</v>
      </c>
      <c r="D209" s="4">
        <v>135.5</v>
      </c>
    </row>
    <row r="210" ht="22.5" customHeight="1">
      <c r="B210" s="4">
        <v>4120586.0</v>
      </c>
      <c r="C210" s="4">
        <v>7.73</v>
      </c>
      <c r="D210" s="4">
        <v>135.5</v>
      </c>
    </row>
    <row r="211" ht="22.5" customHeight="1">
      <c r="B211" s="4">
        <v>4140589.0</v>
      </c>
      <c r="C211" s="4">
        <v>7.73</v>
      </c>
      <c r="D211" s="4">
        <v>135.4</v>
      </c>
    </row>
    <row r="212" ht="22.5" customHeight="1">
      <c r="B212" s="4">
        <v>4160591.0</v>
      </c>
      <c r="C212" s="4">
        <v>7.73</v>
      </c>
      <c r="D212" s="4">
        <v>135.5</v>
      </c>
    </row>
    <row r="213" ht="22.5" customHeight="1">
      <c r="B213" s="4">
        <v>4180594.0</v>
      </c>
      <c r="C213" s="4">
        <v>7.73</v>
      </c>
      <c r="D213" s="4">
        <v>135.4</v>
      </c>
    </row>
    <row r="214" ht="22.5" customHeight="1">
      <c r="B214" s="4">
        <v>4200597.0</v>
      </c>
      <c r="C214" s="4">
        <v>7.73</v>
      </c>
      <c r="D214" s="4">
        <v>135.5</v>
      </c>
    </row>
    <row r="215" ht="22.5" customHeight="1">
      <c r="B215" s="4">
        <v>4220600.0</v>
      </c>
      <c r="C215" s="4">
        <v>7.73</v>
      </c>
      <c r="D215" s="4">
        <v>135.4</v>
      </c>
    </row>
    <row r="216" ht="22.5" customHeight="1">
      <c r="B216" s="4">
        <v>4240603.0</v>
      </c>
      <c r="C216" s="4">
        <v>7.73</v>
      </c>
      <c r="D216" s="4">
        <v>135.4</v>
      </c>
    </row>
    <row r="217" ht="22.5" customHeight="1">
      <c r="B217" s="4">
        <v>4260606.0</v>
      </c>
      <c r="C217" s="4">
        <v>7.73</v>
      </c>
      <c r="D217" s="4">
        <v>135.4</v>
      </c>
    </row>
    <row r="218" ht="22.5" customHeight="1">
      <c r="B218" s="4">
        <v>4280609.0</v>
      </c>
      <c r="C218" s="4">
        <v>7.73</v>
      </c>
      <c r="D218" s="4">
        <v>135.4</v>
      </c>
    </row>
    <row r="219" ht="22.5" customHeight="1">
      <c r="B219" s="4">
        <v>4300612.0</v>
      </c>
      <c r="C219" s="4">
        <v>7.73</v>
      </c>
      <c r="D219" s="4">
        <v>135.4</v>
      </c>
    </row>
    <row r="220" ht="22.5" customHeight="1">
      <c r="B220" s="4">
        <v>4320615.0</v>
      </c>
      <c r="C220" s="4">
        <v>7.73</v>
      </c>
      <c r="D220" s="4">
        <v>135.4</v>
      </c>
    </row>
    <row r="221" ht="22.5" customHeight="1">
      <c r="B221" s="4">
        <v>4340618.0</v>
      </c>
      <c r="C221" s="4">
        <v>7.73</v>
      </c>
      <c r="D221" s="4">
        <v>135.4</v>
      </c>
    </row>
    <row r="222" ht="22.5" customHeight="1">
      <c r="B222" s="4">
        <v>4360621.0</v>
      </c>
      <c r="C222" s="4">
        <v>7.72</v>
      </c>
      <c r="D222" s="4">
        <v>135.4</v>
      </c>
    </row>
    <row r="223" ht="22.5" customHeight="1">
      <c r="B223" s="4">
        <v>4380623.0</v>
      </c>
      <c r="C223" s="4">
        <v>7.72</v>
      </c>
      <c r="D223" s="4">
        <v>135.3</v>
      </c>
    </row>
    <row r="224" ht="22.5" customHeight="1">
      <c r="B224" s="4">
        <v>4400626.0</v>
      </c>
      <c r="C224" s="4">
        <v>7.72</v>
      </c>
      <c r="D224" s="4">
        <v>135.3</v>
      </c>
    </row>
    <row r="225" ht="22.5" customHeight="1">
      <c r="B225" s="4">
        <v>4420629.0</v>
      </c>
      <c r="C225" s="4">
        <v>7.72</v>
      </c>
      <c r="D225" s="4">
        <v>135.3</v>
      </c>
    </row>
    <row r="226" ht="22.5" customHeight="1">
      <c r="B226" s="4">
        <v>4440632.0</v>
      </c>
      <c r="C226" s="4">
        <v>7.72</v>
      </c>
      <c r="D226" s="4">
        <v>135.3</v>
      </c>
    </row>
    <row r="227" ht="22.5" customHeight="1">
      <c r="B227" s="4">
        <v>4460635.0</v>
      </c>
      <c r="C227" s="4">
        <v>7.72</v>
      </c>
      <c r="D227" s="4">
        <v>135.3</v>
      </c>
    </row>
    <row r="228" ht="22.5" customHeight="1">
      <c r="B228" s="4">
        <v>4480637.0</v>
      </c>
      <c r="C228" s="4">
        <v>7.72</v>
      </c>
      <c r="D228" s="4">
        <v>135.2</v>
      </c>
    </row>
    <row r="229" ht="22.5" customHeight="1">
      <c r="B229" s="4">
        <v>4500640.0</v>
      </c>
      <c r="C229" s="4">
        <v>7.72</v>
      </c>
      <c r="D229" s="4">
        <v>135.3</v>
      </c>
    </row>
    <row r="230" ht="22.5" customHeight="1">
      <c r="B230" s="4">
        <v>4520643.0</v>
      </c>
      <c r="C230" s="4">
        <v>7.72</v>
      </c>
      <c r="D230" s="4">
        <v>135.3</v>
      </c>
    </row>
    <row r="231" ht="22.5" customHeight="1">
      <c r="B231" s="4">
        <v>4540646.0</v>
      </c>
      <c r="C231" s="4">
        <v>7.72</v>
      </c>
      <c r="D231" s="4">
        <v>135.3</v>
      </c>
    </row>
    <row r="232" ht="22.5" customHeight="1">
      <c r="B232" s="4">
        <v>4560649.0</v>
      </c>
      <c r="C232" s="4">
        <v>7.72</v>
      </c>
      <c r="D232" s="4">
        <v>135.4</v>
      </c>
    </row>
    <row r="233" ht="22.5" customHeight="1">
      <c r="B233" s="4">
        <v>4580652.0</v>
      </c>
      <c r="C233" s="4">
        <v>7.72</v>
      </c>
      <c r="D233" s="4">
        <v>135.2</v>
      </c>
    </row>
    <row r="234" ht="22.5" customHeight="1">
      <c r="B234" s="4">
        <v>4600654.0</v>
      </c>
      <c r="C234" s="4">
        <v>7.72</v>
      </c>
      <c r="D234" s="4">
        <v>135.3</v>
      </c>
    </row>
    <row r="235" ht="22.5" customHeight="1">
      <c r="B235" s="4">
        <v>4620657.0</v>
      </c>
      <c r="C235" s="4">
        <v>7.72</v>
      </c>
      <c r="D235" s="4">
        <v>135.3</v>
      </c>
    </row>
    <row r="236" ht="22.5" customHeight="1">
      <c r="B236" s="4">
        <v>4640660.0</v>
      </c>
      <c r="C236" s="4">
        <v>7.72</v>
      </c>
      <c r="D236" s="4">
        <v>135.2</v>
      </c>
    </row>
    <row r="237" ht="22.5" customHeight="1">
      <c r="B237" s="4">
        <v>4660663.0</v>
      </c>
      <c r="C237" s="4">
        <v>7.72</v>
      </c>
      <c r="D237" s="4">
        <v>135.2</v>
      </c>
    </row>
    <row r="238" ht="22.5" customHeight="1">
      <c r="B238" s="4">
        <v>4680666.0</v>
      </c>
      <c r="C238" s="4">
        <v>7.72</v>
      </c>
      <c r="D238" s="4">
        <v>135.3</v>
      </c>
    </row>
    <row r="239" ht="22.5" customHeight="1">
      <c r="B239" s="4">
        <v>4700668.0</v>
      </c>
      <c r="C239" s="4">
        <v>7.72</v>
      </c>
      <c r="D239" s="4">
        <v>135.2</v>
      </c>
    </row>
    <row r="240" ht="22.5" customHeight="1">
      <c r="B240" s="4">
        <v>4720671.0</v>
      </c>
      <c r="C240" s="4">
        <v>7.72</v>
      </c>
      <c r="D240" s="4">
        <v>135.3</v>
      </c>
    </row>
    <row r="241" ht="22.5" customHeight="1">
      <c r="B241" s="4">
        <v>4740674.0</v>
      </c>
      <c r="C241" s="4">
        <v>7.72</v>
      </c>
      <c r="D241" s="4">
        <v>135.2</v>
      </c>
    </row>
    <row r="242" ht="22.5" customHeight="1">
      <c r="B242" s="4">
        <v>4760677.0</v>
      </c>
      <c r="C242" s="4">
        <v>7.72</v>
      </c>
      <c r="D242" s="4">
        <v>135.2</v>
      </c>
    </row>
    <row r="243" ht="22.5" customHeight="1">
      <c r="B243" s="4">
        <v>4780680.0</v>
      </c>
      <c r="C243" s="4">
        <v>7.72</v>
      </c>
      <c r="D243" s="4">
        <v>135.3</v>
      </c>
    </row>
    <row r="244" ht="22.5" customHeight="1">
      <c r="B244" s="4">
        <v>4800683.0</v>
      </c>
      <c r="C244" s="4">
        <v>7.72</v>
      </c>
      <c r="D244" s="4">
        <v>135.2</v>
      </c>
    </row>
    <row r="245" ht="22.5" customHeight="1">
      <c r="B245" s="4">
        <v>4820685.0</v>
      </c>
      <c r="C245" s="4">
        <v>7.72</v>
      </c>
      <c r="D245" s="4">
        <v>135.2</v>
      </c>
    </row>
    <row r="246" ht="22.5" customHeight="1">
      <c r="B246" s="4">
        <v>4840688.0</v>
      </c>
      <c r="C246" s="4">
        <v>7.72</v>
      </c>
      <c r="D246" s="4">
        <v>135.2</v>
      </c>
    </row>
    <row r="247" ht="22.5" customHeight="1">
      <c r="B247" s="4">
        <v>4860691.0</v>
      </c>
      <c r="C247" s="4">
        <v>7.72</v>
      </c>
      <c r="D247" s="4">
        <v>135.1</v>
      </c>
    </row>
    <row r="248" ht="22.5" customHeight="1">
      <c r="B248" s="4">
        <v>4880694.0</v>
      </c>
      <c r="C248" s="4">
        <v>7.72</v>
      </c>
      <c r="D248" s="4">
        <v>135.2</v>
      </c>
    </row>
    <row r="249" ht="22.5" customHeight="1">
      <c r="B249" s="4">
        <v>4900698.0</v>
      </c>
      <c r="C249" s="4">
        <v>7.72</v>
      </c>
      <c r="D249" s="4">
        <v>135.2</v>
      </c>
    </row>
    <row r="250" ht="22.5" customHeight="1">
      <c r="B250" s="4">
        <v>4920700.0</v>
      </c>
      <c r="C250" s="4">
        <v>7.72</v>
      </c>
      <c r="D250" s="4">
        <v>135.1</v>
      </c>
    </row>
    <row r="251" ht="22.5" customHeight="1">
      <c r="B251" s="4">
        <v>4940703.0</v>
      </c>
      <c r="C251" s="4">
        <v>7.72</v>
      </c>
      <c r="D251" s="4">
        <v>135.1</v>
      </c>
    </row>
    <row r="252" ht="22.5" customHeight="1">
      <c r="B252" s="4">
        <v>4960706.0</v>
      </c>
      <c r="C252" s="4">
        <v>7.72</v>
      </c>
      <c r="D252" s="4">
        <v>135.1</v>
      </c>
    </row>
    <row r="253" ht="22.5" customHeight="1">
      <c r="B253" s="4">
        <v>4980709.0</v>
      </c>
      <c r="C253" s="4">
        <v>7.71</v>
      </c>
      <c r="D253" s="4">
        <v>135.1</v>
      </c>
    </row>
    <row r="254" ht="22.5" customHeight="1">
      <c r="B254" s="4">
        <v>5000712.0</v>
      </c>
      <c r="C254" s="4">
        <v>7.71</v>
      </c>
      <c r="D254" s="4">
        <v>135.1</v>
      </c>
    </row>
    <row r="255" ht="22.5" customHeight="1">
      <c r="B255" s="4">
        <v>5020715.0</v>
      </c>
      <c r="C255" s="4">
        <v>7.71</v>
      </c>
      <c r="D255" s="4">
        <v>135.1</v>
      </c>
    </row>
    <row r="256" ht="22.5" customHeight="1">
      <c r="B256" s="4">
        <v>5040717.0</v>
      </c>
      <c r="C256" s="4">
        <v>7.71</v>
      </c>
      <c r="D256" s="4">
        <v>135.1</v>
      </c>
    </row>
    <row r="257" ht="22.5" customHeight="1">
      <c r="B257" s="4">
        <v>5060720.0</v>
      </c>
      <c r="C257" s="4">
        <v>7.71</v>
      </c>
      <c r="D257" s="4">
        <v>135.1</v>
      </c>
    </row>
    <row r="258" ht="22.5" customHeight="1">
      <c r="B258" s="4">
        <v>5080723.0</v>
      </c>
      <c r="C258" s="4">
        <v>7.71</v>
      </c>
      <c r="D258" s="4">
        <v>135.1</v>
      </c>
    </row>
    <row r="259" ht="22.5" customHeight="1">
      <c r="B259" s="4">
        <v>5100726.0</v>
      </c>
      <c r="C259" s="4">
        <v>7.71</v>
      </c>
      <c r="D259" s="4">
        <v>135.1</v>
      </c>
    </row>
    <row r="260" ht="22.5" customHeight="1">
      <c r="B260" s="4">
        <v>5120729.0</v>
      </c>
      <c r="C260" s="4">
        <v>7.71</v>
      </c>
      <c r="D260" s="4">
        <v>135.1</v>
      </c>
    </row>
    <row r="261" ht="22.5" customHeight="1">
      <c r="B261" s="4">
        <v>5140731.0</v>
      </c>
      <c r="C261" s="4">
        <v>7.71</v>
      </c>
      <c r="D261" s="4">
        <v>135.1</v>
      </c>
    </row>
    <row r="262" ht="22.5" customHeight="1">
      <c r="B262" s="4">
        <v>5160734.0</v>
      </c>
      <c r="C262" s="4">
        <v>7.71</v>
      </c>
      <c r="D262" s="4">
        <v>135.1</v>
      </c>
    </row>
    <row r="263" ht="22.5" customHeight="1">
      <c r="B263" s="4">
        <v>5180737.0</v>
      </c>
      <c r="C263" s="4">
        <v>7.71</v>
      </c>
      <c r="D263" s="4">
        <v>135.1</v>
      </c>
    </row>
    <row r="264" ht="22.5" customHeight="1">
      <c r="B264" s="4">
        <v>5200740.0</v>
      </c>
      <c r="C264" s="4">
        <v>7.71</v>
      </c>
      <c r="D264" s="4">
        <v>135.0</v>
      </c>
    </row>
    <row r="265" ht="22.5" customHeight="1">
      <c r="B265" s="4">
        <v>5220743.0</v>
      </c>
      <c r="C265" s="4">
        <v>7.71</v>
      </c>
      <c r="D265" s="4">
        <v>135.1</v>
      </c>
    </row>
    <row r="266" ht="22.5" customHeight="1">
      <c r="B266" s="4">
        <v>5240745.0</v>
      </c>
      <c r="C266" s="4">
        <v>7.71</v>
      </c>
      <c r="D266" s="4">
        <v>135.0</v>
      </c>
    </row>
    <row r="267" ht="22.5" customHeight="1">
      <c r="B267" s="4">
        <v>5260748.0</v>
      </c>
      <c r="C267" s="4">
        <v>7.71</v>
      </c>
      <c r="D267" s="4">
        <v>135.0</v>
      </c>
    </row>
    <row r="268" ht="22.5" customHeight="1">
      <c r="B268" s="4">
        <v>5280751.0</v>
      </c>
      <c r="C268" s="4">
        <v>7.71</v>
      </c>
      <c r="D268" s="4">
        <v>135.0</v>
      </c>
    </row>
    <row r="269" ht="22.5" customHeight="1">
      <c r="B269" s="4">
        <v>5300754.0</v>
      </c>
      <c r="C269" s="4">
        <v>7.71</v>
      </c>
      <c r="D269" s="4">
        <v>135.0</v>
      </c>
    </row>
    <row r="270" ht="22.5" customHeight="1">
      <c r="B270" s="4">
        <v>5320757.0</v>
      </c>
      <c r="C270" s="4">
        <v>7.71</v>
      </c>
      <c r="D270" s="4">
        <v>135.0</v>
      </c>
    </row>
    <row r="271" ht="22.5" customHeight="1">
      <c r="B271" s="4">
        <v>5340760.0</v>
      </c>
      <c r="C271" s="4">
        <v>7.71</v>
      </c>
      <c r="D271" s="4">
        <v>135.0</v>
      </c>
    </row>
    <row r="272" ht="22.5" customHeight="1">
      <c r="B272" s="4">
        <v>5360762.0</v>
      </c>
      <c r="C272" s="4">
        <v>7.71</v>
      </c>
      <c r="D272" s="4">
        <v>135.0</v>
      </c>
    </row>
    <row r="273" ht="22.5" customHeight="1">
      <c r="B273" s="4">
        <v>5380765.0</v>
      </c>
      <c r="C273" s="4">
        <v>7.71</v>
      </c>
      <c r="D273" s="4">
        <v>135.0</v>
      </c>
    </row>
    <row r="274" ht="22.5" customHeight="1">
      <c r="B274" s="4">
        <v>5400768.0</v>
      </c>
      <c r="C274" s="4">
        <v>7.71</v>
      </c>
      <c r="D274" s="4">
        <v>135.0</v>
      </c>
    </row>
    <row r="275" ht="22.5" customHeight="1">
      <c r="B275" s="4">
        <v>5420771.0</v>
      </c>
      <c r="C275" s="4">
        <v>7.71</v>
      </c>
      <c r="D275" s="4">
        <v>135.0</v>
      </c>
    </row>
    <row r="276" ht="22.5" customHeight="1">
      <c r="B276" s="4">
        <v>5440774.0</v>
      </c>
      <c r="C276" s="4">
        <v>7.71</v>
      </c>
      <c r="D276" s="4">
        <v>135.0</v>
      </c>
    </row>
    <row r="277" ht="22.5" customHeight="1">
      <c r="B277" s="4">
        <v>5460776.0</v>
      </c>
      <c r="C277" s="4">
        <v>7.7</v>
      </c>
      <c r="D277" s="4">
        <v>135.0</v>
      </c>
    </row>
    <row r="278" ht="22.5" customHeight="1">
      <c r="B278" s="4">
        <v>5480779.0</v>
      </c>
      <c r="C278" s="4">
        <v>7.7</v>
      </c>
      <c r="D278" s="4">
        <v>135.0</v>
      </c>
    </row>
    <row r="279" ht="22.5" customHeight="1">
      <c r="B279" s="4">
        <v>5500782.0</v>
      </c>
      <c r="C279" s="4">
        <v>7.7</v>
      </c>
      <c r="D279" s="4">
        <v>135.0</v>
      </c>
    </row>
    <row r="280" ht="22.5" customHeight="1">
      <c r="B280" s="4">
        <v>5520785.0</v>
      </c>
      <c r="C280" s="4">
        <v>7.7</v>
      </c>
      <c r="D280" s="4">
        <v>135.0</v>
      </c>
    </row>
    <row r="281" ht="22.5" customHeight="1">
      <c r="B281" s="4">
        <v>5540788.0</v>
      </c>
      <c r="C281" s="4">
        <v>7.7</v>
      </c>
      <c r="D281" s="4">
        <v>135.0</v>
      </c>
    </row>
    <row r="282" ht="22.5" customHeight="1">
      <c r="B282" s="4">
        <v>5560791.0</v>
      </c>
      <c r="C282" s="4">
        <v>7.7</v>
      </c>
      <c r="D282" s="4">
        <v>134.9</v>
      </c>
    </row>
    <row r="283" ht="22.5" customHeight="1">
      <c r="B283" s="4">
        <v>5580793.0</v>
      </c>
      <c r="C283" s="4">
        <v>7.7</v>
      </c>
      <c r="D283" s="4">
        <v>134.9</v>
      </c>
    </row>
    <row r="284" ht="22.5" customHeight="1">
      <c r="B284" s="4">
        <v>5600796.0</v>
      </c>
      <c r="C284" s="4">
        <v>7.7</v>
      </c>
      <c r="D284" s="4">
        <v>135.0</v>
      </c>
    </row>
    <row r="285" ht="22.5" customHeight="1">
      <c r="B285" s="4">
        <v>5620799.0</v>
      </c>
      <c r="C285" s="4">
        <v>7.7</v>
      </c>
      <c r="D285" s="4">
        <v>134.9</v>
      </c>
    </row>
    <row r="286" ht="22.5" customHeight="1">
      <c r="B286" s="4">
        <v>5640802.0</v>
      </c>
      <c r="C286" s="4">
        <v>7.7</v>
      </c>
      <c r="D286" s="4">
        <v>134.9</v>
      </c>
    </row>
    <row r="287" ht="22.5" customHeight="1">
      <c r="B287" s="4">
        <v>5660805.0</v>
      </c>
      <c r="C287" s="4">
        <v>7.7</v>
      </c>
      <c r="D287" s="4">
        <v>134.9</v>
      </c>
    </row>
    <row r="288" ht="22.5" customHeight="1">
      <c r="B288" s="4">
        <v>5680808.0</v>
      </c>
      <c r="C288" s="4">
        <v>7.7</v>
      </c>
      <c r="D288" s="4">
        <v>134.9</v>
      </c>
    </row>
    <row r="289" ht="22.5" customHeight="1">
      <c r="B289" s="4">
        <v>5700811.0</v>
      </c>
      <c r="C289" s="4">
        <v>7.7</v>
      </c>
      <c r="D289" s="4">
        <v>134.9</v>
      </c>
    </row>
    <row r="290" ht="22.5" customHeight="1">
      <c r="B290" s="4">
        <v>5720814.0</v>
      </c>
      <c r="C290" s="4">
        <v>7.7</v>
      </c>
      <c r="D290" s="4">
        <v>134.9</v>
      </c>
    </row>
    <row r="291" ht="22.5" customHeight="1">
      <c r="B291" s="4">
        <v>5740817.0</v>
      </c>
      <c r="C291" s="4">
        <v>7.7</v>
      </c>
      <c r="D291" s="4">
        <v>134.9</v>
      </c>
    </row>
    <row r="292" ht="22.5" customHeight="1">
      <c r="B292" s="4">
        <v>5760820.0</v>
      </c>
      <c r="C292" s="4">
        <v>7.7</v>
      </c>
      <c r="D292" s="4">
        <v>134.9</v>
      </c>
    </row>
    <row r="293" ht="22.5" customHeight="1">
      <c r="B293" s="4">
        <v>5780823.0</v>
      </c>
      <c r="C293" s="4">
        <v>7.7</v>
      </c>
      <c r="D293" s="4">
        <v>134.9</v>
      </c>
    </row>
    <row r="294" ht="22.5" customHeight="1">
      <c r="B294" s="4">
        <v>5800825.0</v>
      </c>
      <c r="C294" s="4">
        <v>7.7</v>
      </c>
      <c r="D294" s="4">
        <v>134.8</v>
      </c>
    </row>
    <row r="295" ht="22.5" customHeight="1">
      <c r="B295" s="4">
        <v>5820828.0</v>
      </c>
      <c r="C295" s="4">
        <v>7.7</v>
      </c>
      <c r="D295" s="4">
        <v>134.9</v>
      </c>
    </row>
    <row r="296" ht="22.5" customHeight="1">
      <c r="B296" s="4">
        <v>5840831.0</v>
      </c>
      <c r="C296" s="4">
        <v>7.7</v>
      </c>
      <c r="D296" s="4">
        <v>134.9</v>
      </c>
    </row>
    <row r="297" ht="22.5" customHeight="1">
      <c r="B297" s="4">
        <v>5860834.0</v>
      </c>
      <c r="C297" s="4">
        <v>7.7</v>
      </c>
      <c r="D297" s="4">
        <v>134.9</v>
      </c>
    </row>
    <row r="298" ht="22.5" customHeight="1">
      <c r="B298" s="4">
        <v>5880837.0</v>
      </c>
      <c r="C298" s="4">
        <v>7.7</v>
      </c>
      <c r="D298" s="4">
        <v>134.8</v>
      </c>
    </row>
    <row r="299" ht="22.5" customHeight="1">
      <c r="B299" s="4">
        <v>5900839.0</v>
      </c>
      <c r="C299" s="4">
        <v>7.7</v>
      </c>
      <c r="D299" s="4">
        <v>134.9</v>
      </c>
    </row>
    <row r="300" ht="22.5" customHeight="1">
      <c r="B300" s="4">
        <v>5920842.0</v>
      </c>
      <c r="C300" s="4">
        <v>7.7</v>
      </c>
      <c r="D300" s="4">
        <v>134.9</v>
      </c>
    </row>
    <row r="301" ht="22.5" customHeight="1">
      <c r="B301" s="4">
        <v>5940845.0</v>
      </c>
      <c r="C301" s="4">
        <v>7.7</v>
      </c>
      <c r="D301" s="4">
        <v>134.9</v>
      </c>
    </row>
    <row r="302" ht="22.5" customHeight="1">
      <c r="B302" s="4">
        <v>5960848.0</v>
      </c>
      <c r="C302" s="4">
        <v>7.7</v>
      </c>
      <c r="D302" s="4">
        <v>134.9</v>
      </c>
    </row>
    <row r="303" ht="22.5" customHeight="1">
      <c r="B303" s="4">
        <v>5980851.0</v>
      </c>
      <c r="C303" s="4">
        <v>7.7</v>
      </c>
      <c r="D303" s="4">
        <v>134.8</v>
      </c>
    </row>
    <row r="304" ht="22.5" customHeight="1">
      <c r="B304" s="4">
        <v>6000854.0</v>
      </c>
      <c r="C304" s="4">
        <v>7.7</v>
      </c>
      <c r="D304" s="4">
        <v>134.8</v>
      </c>
    </row>
    <row r="305" ht="22.5" customHeight="1">
      <c r="B305" s="4">
        <v>6020856.0</v>
      </c>
      <c r="C305" s="4">
        <v>7.7</v>
      </c>
      <c r="D305" s="4">
        <v>134.8</v>
      </c>
    </row>
    <row r="306" ht="22.5" customHeight="1">
      <c r="B306" s="4">
        <v>6040859.0</v>
      </c>
      <c r="C306" s="4">
        <v>7.7</v>
      </c>
      <c r="D306" s="4">
        <v>134.8</v>
      </c>
    </row>
    <row r="307" ht="22.5" customHeight="1">
      <c r="B307" s="4">
        <v>6060862.0</v>
      </c>
      <c r="C307" s="4">
        <v>7.7</v>
      </c>
      <c r="D307" s="4">
        <v>134.8</v>
      </c>
    </row>
    <row r="308" ht="22.5" customHeight="1">
      <c r="B308" s="4">
        <v>6080865.0</v>
      </c>
      <c r="C308" s="4">
        <v>7.7</v>
      </c>
      <c r="D308" s="4">
        <v>134.8</v>
      </c>
    </row>
    <row r="309" ht="22.5" customHeight="1">
      <c r="B309" s="4">
        <v>6100868.0</v>
      </c>
      <c r="C309" s="4">
        <v>7.7</v>
      </c>
      <c r="D309" s="4">
        <v>134.8</v>
      </c>
    </row>
    <row r="310" ht="22.5" customHeight="1">
      <c r="B310" s="4">
        <v>6120870.0</v>
      </c>
      <c r="C310" s="4">
        <v>7.7</v>
      </c>
      <c r="D310" s="4">
        <v>134.8</v>
      </c>
    </row>
    <row r="311" ht="22.5" customHeight="1">
      <c r="B311" s="4">
        <v>6140873.0</v>
      </c>
      <c r="C311" s="4">
        <v>7.69</v>
      </c>
      <c r="D311" s="4">
        <v>134.8</v>
      </c>
    </row>
    <row r="312" ht="22.5" customHeight="1">
      <c r="B312" s="4">
        <v>6160876.0</v>
      </c>
      <c r="C312" s="4">
        <v>7.69</v>
      </c>
      <c r="D312" s="4">
        <v>134.8</v>
      </c>
    </row>
    <row r="313" ht="22.5" customHeight="1">
      <c r="B313" s="4">
        <v>6180879.0</v>
      </c>
      <c r="C313" s="4">
        <v>7.69</v>
      </c>
      <c r="D313" s="4">
        <v>134.8</v>
      </c>
    </row>
    <row r="314" ht="22.5" customHeight="1">
      <c r="B314" s="4">
        <v>6200882.0</v>
      </c>
      <c r="C314" s="4">
        <v>7.69</v>
      </c>
      <c r="D314" s="4">
        <v>134.8</v>
      </c>
    </row>
    <row r="315" ht="22.5" customHeight="1">
      <c r="B315" s="4">
        <v>6220884.0</v>
      </c>
      <c r="C315" s="4">
        <v>7.69</v>
      </c>
      <c r="D315" s="4">
        <v>134.8</v>
      </c>
    </row>
    <row r="316" ht="22.5" customHeight="1">
      <c r="B316" s="4">
        <v>6240887.0</v>
      </c>
      <c r="C316" s="4">
        <v>7.69</v>
      </c>
      <c r="D316" s="4">
        <v>134.7</v>
      </c>
    </row>
    <row r="317" ht="22.5" customHeight="1">
      <c r="B317" s="4">
        <v>6260890.0</v>
      </c>
      <c r="C317" s="4">
        <v>7.69</v>
      </c>
      <c r="D317" s="4">
        <v>134.7</v>
      </c>
    </row>
    <row r="318" ht="22.5" customHeight="1">
      <c r="B318" s="4">
        <v>6280893.0</v>
      </c>
      <c r="C318" s="4">
        <v>7.69</v>
      </c>
      <c r="D318" s="4">
        <v>134.8</v>
      </c>
    </row>
    <row r="319" ht="22.5" customHeight="1">
      <c r="B319" s="4">
        <v>6300896.0</v>
      </c>
      <c r="C319" s="4">
        <v>7.69</v>
      </c>
      <c r="D319" s="4">
        <v>134.8</v>
      </c>
    </row>
    <row r="320" ht="22.5" customHeight="1">
      <c r="B320" s="4">
        <v>6320899.0</v>
      </c>
      <c r="C320" s="4">
        <v>7.69</v>
      </c>
      <c r="D320" s="4">
        <v>134.7</v>
      </c>
    </row>
    <row r="321" ht="22.5" customHeight="1">
      <c r="B321" s="4">
        <v>6340901.0</v>
      </c>
      <c r="C321" s="4">
        <v>7.69</v>
      </c>
      <c r="D321" s="4">
        <v>134.8</v>
      </c>
    </row>
    <row r="322" ht="22.5" customHeight="1">
      <c r="B322" s="4">
        <v>6360904.0</v>
      </c>
      <c r="C322" s="4">
        <v>7.69</v>
      </c>
      <c r="D322" s="4">
        <v>134.7</v>
      </c>
    </row>
    <row r="323" ht="22.5" customHeight="1">
      <c r="B323" s="4">
        <v>6380907.0</v>
      </c>
      <c r="C323" s="4">
        <v>7.69</v>
      </c>
      <c r="D323" s="4">
        <v>134.7</v>
      </c>
    </row>
    <row r="324" ht="22.5" customHeight="1">
      <c r="B324" s="4">
        <v>6400910.0</v>
      </c>
      <c r="C324" s="4">
        <v>7.69</v>
      </c>
      <c r="D324" s="4">
        <v>134.7</v>
      </c>
    </row>
    <row r="325" ht="22.5" customHeight="1">
      <c r="B325" s="4">
        <v>6420913.0</v>
      </c>
      <c r="C325" s="4">
        <v>7.69</v>
      </c>
      <c r="D325" s="4">
        <v>134.7</v>
      </c>
    </row>
    <row r="326" ht="22.5" customHeight="1">
      <c r="B326" s="4">
        <v>6440915.0</v>
      </c>
      <c r="C326" s="4">
        <v>7.69</v>
      </c>
      <c r="D326" s="4">
        <v>134.7</v>
      </c>
    </row>
    <row r="327" ht="22.5" customHeight="1">
      <c r="B327" s="4">
        <v>6460918.0</v>
      </c>
      <c r="C327" s="4">
        <v>7.69</v>
      </c>
      <c r="D327" s="4">
        <v>134.7</v>
      </c>
    </row>
    <row r="328" ht="22.5" customHeight="1">
      <c r="B328" s="4">
        <v>6480921.0</v>
      </c>
      <c r="C328" s="4">
        <v>7.69</v>
      </c>
      <c r="D328" s="4">
        <v>134.7</v>
      </c>
    </row>
    <row r="329" ht="22.5" customHeight="1">
      <c r="B329" s="4">
        <v>6500924.0</v>
      </c>
      <c r="C329" s="4">
        <v>7.69</v>
      </c>
      <c r="D329" s="4">
        <v>134.7</v>
      </c>
    </row>
    <row r="330" ht="22.5" customHeight="1">
      <c r="B330" s="4">
        <v>6520928.0</v>
      </c>
      <c r="C330" s="4">
        <v>7.69</v>
      </c>
      <c r="D330" s="4">
        <v>134.7</v>
      </c>
    </row>
    <row r="331" ht="22.5" customHeight="1">
      <c r="B331" s="4">
        <v>6540931.0</v>
      </c>
      <c r="C331" s="4">
        <v>7.69</v>
      </c>
      <c r="D331" s="4">
        <v>134.7</v>
      </c>
    </row>
    <row r="332" ht="22.5" customHeight="1">
      <c r="B332" s="4">
        <v>6560933.0</v>
      </c>
      <c r="C332" s="4">
        <v>7.69</v>
      </c>
      <c r="D332" s="4">
        <v>134.6</v>
      </c>
    </row>
    <row r="333" ht="22.5" customHeight="1">
      <c r="B333" s="4">
        <v>6580936.0</v>
      </c>
      <c r="C333" s="4">
        <v>7.69</v>
      </c>
      <c r="D333" s="4">
        <v>134.6</v>
      </c>
    </row>
    <row r="334" ht="22.5" customHeight="1">
      <c r="B334" s="4">
        <v>6600939.0</v>
      </c>
      <c r="C334" s="4">
        <v>7.69</v>
      </c>
      <c r="D334" s="4">
        <v>134.6</v>
      </c>
    </row>
    <row r="335" ht="22.5" customHeight="1">
      <c r="B335" s="4">
        <v>6620942.0</v>
      </c>
      <c r="C335" s="4">
        <v>7.68</v>
      </c>
      <c r="D335" s="4">
        <v>134.6</v>
      </c>
    </row>
    <row r="336" ht="22.5" customHeight="1">
      <c r="B336" s="4">
        <v>6640945.0</v>
      </c>
      <c r="C336" s="4">
        <v>7.69</v>
      </c>
      <c r="D336" s="4">
        <v>134.7</v>
      </c>
    </row>
    <row r="337" ht="22.5" customHeight="1">
      <c r="B337" s="4">
        <v>6660947.0</v>
      </c>
      <c r="C337" s="4">
        <v>7.68</v>
      </c>
      <c r="D337" s="4">
        <v>134.7</v>
      </c>
    </row>
    <row r="338" ht="22.5" customHeight="1">
      <c r="B338" s="4">
        <v>6680950.0</v>
      </c>
      <c r="C338" s="4">
        <v>7.69</v>
      </c>
      <c r="D338" s="4">
        <v>134.6</v>
      </c>
    </row>
    <row r="339" ht="22.5" customHeight="1">
      <c r="B339" s="4">
        <v>6700953.0</v>
      </c>
      <c r="C339" s="4">
        <v>7.68</v>
      </c>
      <c r="D339" s="4">
        <v>134.7</v>
      </c>
    </row>
    <row r="340" ht="22.5" customHeight="1">
      <c r="B340" s="4">
        <v>6720956.0</v>
      </c>
      <c r="C340" s="4">
        <v>7.68</v>
      </c>
      <c r="D340" s="4">
        <v>134.7</v>
      </c>
    </row>
    <row r="341" ht="22.5" customHeight="1">
      <c r="B341" s="4">
        <v>6740959.0</v>
      </c>
      <c r="C341" s="4">
        <v>7.68</v>
      </c>
      <c r="D341" s="4">
        <v>134.6</v>
      </c>
    </row>
    <row r="342" ht="22.5" customHeight="1">
      <c r="B342" s="4">
        <v>6760962.0</v>
      </c>
      <c r="C342" s="4">
        <v>7.68</v>
      </c>
      <c r="D342" s="4">
        <v>134.7</v>
      </c>
    </row>
    <row r="343" ht="22.5" customHeight="1">
      <c r="B343" s="4">
        <v>6780964.0</v>
      </c>
      <c r="C343" s="4">
        <v>7.68</v>
      </c>
      <c r="D343" s="4">
        <v>134.7</v>
      </c>
    </row>
    <row r="344" ht="22.5" customHeight="1">
      <c r="B344" s="4">
        <v>6800967.0</v>
      </c>
      <c r="C344" s="4">
        <v>7.68</v>
      </c>
      <c r="D344" s="4">
        <v>134.6</v>
      </c>
    </row>
    <row r="345" ht="22.5" customHeight="1">
      <c r="B345" s="4">
        <v>6820970.0</v>
      </c>
      <c r="C345" s="4">
        <v>7.68</v>
      </c>
      <c r="D345" s="4">
        <v>134.6</v>
      </c>
    </row>
    <row r="346" ht="22.5" customHeight="1">
      <c r="B346" s="4">
        <v>6840973.0</v>
      </c>
      <c r="C346" s="4">
        <v>7.68</v>
      </c>
      <c r="D346" s="4">
        <v>134.6</v>
      </c>
    </row>
    <row r="347" ht="22.5" customHeight="1">
      <c r="B347" s="4">
        <v>6860976.0</v>
      </c>
      <c r="C347" s="4">
        <v>7.68</v>
      </c>
      <c r="D347" s="4">
        <v>134.6</v>
      </c>
    </row>
    <row r="348" ht="22.5" customHeight="1">
      <c r="B348" s="4">
        <v>6880978.0</v>
      </c>
      <c r="C348" s="4">
        <v>7.68</v>
      </c>
      <c r="D348" s="4">
        <v>134.6</v>
      </c>
    </row>
    <row r="349" ht="22.5" customHeight="1">
      <c r="B349" s="4">
        <v>6900981.0</v>
      </c>
      <c r="C349" s="4">
        <v>7.68</v>
      </c>
      <c r="D349" s="4">
        <v>134.6</v>
      </c>
    </row>
    <row r="350" ht="22.5" customHeight="1">
      <c r="B350" s="4">
        <v>6920984.0</v>
      </c>
      <c r="C350" s="4">
        <v>7.68</v>
      </c>
      <c r="D350" s="4">
        <v>134.6</v>
      </c>
    </row>
    <row r="351" ht="22.5" customHeight="1">
      <c r="B351" s="4">
        <v>6940987.0</v>
      </c>
      <c r="C351" s="4">
        <v>7.68</v>
      </c>
      <c r="D351" s="4">
        <v>134.6</v>
      </c>
    </row>
    <row r="352" ht="22.5" customHeight="1">
      <c r="B352" s="4">
        <v>6960990.0</v>
      </c>
      <c r="C352" s="4">
        <v>7.68</v>
      </c>
      <c r="D352" s="4">
        <v>134.5</v>
      </c>
    </row>
    <row r="353" ht="22.5" customHeight="1">
      <c r="B353" s="4">
        <v>6980993.0</v>
      </c>
      <c r="C353" s="4">
        <v>7.68</v>
      </c>
      <c r="D353" s="4">
        <v>134.5</v>
      </c>
    </row>
    <row r="354" ht="22.5" customHeight="1">
      <c r="B354" s="4">
        <v>7000995.0</v>
      </c>
      <c r="C354" s="4">
        <v>7.68</v>
      </c>
      <c r="D354" s="4">
        <v>134.5</v>
      </c>
    </row>
    <row r="355" ht="22.5" customHeight="1">
      <c r="B355" s="4">
        <v>7020998.0</v>
      </c>
      <c r="C355" s="4">
        <v>7.68</v>
      </c>
      <c r="D355" s="4">
        <v>134.6</v>
      </c>
    </row>
    <row r="356" ht="22.5" customHeight="1">
      <c r="B356" s="4">
        <v>7041001.0</v>
      </c>
      <c r="C356" s="4">
        <v>7.68</v>
      </c>
      <c r="D356" s="4">
        <v>134.6</v>
      </c>
    </row>
    <row r="357" ht="22.5" customHeight="1">
      <c r="B357" s="4">
        <v>7061004.0</v>
      </c>
      <c r="C357" s="4">
        <v>7.68</v>
      </c>
      <c r="D357" s="4">
        <v>134.5</v>
      </c>
    </row>
    <row r="358" ht="22.5" customHeight="1">
      <c r="B358" s="4">
        <v>7081007.0</v>
      </c>
      <c r="C358" s="4">
        <v>7.68</v>
      </c>
      <c r="D358" s="4">
        <v>134.5</v>
      </c>
    </row>
    <row r="359" ht="22.5" customHeight="1">
      <c r="B359" s="4">
        <v>7101009.0</v>
      </c>
      <c r="C359" s="4">
        <v>7.68</v>
      </c>
      <c r="D359" s="4">
        <v>134.5</v>
      </c>
    </row>
    <row r="360" ht="22.5" customHeight="1">
      <c r="B360" s="4">
        <v>7121012.0</v>
      </c>
      <c r="C360" s="4">
        <v>7.68</v>
      </c>
      <c r="D360" s="4">
        <v>134.6</v>
      </c>
    </row>
    <row r="361" ht="22.5" customHeight="1">
      <c r="B361" s="4">
        <v>7141015.0</v>
      </c>
      <c r="C361" s="4">
        <v>7.68</v>
      </c>
      <c r="D361" s="4">
        <v>134.6</v>
      </c>
    </row>
    <row r="362" ht="22.5" customHeight="1">
      <c r="B362" s="4">
        <v>7161018.0</v>
      </c>
      <c r="C362" s="4">
        <v>7.68</v>
      </c>
      <c r="D362" s="4">
        <v>134.5</v>
      </c>
    </row>
    <row r="363" ht="22.5" customHeight="1">
      <c r="B363" s="4">
        <v>7181021.0</v>
      </c>
      <c r="C363" s="4">
        <v>7.68</v>
      </c>
      <c r="D363" s="4">
        <v>134.5</v>
      </c>
    </row>
    <row r="364" ht="22.5" customHeight="1">
      <c r="B364" s="4">
        <v>7201024.0</v>
      </c>
      <c r="C364" s="4">
        <v>7.68</v>
      </c>
      <c r="D364" s="4">
        <v>134.5</v>
      </c>
    </row>
    <row r="365" ht="22.5" customHeight="1">
      <c r="B365" s="4">
        <v>7221026.0</v>
      </c>
      <c r="C365" s="4">
        <v>7.68</v>
      </c>
      <c r="D365" s="4">
        <v>134.5</v>
      </c>
    </row>
    <row r="366" ht="22.5" customHeight="1">
      <c r="B366" s="4">
        <v>7241029.0</v>
      </c>
      <c r="C366" s="4">
        <v>7.68</v>
      </c>
      <c r="D366" s="4">
        <v>134.5</v>
      </c>
    </row>
    <row r="367" ht="22.5" customHeight="1">
      <c r="B367" s="4">
        <v>7261033.0</v>
      </c>
      <c r="C367" s="4">
        <v>7.68</v>
      </c>
      <c r="D367" s="4">
        <v>134.5</v>
      </c>
    </row>
    <row r="368" ht="22.5" customHeight="1">
      <c r="B368" s="4">
        <v>7281036.0</v>
      </c>
      <c r="C368" s="4">
        <v>7.68</v>
      </c>
      <c r="D368" s="4">
        <v>134.5</v>
      </c>
    </row>
    <row r="369" ht="22.5" customHeight="1">
      <c r="B369" s="4">
        <v>7301039.0</v>
      </c>
      <c r="C369" s="4">
        <v>7.68</v>
      </c>
      <c r="D369" s="4">
        <v>134.5</v>
      </c>
    </row>
    <row r="370" ht="22.5" customHeight="1">
      <c r="B370" s="4">
        <v>7321041.0</v>
      </c>
      <c r="C370" s="4">
        <v>7.68</v>
      </c>
      <c r="D370" s="4">
        <v>134.4</v>
      </c>
    </row>
    <row r="371" ht="22.5" customHeight="1">
      <c r="B371" s="4">
        <v>7341044.0</v>
      </c>
      <c r="C371" s="4">
        <v>7.68</v>
      </c>
      <c r="D371" s="4">
        <v>134.5</v>
      </c>
    </row>
    <row r="372" ht="22.5" customHeight="1">
      <c r="B372" s="4">
        <v>7361047.0</v>
      </c>
      <c r="C372" s="4">
        <v>7.68</v>
      </c>
      <c r="D372" s="4">
        <v>134.5</v>
      </c>
    </row>
    <row r="373" ht="22.5" customHeight="1">
      <c r="B373" s="4">
        <v>7381050.0</v>
      </c>
      <c r="C373" s="4">
        <v>7.68</v>
      </c>
      <c r="D373" s="4">
        <v>134.4</v>
      </c>
    </row>
    <row r="374" ht="22.5" customHeight="1">
      <c r="B374" s="4">
        <v>7401053.0</v>
      </c>
      <c r="C374" s="4">
        <v>7.68</v>
      </c>
      <c r="D374" s="4">
        <v>134.4</v>
      </c>
    </row>
    <row r="375" ht="22.5" customHeight="1">
      <c r="B375" s="4">
        <v>7421056.0</v>
      </c>
      <c r="C375" s="4">
        <v>7.68</v>
      </c>
      <c r="D375" s="4">
        <v>134.5</v>
      </c>
    </row>
    <row r="376" ht="22.5" customHeight="1">
      <c r="B376" s="4">
        <v>7441058.0</v>
      </c>
      <c r="C376" s="4">
        <v>7.67</v>
      </c>
      <c r="D376" s="4">
        <v>134.5</v>
      </c>
    </row>
    <row r="377" ht="22.5" customHeight="1">
      <c r="B377" s="4">
        <v>7461061.0</v>
      </c>
      <c r="C377" s="4">
        <v>7.67</v>
      </c>
      <c r="D377" s="4">
        <v>134.4</v>
      </c>
    </row>
    <row r="378" ht="22.5" customHeight="1">
      <c r="B378" s="4">
        <v>7481064.0</v>
      </c>
      <c r="C378" s="4">
        <v>7.68</v>
      </c>
      <c r="D378" s="4">
        <v>134.5</v>
      </c>
    </row>
    <row r="379" ht="22.5" customHeight="1">
      <c r="B379" s="4">
        <v>7501067.0</v>
      </c>
      <c r="C379" s="4">
        <v>7.67</v>
      </c>
      <c r="D379" s="4">
        <v>134.4</v>
      </c>
    </row>
    <row r="380" ht="22.5" customHeight="1">
      <c r="B380" s="4">
        <v>7521070.0</v>
      </c>
      <c r="C380" s="4">
        <v>7.68</v>
      </c>
      <c r="D380" s="4">
        <v>134.4</v>
      </c>
    </row>
    <row r="381" ht="22.5" customHeight="1">
      <c r="B381" s="4">
        <v>7541072.0</v>
      </c>
      <c r="C381" s="4">
        <v>7.68</v>
      </c>
      <c r="D381" s="4">
        <v>134.4</v>
      </c>
    </row>
    <row r="382" ht="22.5" customHeight="1">
      <c r="B382" s="4">
        <v>7561075.0</v>
      </c>
      <c r="C382" s="4">
        <v>7.67</v>
      </c>
      <c r="D382" s="4">
        <v>134.4</v>
      </c>
    </row>
    <row r="383" ht="22.5" customHeight="1">
      <c r="B383" s="4">
        <v>7581078.0</v>
      </c>
      <c r="C383" s="4">
        <v>7.67</v>
      </c>
      <c r="D383" s="4">
        <v>134.4</v>
      </c>
    </row>
    <row r="384" ht="22.5" customHeight="1">
      <c r="B384" s="4">
        <v>7601081.0</v>
      </c>
      <c r="C384" s="4">
        <v>7.67</v>
      </c>
      <c r="D384" s="4">
        <v>134.4</v>
      </c>
    </row>
    <row r="385" ht="22.5" customHeight="1">
      <c r="B385" s="4">
        <v>7621084.0</v>
      </c>
      <c r="C385" s="4">
        <v>7.67</v>
      </c>
      <c r="D385" s="4">
        <v>134.4</v>
      </c>
    </row>
    <row r="386" ht="22.5" customHeight="1">
      <c r="B386" s="4">
        <v>7641086.0</v>
      </c>
      <c r="C386" s="4">
        <v>7.68</v>
      </c>
      <c r="D386" s="4">
        <v>134.3</v>
      </c>
    </row>
    <row r="387" ht="22.5" customHeight="1">
      <c r="B387" s="4">
        <v>7661089.0</v>
      </c>
      <c r="C387" s="4">
        <v>7.67</v>
      </c>
      <c r="D387" s="4">
        <v>134.4</v>
      </c>
    </row>
    <row r="388" ht="22.5" customHeight="1">
      <c r="B388" s="4">
        <v>7681092.0</v>
      </c>
      <c r="C388" s="4">
        <v>7.67</v>
      </c>
      <c r="D388" s="4">
        <v>134.4</v>
      </c>
    </row>
    <row r="389" ht="22.5" customHeight="1">
      <c r="B389" s="4">
        <v>7701095.0</v>
      </c>
      <c r="C389" s="4">
        <v>7.67</v>
      </c>
      <c r="D389" s="4">
        <v>134.3</v>
      </c>
    </row>
    <row r="390" ht="22.5" customHeight="1">
      <c r="B390" s="4">
        <v>7721098.0</v>
      </c>
      <c r="C390" s="4">
        <v>7.67</v>
      </c>
      <c r="D390" s="4">
        <v>134.4</v>
      </c>
    </row>
    <row r="391" ht="22.5" customHeight="1">
      <c r="B391" s="4">
        <v>7741101.0</v>
      </c>
      <c r="C391" s="4">
        <v>7.67</v>
      </c>
      <c r="D391" s="4">
        <v>134.4</v>
      </c>
    </row>
    <row r="392" ht="22.5" customHeight="1">
      <c r="B392" s="4">
        <v>7761103.0</v>
      </c>
      <c r="C392" s="4">
        <v>7.67</v>
      </c>
      <c r="D392" s="4">
        <v>134.4</v>
      </c>
    </row>
    <row r="393" ht="22.5" customHeight="1">
      <c r="B393" s="4">
        <v>7781106.0</v>
      </c>
      <c r="C393" s="4">
        <v>7.67</v>
      </c>
      <c r="D393" s="4">
        <v>134.4</v>
      </c>
    </row>
    <row r="394" ht="22.5" customHeight="1">
      <c r="B394" s="4">
        <v>7801109.0</v>
      </c>
      <c r="C394" s="4">
        <v>7.67</v>
      </c>
      <c r="D394" s="4">
        <v>134.3</v>
      </c>
    </row>
    <row r="395" ht="22.5" customHeight="1">
      <c r="B395" s="4">
        <v>7821112.0</v>
      </c>
      <c r="C395" s="4">
        <v>7.67</v>
      </c>
      <c r="D395" s="4">
        <v>134.3</v>
      </c>
    </row>
    <row r="396" ht="22.5" customHeight="1">
      <c r="B396" s="4">
        <v>7841115.0</v>
      </c>
      <c r="C396" s="4">
        <v>7.67</v>
      </c>
      <c r="D396" s="4">
        <v>134.4</v>
      </c>
    </row>
    <row r="397" ht="22.5" customHeight="1">
      <c r="B397" s="4">
        <v>7861117.0</v>
      </c>
      <c r="C397" s="4">
        <v>7.67</v>
      </c>
      <c r="D397" s="4">
        <v>134.3</v>
      </c>
    </row>
    <row r="398" ht="22.5" customHeight="1">
      <c r="B398" s="4">
        <v>7881120.0</v>
      </c>
      <c r="C398" s="4">
        <v>7.67</v>
      </c>
      <c r="D398" s="4">
        <v>134.3</v>
      </c>
    </row>
    <row r="399" ht="22.5" customHeight="1">
      <c r="B399" s="4">
        <v>7901123.0</v>
      </c>
      <c r="C399" s="4">
        <v>7.67</v>
      </c>
      <c r="D399" s="4">
        <v>134.3</v>
      </c>
    </row>
    <row r="400" ht="22.5" customHeight="1">
      <c r="B400" s="4">
        <v>7921126.0</v>
      </c>
      <c r="C400" s="4">
        <v>7.67</v>
      </c>
      <c r="D400" s="4">
        <v>134.3</v>
      </c>
    </row>
    <row r="401" ht="22.5" customHeight="1">
      <c r="B401" s="4">
        <v>7941129.0</v>
      </c>
      <c r="C401" s="4">
        <v>7.67</v>
      </c>
      <c r="D401" s="4">
        <v>134.3</v>
      </c>
    </row>
    <row r="402" ht="22.5" customHeight="1">
      <c r="B402" s="4">
        <v>7961133.0</v>
      </c>
      <c r="C402" s="4">
        <v>7.67</v>
      </c>
      <c r="D402" s="4">
        <v>134.3</v>
      </c>
    </row>
    <row r="403" ht="22.5" customHeight="1">
      <c r="B403" s="4">
        <v>7981135.0</v>
      </c>
      <c r="C403" s="4">
        <v>7.66</v>
      </c>
      <c r="D403" s="4">
        <v>134.3</v>
      </c>
    </row>
    <row r="404" ht="22.5" customHeight="1">
      <c r="B404" s="4">
        <v>8001138.0</v>
      </c>
      <c r="C404" s="4">
        <v>7.67</v>
      </c>
      <c r="D404" s="4">
        <v>134.3</v>
      </c>
    </row>
    <row r="405" ht="22.5" customHeight="1">
      <c r="B405" s="4">
        <v>8021141.0</v>
      </c>
      <c r="C405" s="4">
        <v>7.67</v>
      </c>
      <c r="D405" s="4">
        <v>134.3</v>
      </c>
    </row>
    <row r="406" ht="22.5" customHeight="1">
      <c r="B406" s="4">
        <v>8041144.0</v>
      </c>
      <c r="C406" s="4">
        <v>7.67</v>
      </c>
      <c r="D406" s="4">
        <v>134.3</v>
      </c>
    </row>
    <row r="407" ht="22.5" customHeight="1">
      <c r="B407" s="4">
        <v>8061147.0</v>
      </c>
      <c r="C407" s="4">
        <v>7.67</v>
      </c>
      <c r="D407" s="4">
        <v>134.3</v>
      </c>
    </row>
    <row r="408" ht="22.5" customHeight="1">
      <c r="B408" s="4">
        <v>8081149.0</v>
      </c>
      <c r="C408" s="4">
        <v>7.67</v>
      </c>
      <c r="D408" s="4">
        <v>134.3</v>
      </c>
    </row>
    <row r="409" ht="22.5" customHeight="1">
      <c r="B409" s="4">
        <v>8101152.0</v>
      </c>
      <c r="C409" s="4">
        <v>7.67</v>
      </c>
      <c r="D409" s="4">
        <v>134.2</v>
      </c>
    </row>
    <row r="410" ht="22.5" customHeight="1">
      <c r="B410" s="4">
        <v>8121155.0</v>
      </c>
      <c r="C410" s="4">
        <v>7.67</v>
      </c>
      <c r="D410" s="4">
        <v>134.3</v>
      </c>
    </row>
    <row r="411" ht="22.5" customHeight="1">
      <c r="B411" s="4">
        <v>8141158.0</v>
      </c>
      <c r="C411" s="4">
        <v>7.66</v>
      </c>
      <c r="D411" s="4">
        <v>134.3</v>
      </c>
    </row>
    <row r="412" ht="22.5" customHeight="1">
      <c r="B412" s="4">
        <v>8161161.0</v>
      </c>
      <c r="C412" s="4">
        <v>7.66</v>
      </c>
      <c r="D412" s="4">
        <v>134.2</v>
      </c>
    </row>
    <row r="413" ht="22.5" customHeight="1">
      <c r="B413" s="4">
        <v>8181164.0</v>
      </c>
      <c r="C413" s="4">
        <v>7.66</v>
      </c>
      <c r="D413" s="4">
        <v>134.2</v>
      </c>
    </row>
    <row r="414" ht="22.5" customHeight="1">
      <c r="B414" s="4">
        <v>8201166.0</v>
      </c>
      <c r="C414" s="4">
        <v>7.66</v>
      </c>
      <c r="D414" s="4">
        <v>134.2</v>
      </c>
    </row>
    <row r="415" ht="22.5" customHeight="1">
      <c r="B415" s="4">
        <v>8221169.0</v>
      </c>
      <c r="C415" s="4">
        <v>7.66</v>
      </c>
      <c r="D415" s="4">
        <v>134.3</v>
      </c>
    </row>
    <row r="416" ht="22.5" customHeight="1">
      <c r="B416" s="4">
        <v>8241172.0</v>
      </c>
      <c r="C416" s="4">
        <v>7.66</v>
      </c>
      <c r="D416" s="4">
        <v>134.2</v>
      </c>
    </row>
    <row r="417" ht="22.5" customHeight="1">
      <c r="B417" s="4">
        <v>8261175.0</v>
      </c>
      <c r="C417" s="4">
        <v>7.66</v>
      </c>
      <c r="D417" s="4">
        <v>134.2</v>
      </c>
    </row>
    <row r="418" ht="22.5" customHeight="1">
      <c r="B418" s="4">
        <v>8281178.0</v>
      </c>
      <c r="C418" s="4">
        <v>7.66</v>
      </c>
      <c r="D418" s="4">
        <v>134.2</v>
      </c>
    </row>
    <row r="419" ht="22.5" customHeight="1">
      <c r="B419" s="4">
        <v>8301180.0</v>
      </c>
      <c r="C419" s="4">
        <v>7.66</v>
      </c>
      <c r="D419" s="4">
        <v>134.2</v>
      </c>
    </row>
    <row r="420" ht="22.5" customHeight="1">
      <c r="B420" s="4">
        <v>8321183.0</v>
      </c>
      <c r="C420" s="4">
        <v>7.66</v>
      </c>
      <c r="D420" s="4">
        <v>134.2</v>
      </c>
    </row>
    <row r="421" ht="22.5" customHeight="1">
      <c r="B421" s="4">
        <v>8341186.0</v>
      </c>
      <c r="C421" s="4">
        <v>7.66</v>
      </c>
      <c r="D421" s="4">
        <v>134.2</v>
      </c>
    </row>
    <row r="422" ht="22.5" customHeight="1">
      <c r="B422" s="4">
        <v>8361189.0</v>
      </c>
      <c r="C422" s="4">
        <v>7.66</v>
      </c>
      <c r="D422" s="4">
        <v>134.1</v>
      </c>
    </row>
    <row r="423" ht="22.5" customHeight="1">
      <c r="B423" s="4">
        <v>8381192.0</v>
      </c>
      <c r="C423" s="4">
        <v>7.66</v>
      </c>
      <c r="D423" s="4">
        <v>134.2</v>
      </c>
    </row>
    <row r="424" ht="22.5" customHeight="1">
      <c r="B424" s="4">
        <v>8401195.0</v>
      </c>
      <c r="C424" s="4">
        <v>7.66</v>
      </c>
      <c r="D424" s="4">
        <v>134.1</v>
      </c>
    </row>
    <row r="425" ht="22.5" customHeight="1">
      <c r="B425" s="4">
        <v>8421197.0</v>
      </c>
      <c r="C425" s="4">
        <v>7.66</v>
      </c>
      <c r="D425" s="4">
        <v>134.2</v>
      </c>
    </row>
    <row r="426" ht="22.5" customHeight="1">
      <c r="B426" s="4">
        <v>8441200.0</v>
      </c>
      <c r="C426" s="4">
        <v>7.66</v>
      </c>
      <c r="D426" s="4">
        <v>134.2</v>
      </c>
    </row>
    <row r="427" ht="22.5" customHeight="1">
      <c r="B427" s="4">
        <v>8461203.0</v>
      </c>
      <c r="C427" s="4">
        <v>7.66</v>
      </c>
      <c r="D427" s="4">
        <v>134.2</v>
      </c>
    </row>
    <row r="428" ht="22.5" customHeight="1">
      <c r="B428" s="4">
        <v>8481206.0</v>
      </c>
      <c r="C428" s="4">
        <v>7.66</v>
      </c>
      <c r="D428" s="4">
        <v>134.2</v>
      </c>
    </row>
    <row r="429" ht="22.5" customHeight="1">
      <c r="B429" s="4">
        <v>8501209.0</v>
      </c>
      <c r="C429" s="4">
        <v>7.66</v>
      </c>
      <c r="D429" s="4">
        <v>134.1</v>
      </c>
    </row>
    <row r="430" ht="22.5" customHeight="1">
      <c r="B430" s="4">
        <v>8521211.0</v>
      </c>
      <c r="C430" s="4">
        <v>7.66</v>
      </c>
      <c r="D430" s="4">
        <v>134.2</v>
      </c>
    </row>
    <row r="431" ht="22.5" customHeight="1">
      <c r="B431" s="4">
        <v>8541214.0</v>
      </c>
      <c r="C431" s="4">
        <v>7.66</v>
      </c>
      <c r="D431" s="4">
        <v>134.1</v>
      </c>
    </row>
    <row r="432" ht="22.5" customHeight="1">
      <c r="B432" s="4">
        <v>8561217.0</v>
      </c>
      <c r="C432" s="4">
        <v>7.66</v>
      </c>
      <c r="D432" s="4">
        <v>134.2</v>
      </c>
    </row>
    <row r="433" ht="22.5" customHeight="1">
      <c r="B433" s="4">
        <v>8581220.0</v>
      </c>
      <c r="C433" s="4">
        <v>7.66</v>
      </c>
      <c r="D433" s="4">
        <v>134.1</v>
      </c>
    </row>
    <row r="434" ht="22.5" customHeight="1">
      <c r="B434" s="4">
        <v>8601223.0</v>
      </c>
      <c r="C434" s="4">
        <v>7.66</v>
      </c>
      <c r="D434" s="4">
        <v>134.1</v>
      </c>
    </row>
    <row r="435" ht="22.5" customHeight="1">
      <c r="B435" s="4">
        <v>8621225.0</v>
      </c>
      <c r="C435" s="4">
        <v>7.66</v>
      </c>
      <c r="D435" s="4">
        <v>134.1</v>
      </c>
    </row>
    <row r="436" ht="22.5" customHeight="1">
      <c r="B436" s="4">
        <v>8641228.0</v>
      </c>
      <c r="C436" s="4">
        <v>7.66</v>
      </c>
      <c r="D436" s="4">
        <v>134.1</v>
      </c>
    </row>
    <row r="437" ht="22.5" customHeight="1">
      <c r="B437" s="4">
        <v>8661232.0</v>
      </c>
      <c r="C437" s="4">
        <v>7.66</v>
      </c>
      <c r="D437" s="4">
        <v>134.1</v>
      </c>
    </row>
    <row r="438" ht="22.5" customHeight="1">
      <c r="B438" s="4">
        <v>8681235.0</v>
      </c>
      <c r="C438" s="4">
        <v>7.66</v>
      </c>
      <c r="D438" s="4">
        <v>134.1</v>
      </c>
    </row>
    <row r="439" ht="22.5" customHeight="1">
      <c r="B439" s="4">
        <v>8701238.0</v>
      </c>
      <c r="C439" s="4">
        <v>7.66</v>
      </c>
      <c r="D439" s="4">
        <v>134.1</v>
      </c>
    </row>
    <row r="440" ht="22.5" customHeight="1">
      <c r="B440" s="4">
        <v>8721241.0</v>
      </c>
      <c r="C440" s="4">
        <v>7.66</v>
      </c>
      <c r="D440" s="4">
        <v>134.1</v>
      </c>
    </row>
    <row r="441" ht="22.5" customHeight="1">
      <c r="B441" s="4">
        <v>8741243.0</v>
      </c>
      <c r="C441" s="4">
        <v>7.66</v>
      </c>
      <c r="D441" s="4">
        <v>134.1</v>
      </c>
    </row>
    <row r="442" ht="22.5" customHeight="1">
      <c r="B442" s="4">
        <v>8761246.0</v>
      </c>
      <c r="C442" s="4">
        <v>7.66</v>
      </c>
      <c r="D442" s="4">
        <v>134.1</v>
      </c>
    </row>
    <row r="443" ht="22.5" customHeight="1">
      <c r="B443" s="4">
        <v>8781249.0</v>
      </c>
      <c r="C443" s="4">
        <v>7.66</v>
      </c>
      <c r="D443" s="4">
        <v>134.1</v>
      </c>
    </row>
    <row r="444" ht="22.5" customHeight="1">
      <c r="B444" s="4">
        <v>8801252.0</v>
      </c>
      <c r="C444" s="4">
        <v>7.66</v>
      </c>
      <c r="D444" s="4">
        <v>134.1</v>
      </c>
    </row>
    <row r="445" ht="22.5" customHeight="1">
      <c r="B445" s="4">
        <v>8821255.0</v>
      </c>
      <c r="C445" s="4">
        <v>7.66</v>
      </c>
      <c r="D445" s="4">
        <v>134.1</v>
      </c>
    </row>
    <row r="446" ht="22.5" customHeight="1">
      <c r="B446" s="4">
        <v>8841257.0</v>
      </c>
      <c r="C446" s="4">
        <v>7.65</v>
      </c>
      <c r="D446" s="4">
        <v>134.1</v>
      </c>
    </row>
    <row r="447" ht="22.5" customHeight="1">
      <c r="B447" s="4">
        <v>8861260.0</v>
      </c>
      <c r="C447" s="4">
        <v>7.66</v>
      </c>
      <c r="D447" s="4">
        <v>134.1</v>
      </c>
    </row>
    <row r="448" ht="22.5" customHeight="1">
      <c r="B448" s="4">
        <v>8881263.0</v>
      </c>
      <c r="C448" s="4">
        <v>7.65</v>
      </c>
      <c r="D448" s="4">
        <v>134.1</v>
      </c>
    </row>
    <row r="449" ht="22.5" customHeight="1">
      <c r="B449" s="4">
        <v>8901266.0</v>
      </c>
      <c r="C449" s="4">
        <v>7.66</v>
      </c>
      <c r="D449" s="4">
        <v>134.1</v>
      </c>
    </row>
    <row r="450" ht="22.5" customHeight="1">
      <c r="B450" s="4">
        <v>8921269.0</v>
      </c>
      <c r="C450" s="4">
        <v>7.66</v>
      </c>
      <c r="D450" s="4">
        <v>134.1</v>
      </c>
    </row>
    <row r="451" ht="22.5" customHeight="1">
      <c r="B451" s="4">
        <v>8941272.0</v>
      </c>
      <c r="C451" s="4">
        <v>7.66</v>
      </c>
      <c r="D451" s="4">
        <v>134.0</v>
      </c>
    </row>
    <row r="452" ht="22.5" customHeight="1">
      <c r="B452" s="4">
        <v>8961274.0</v>
      </c>
      <c r="C452" s="4">
        <v>7.66</v>
      </c>
      <c r="D452" s="4">
        <v>134.1</v>
      </c>
    </row>
    <row r="453" ht="22.5" customHeight="1">
      <c r="B453" s="4">
        <v>8981277.0</v>
      </c>
      <c r="C453" s="4">
        <v>7.65</v>
      </c>
      <c r="D453" s="4">
        <v>134.1</v>
      </c>
    </row>
    <row r="454" ht="22.5" customHeight="1">
      <c r="B454" s="4">
        <v>9001280.0</v>
      </c>
      <c r="C454" s="4">
        <v>7.66</v>
      </c>
      <c r="D454" s="4">
        <v>134.1</v>
      </c>
    </row>
    <row r="455" ht="22.5" customHeight="1">
      <c r="B455" s="4">
        <v>9021283.0</v>
      </c>
      <c r="C455" s="4">
        <v>7.65</v>
      </c>
      <c r="D455" s="4">
        <v>134.1</v>
      </c>
    </row>
    <row r="456" ht="22.5" customHeight="1">
      <c r="B456" s="4">
        <v>9041286.0</v>
      </c>
      <c r="C456" s="4">
        <v>7.65</v>
      </c>
      <c r="D456" s="4">
        <v>134.0</v>
      </c>
    </row>
    <row r="457" ht="22.5" customHeight="1">
      <c r="B457" s="4">
        <v>9061288.0</v>
      </c>
      <c r="C457" s="4">
        <v>7.65</v>
      </c>
      <c r="D457" s="4">
        <v>134.0</v>
      </c>
    </row>
    <row r="458" ht="22.5" customHeight="1">
      <c r="B458" s="4">
        <v>9081291.0</v>
      </c>
      <c r="C458" s="4">
        <v>7.65</v>
      </c>
      <c r="D458" s="4">
        <v>134.0</v>
      </c>
    </row>
    <row r="459" ht="22.5" customHeight="1">
      <c r="B459" s="4">
        <v>9101294.0</v>
      </c>
      <c r="C459" s="4">
        <v>7.65</v>
      </c>
      <c r="D459" s="4">
        <v>134.0</v>
      </c>
    </row>
    <row r="460" ht="22.5" customHeight="1">
      <c r="B460" s="4">
        <v>9121297.0</v>
      </c>
      <c r="C460" s="4">
        <v>7.65</v>
      </c>
      <c r="D460" s="4">
        <v>134.0</v>
      </c>
    </row>
    <row r="461" ht="22.5" customHeight="1">
      <c r="B461" s="4">
        <v>9141300.0</v>
      </c>
      <c r="C461" s="4">
        <v>7.65</v>
      </c>
      <c r="D461" s="4">
        <v>134.0</v>
      </c>
    </row>
    <row r="462" ht="22.5" customHeight="1">
      <c r="B462" s="4">
        <v>9161303.0</v>
      </c>
      <c r="C462" s="4">
        <v>7.65</v>
      </c>
      <c r="D462" s="4">
        <v>134.0</v>
      </c>
    </row>
    <row r="463" ht="22.5" customHeight="1">
      <c r="B463" s="4">
        <v>9181305.0</v>
      </c>
      <c r="C463" s="4">
        <v>7.65</v>
      </c>
      <c r="D463" s="4">
        <v>134.0</v>
      </c>
    </row>
    <row r="464" ht="22.5" customHeight="1">
      <c r="B464" s="4">
        <v>9201308.0</v>
      </c>
      <c r="C464" s="4">
        <v>7.65</v>
      </c>
      <c r="D464" s="4">
        <v>133.9</v>
      </c>
    </row>
    <row r="465" ht="22.5" customHeight="1">
      <c r="B465" s="4">
        <v>9221311.0</v>
      </c>
      <c r="C465" s="4">
        <v>7.65</v>
      </c>
      <c r="D465" s="4">
        <v>134.0</v>
      </c>
    </row>
    <row r="466" ht="22.5" customHeight="1">
      <c r="B466" s="4">
        <v>9241314.0</v>
      </c>
      <c r="C466" s="4">
        <v>7.65</v>
      </c>
      <c r="D466" s="4">
        <v>134.0</v>
      </c>
    </row>
    <row r="467" ht="22.5" customHeight="1">
      <c r="B467" s="4">
        <v>9261317.0</v>
      </c>
      <c r="C467" s="4">
        <v>7.65</v>
      </c>
      <c r="D467" s="4">
        <v>134.0</v>
      </c>
    </row>
    <row r="468" ht="22.5" customHeight="1">
      <c r="B468" s="4">
        <v>9281319.0</v>
      </c>
      <c r="C468" s="4">
        <v>7.65</v>
      </c>
      <c r="D468" s="4">
        <v>134.0</v>
      </c>
    </row>
    <row r="469" ht="22.5" customHeight="1">
      <c r="B469" s="4">
        <v>9301322.0</v>
      </c>
      <c r="C469" s="4">
        <v>7.65</v>
      </c>
      <c r="D469" s="4">
        <v>134.0</v>
      </c>
    </row>
    <row r="470" ht="22.5" customHeight="1">
      <c r="B470" s="4">
        <v>9321325.0</v>
      </c>
      <c r="C470" s="4">
        <v>7.65</v>
      </c>
      <c r="D470" s="4">
        <v>134.0</v>
      </c>
    </row>
    <row r="471" ht="22.5" customHeight="1">
      <c r="B471" s="4">
        <v>9341328.0</v>
      </c>
      <c r="C471" s="4">
        <v>7.65</v>
      </c>
      <c r="D471" s="4">
        <v>133.9</v>
      </c>
    </row>
    <row r="472" ht="22.5" customHeight="1">
      <c r="B472" s="4">
        <v>9361331.0</v>
      </c>
      <c r="C472" s="4">
        <v>7.65</v>
      </c>
      <c r="D472" s="4">
        <v>134.0</v>
      </c>
    </row>
    <row r="473" ht="22.5" customHeight="1">
      <c r="B473" s="4">
        <v>9381334.0</v>
      </c>
      <c r="C473" s="4">
        <v>7.65</v>
      </c>
      <c r="D473" s="4">
        <v>134.0</v>
      </c>
    </row>
    <row r="474" ht="22.5" customHeight="1">
      <c r="B474" s="4">
        <v>9401337.0</v>
      </c>
      <c r="C474" s="4">
        <v>7.65</v>
      </c>
      <c r="D474" s="4">
        <v>133.9</v>
      </c>
    </row>
    <row r="475" ht="22.5" customHeight="1">
      <c r="B475" s="4">
        <v>9421340.0</v>
      </c>
      <c r="C475" s="4">
        <v>7.65</v>
      </c>
      <c r="D475" s="4">
        <v>133.9</v>
      </c>
    </row>
    <row r="476" ht="22.5" customHeight="1">
      <c r="B476" s="4">
        <v>9441343.0</v>
      </c>
      <c r="C476" s="4">
        <v>7.65</v>
      </c>
      <c r="D476" s="4">
        <v>133.9</v>
      </c>
    </row>
    <row r="477" ht="22.5" customHeight="1">
      <c r="B477" s="4">
        <v>9461346.0</v>
      </c>
      <c r="C477" s="4">
        <v>7.64</v>
      </c>
      <c r="D477" s="4">
        <v>133.9</v>
      </c>
    </row>
    <row r="478" ht="22.5" customHeight="1">
      <c r="B478" s="4">
        <v>9481349.0</v>
      </c>
      <c r="C478" s="4">
        <v>7.65</v>
      </c>
      <c r="D478" s="4">
        <v>134.0</v>
      </c>
    </row>
    <row r="479" ht="22.5" customHeight="1">
      <c r="B479" s="4">
        <v>9501351.0</v>
      </c>
      <c r="C479" s="4">
        <v>7.65</v>
      </c>
      <c r="D479" s="4">
        <v>133.8</v>
      </c>
    </row>
    <row r="480" ht="22.5" customHeight="1">
      <c r="B480" s="4">
        <v>9521354.0</v>
      </c>
      <c r="C480" s="4">
        <v>7.64</v>
      </c>
      <c r="D480" s="4">
        <v>133.9</v>
      </c>
    </row>
    <row r="481" ht="22.5" customHeight="1">
      <c r="B481" s="4">
        <v>9541357.0</v>
      </c>
      <c r="C481" s="4">
        <v>7.64</v>
      </c>
      <c r="D481" s="4">
        <v>133.9</v>
      </c>
    </row>
    <row r="482" ht="22.5" customHeight="1">
      <c r="B482" s="4">
        <v>9561360.0</v>
      </c>
      <c r="C482" s="4">
        <v>7.64</v>
      </c>
      <c r="D482" s="4">
        <v>133.9</v>
      </c>
    </row>
    <row r="483" ht="22.5" customHeight="1">
      <c r="B483" s="4">
        <v>9581363.0</v>
      </c>
      <c r="C483" s="4">
        <v>7.64</v>
      </c>
      <c r="D483" s="4">
        <v>133.9</v>
      </c>
    </row>
    <row r="484" ht="22.5" customHeight="1">
      <c r="B484" s="4">
        <v>9601366.0</v>
      </c>
      <c r="C484" s="4">
        <v>7.64</v>
      </c>
      <c r="D484" s="4">
        <v>133.9</v>
      </c>
    </row>
    <row r="485" ht="22.5" customHeight="1">
      <c r="B485" s="4">
        <v>9621368.0</v>
      </c>
      <c r="C485" s="4">
        <v>7.64</v>
      </c>
      <c r="D485" s="4">
        <v>133.8</v>
      </c>
    </row>
    <row r="486" ht="22.5" customHeight="1">
      <c r="B486" s="4">
        <v>9641371.0</v>
      </c>
      <c r="C486" s="4">
        <v>7.64</v>
      </c>
      <c r="D486" s="4">
        <v>133.9</v>
      </c>
    </row>
    <row r="487" ht="22.5" customHeight="1">
      <c r="B487" s="4">
        <v>9661374.0</v>
      </c>
      <c r="C487" s="4">
        <v>7.64</v>
      </c>
      <c r="D487" s="4">
        <v>133.9</v>
      </c>
    </row>
    <row r="488" ht="22.5" customHeight="1">
      <c r="B488" s="4">
        <v>9681377.0</v>
      </c>
      <c r="C488" s="4">
        <v>7.64</v>
      </c>
      <c r="D488" s="4">
        <v>133.8</v>
      </c>
    </row>
    <row r="489" ht="22.5" customHeight="1">
      <c r="B489" s="4">
        <v>9701380.0</v>
      </c>
      <c r="C489" s="4">
        <v>7.64</v>
      </c>
      <c r="D489" s="4">
        <v>133.9</v>
      </c>
    </row>
    <row r="490" ht="22.5" customHeight="1">
      <c r="B490" s="4">
        <v>9721382.0</v>
      </c>
      <c r="C490" s="4">
        <v>7.64</v>
      </c>
      <c r="D490" s="4">
        <v>133.9</v>
      </c>
    </row>
    <row r="491" ht="22.5" customHeight="1">
      <c r="B491" s="4">
        <v>9741385.0</v>
      </c>
      <c r="C491" s="4">
        <v>7.64</v>
      </c>
      <c r="D491" s="4">
        <v>133.9</v>
      </c>
    </row>
    <row r="492" ht="22.5" customHeight="1">
      <c r="B492" s="4">
        <v>9761388.0</v>
      </c>
      <c r="C492" s="4">
        <v>7.64</v>
      </c>
      <c r="D492" s="4">
        <v>133.8</v>
      </c>
    </row>
    <row r="493" ht="22.5" customHeight="1">
      <c r="B493" s="4">
        <v>9781391.0</v>
      </c>
      <c r="C493" s="4">
        <v>7.64</v>
      </c>
      <c r="D493" s="4">
        <v>133.8</v>
      </c>
    </row>
    <row r="494" ht="22.5" customHeight="1">
      <c r="B494" s="4">
        <v>9801394.0</v>
      </c>
      <c r="C494" s="4">
        <v>7.64</v>
      </c>
      <c r="D494" s="4">
        <v>133.8</v>
      </c>
    </row>
    <row r="495" ht="22.5" customHeight="1">
      <c r="B495" s="4">
        <v>9821396.0</v>
      </c>
      <c r="C495" s="4">
        <v>7.64</v>
      </c>
      <c r="D495" s="4">
        <v>133.8</v>
      </c>
    </row>
    <row r="496" ht="22.5" customHeight="1">
      <c r="B496" s="4">
        <v>9841399.0</v>
      </c>
      <c r="C496" s="4">
        <v>7.64</v>
      </c>
      <c r="D496" s="4">
        <v>133.8</v>
      </c>
    </row>
    <row r="497" ht="22.5" customHeight="1">
      <c r="B497" s="4">
        <v>9861402.0</v>
      </c>
      <c r="C497" s="4">
        <v>7.64</v>
      </c>
      <c r="D497" s="4">
        <v>133.8</v>
      </c>
    </row>
    <row r="498" ht="22.5" customHeight="1">
      <c r="B498" s="4">
        <v>9881405.0</v>
      </c>
      <c r="C498" s="4">
        <v>7.64</v>
      </c>
      <c r="D498" s="4">
        <v>133.8</v>
      </c>
    </row>
    <row r="499" ht="22.5" customHeight="1">
      <c r="B499" s="4">
        <v>9901408.0</v>
      </c>
      <c r="C499" s="4">
        <v>7.64</v>
      </c>
      <c r="D499" s="4">
        <v>133.8</v>
      </c>
    </row>
    <row r="500" ht="22.5" customHeight="1">
      <c r="B500" s="4">
        <v>9921411.0</v>
      </c>
      <c r="C500" s="4">
        <v>7.64</v>
      </c>
      <c r="D500" s="4">
        <v>133.8</v>
      </c>
    </row>
    <row r="501" ht="22.5" customHeight="1">
      <c r="B501" s="4">
        <v>9941413.0</v>
      </c>
      <c r="C501" s="4">
        <v>7.64</v>
      </c>
      <c r="D501" s="4">
        <v>133.8</v>
      </c>
    </row>
    <row r="502" ht="22.5" customHeight="1">
      <c r="B502" s="4">
        <v>9961416.0</v>
      </c>
      <c r="C502" s="4">
        <v>7.64</v>
      </c>
      <c r="D502" s="4">
        <v>133.8</v>
      </c>
    </row>
    <row r="503" ht="22.5" customHeight="1">
      <c r="B503" s="4">
        <v>9981419.0</v>
      </c>
      <c r="C503" s="4">
        <v>7.64</v>
      </c>
      <c r="D503" s="4">
        <v>133.8</v>
      </c>
    </row>
    <row r="504" ht="22.5" customHeight="1">
      <c r="B504" s="4">
        <v>1.0001422E7</v>
      </c>
      <c r="C504" s="4">
        <v>7.64</v>
      </c>
      <c r="D504" s="4">
        <v>133.8</v>
      </c>
    </row>
    <row r="505" ht="22.5" customHeight="1">
      <c r="B505" s="4">
        <v>1.0021425E7</v>
      </c>
      <c r="C505" s="4">
        <v>7.64</v>
      </c>
      <c r="D505" s="4">
        <v>133.7</v>
      </c>
    </row>
    <row r="506" ht="22.5" customHeight="1">
      <c r="B506" s="4">
        <v>1.0041428E7</v>
      </c>
      <c r="C506" s="4">
        <v>7.64</v>
      </c>
      <c r="D506" s="4">
        <v>133.7</v>
      </c>
    </row>
    <row r="507" ht="22.5" customHeight="1">
      <c r="B507" s="4">
        <v>1.0061431E7</v>
      </c>
      <c r="C507" s="4">
        <v>7.64</v>
      </c>
      <c r="D507" s="4">
        <v>133.8</v>
      </c>
    </row>
    <row r="508" ht="22.5" customHeight="1">
      <c r="B508" s="4">
        <v>1.0081434E7</v>
      </c>
      <c r="C508" s="4">
        <v>7.64</v>
      </c>
      <c r="D508" s="4">
        <v>133.8</v>
      </c>
    </row>
    <row r="509" ht="22.5" customHeight="1">
      <c r="B509" s="4">
        <v>1.0101437E7</v>
      </c>
      <c r="C509" s="4">
        <v>7.64</v>
      </c>
      <c r="D509" s="4">
        <v>133.7</v>
      </c>
    </row>
    <row r="510" ht="22.5" customHeight="1">
      <c r="B510" s="4">
        <v>1.012144E7</v>
      </c>
      <c r="C510" s="4">
        <v>7.64</v>
      </c>
      <c r="D510" s="4">
        <v>133.8</v>
      </c>
    </row>
    <row r="511" ht="22.5" customHeight="1">
      <c r="B511" s="4">
        <v>1.0141443E7</v>
      </c>
      <c r="C511" s="4">
        <v>7.64</v>
      </c>
      <c r="D511" s="4">
        <v>133.7</v>
      </c>
    </row>
    <row r="512" ht="22.5" customHeight="1">
      <c r="B512" s="4">
        <v>1.0161445E7</v>
      </c>
      <c r="C512" s="4">
        <v>7.64</v>
      </c>
      <c r="D512" s="4">
        <v>133.7</v>
      </c>
    </row>
    <row r="513" ht="22.5" customHeight="1">
      <c r="B513" s="4">
        <v>1.0181448E7</v>
      </c>
      <c r="C513" s="4">
        <v>7.64</v>
      </c>
      <c r="D513" s="4">
        <v>133.8</v>
      </c>
    </row>
    <row r="514" ht="22.5" customHeight="1">
      <c r="B514" s="4">
        <v>1.0201451E7</v>
      </c>
      <c r="C514" s="4">
        <v>7.64</v>
      </c>
      <c r="D514" s="4">
        <v>133.7</v>
      </c>
    </row>
    <row r="515" ht="22.5" customHeight="1">
      <c r="B515" s="4">
        <v>1.0221454E7</v>
      </c>
      <c r="C515" s="4">
        <v>7.64</v>
      </c>
      <c r="D515" s="4">
        <v>133.7</v>
      </c>
    </row>
    <row r="516" ht="22.5" customHeight="1">
      <c r="B516" s="4">
        <v>1.0241457E7</v>
      </c>
      <c r="C516" s="4">
        <v>7.63</v>
      </c>
      <c r="D516" s="4">
        <v>133.7</v>
      </c>
    </row>
    <row r="517" ht="22.5" customHeight="1">
      <c r="B517" s="4">
        <v>1.0261459E7</v>
      </c>
      <c r="C517" s="4">
        <v>7.64</v>
      </c>
      <c r="D517" s="4">
        <v>133.7</v>
      </c>
    </row>
    <row r="518" ht="22.5" customHeight="1">
      <c r="B518" s="4">
        <v>1.0281462E7</v>
      </c>
      <c r="C518" s="4">
        <v>7.64</v>
      </c>
      <c r="D518" s="4">
        <v>133.7</v>
      </c>
    </row>
    <row r="519" ht="22.5" customHeight="1">
      <c r="B519" s="4">
        <v>1.0301465E7</v>
      </c>
      <c r="C519" s="4">
        <v>7.63</v>
      </c>
      <c r="D519" s="4">
        <v>133.7</v>
      </c>
    </row>
    <row r="520" ht="22.5" customHeight="1">
      <c r="B520" s="4">
        <v>1.0321469E7</v>
      </c>
      <c r="C520" s="4">
        <v>7.63</v>
      </c>
      <c r="D520" s="4">
        <v>133.7</v>
      </c>
    </row>
    <row r="521" ht="22.5" customHeight="1">
      <c r="B521" s="4">
        <v>1.0341472E7</v>
      </c>
      <c r="C521" s="4">
        <v>7.63</v>
      </c>
      <c r="D521" s="4">
        <v>133.7</v>
      </c>
    </row>
    <row r="522" ht="22.5" customHeight="1">
      <c r="B522" s="4">
        <v>1.0361475E7</v>
      </c>
      <c r="C522" s="4">
        <v>7.63</v>
      </c>
      <c r="D522" s="4">
        <v>133.6</v>
      </c>
    </row>
    <row r="523" ht="22.5" customHeight="1">
      <c r="B523" s="4">
        <v>1.0381477E7</v>
      </c>
      <c r="C523" s="4">
        <v>7.63</v>
      </c>
      <c r="D523" s="4">
        <v>133.6</v>
      </c>
    </row>
    <row r="524" ht="22.5" customHeight="1">
      <c r="B524" s="4">
        <v>1.040148E7</v>
      </c>
      <c r="C524" s="4">
        <v>7.63</v>
      </c>
      <c r="D524" s="4">
        <v>133.6</v>
      </c>
    </row>
    <row r="525" ht="22.5" customHeight="1">
      <c r="B525" s="4">
        <v>1.0421483E7</v>
      </c>
      <c r="C525" s="4">
        <v>7.63</v>
      </c>
      <c r="D525" s="4">
        <v>133.6</v>
      </c>
    </row>
    <row r="526" ht="22.5" customHeight="1">
      <c r="B526" s="4">
        <v>1.0441486E7</v>
      </c>
      <c r="C526" s="4">
        <v>7.63</v>
      </c>
      <c r="D526" s="4">
        <v>133.6</v>
      </c>
    </row>
    <row r="527" ht="22.5" customHeight="1">
      <c r="B527" s="4">
        <v>1.0461489E7</v>
      </c>
      <c r="C527" s="4">
        <v>7.63</v>
      </c>
      <c r="D527" s="4">
        <v>133.7</v>
      </c>
    </row>
    <row r="528" ht="22.5" customHeight="1">
      <c r="B528" s="4">
        <v>1.0481491E7</v>
      </c>
      <c r="C528" s="4">
        <v>7.63</v>
      </c>
      <c r="D528" s="4">
        <v>133.7</v>
      </c>
    </row>
    <row r="529" ht="22.5" customHeight="1">
      <c r="B529" s="4">
        <v>1.0501494E7</v>
      </c>
      <c r="C529" s="4">
        <v>7.63</v>
      </c>
      <c r="D529" s="4">
        <v>133.6</v>
      </c>
    </row>
    <row r="530" ht="22.5" customHeight="1">
      <c r="B530" s="4">
        <v>1.0521497E7</v>
      </c>
      <c r="C530" s="4">
        <v>7.63</v>
      </c>
      <c r="D530" s="4">
        <v>133.6</v>
      </c>
    </row>
    <row r="531" ht="22.5" customHeight="1">
      <c r="B531" s="4">
        <v>1.05415E7</v>
      </c>
      <c r="C531" s="4">
        <v>7.63</v>
      </c>
      <c r="D531" s="4">
        <v>133.7</v>
      </c>
    </row>
    <row r="532" ht="22.5" customHeight="1">
      <c r="B532" s="4">
        <v>1.0561503E7</v>
      </c>
      <c r="C532" s="4">
        <v>7.63</v>
      </c>
      <c r="D532" s="4">
        <v>133.6</v>
      </c>
    </row>
    <row r="533" ht="22.5" customHeight="1">
      <c r="B533" s="4">
        <v>1.0581506E7</v>
      </c>
      <c r="C533" s="4">
        <v>7.63</v>
      </c>
      <c r="D533" s="4">
        <v>133.6</v>
      </c>
    </row>
    <row r="534" ht="22.5" customHeight="1">
      <c r="B534" s="4">
        <v>1.0601509E7</v>
      </c>
      <c r="C534" s="4">
        <v>7.63</v>
      </c>
      <c r="D534" s="4">
        <v>133.7</v>
      </c>
    </row>
    <row r="535" ht="22.5" customHeight="1">
      <c r="B535" s="4">
        <v>1.0621512E7</v>
      </c>
      <c r="C535" s="4">
        <v>7.63</v>
      </c>
      <c r="D535" s="4">
        <v>133.6</v>
      </c>
    </row>
    <row r="536" ht="22.5" customHeight="1">
      <c r="B536" s="4">
        <v>1.0641515E7</v>
      </c>
      <c r="C536" s="4">
        <v>7.63</v>
      </c>
      <c r="D536" s="4">
        <v>133.6</v>
      </c>
    </row>
    <row r="537" ht="22.5" customHeight="1">
      <c r="B537" s="4">
        <v>1.0661518E7</v>
      </c>
      <c r="C537" s="4">
        <v>7.63</v>
      </c>
      <c r="D537" s="4">
        <v>133.6</v>
      </c>
    </row>
    <row r="538" ht="22.5" customHeight="1">
      <c r="B538" s="4">
        <v>1.0681521E7</v>
      </c>
      <c r="C538" s="4">
        <v>7.63</v>
      </c>
      <c r="D538" s="4">
        <v>133.6</v>
      </c>
    </row>
    <row r="539" ht="22.5" customHeight="1">
      <c r="B539" s="4">
        <v>1.0701523E7</v>
      </c>
      <c r="C539" s="4">
        <v>7.63</v>
      </c>
      <c r="D539" s="4">
        <v>133.6</v>
      </c>
    </row>
    <row r="540" ht="22.5" customHeight="1">
      <c r="B540" s="4">
        <v>1.0721526E7</v>
      </c>
      <c r="C540" s="4">
        <v>7.63</v>
      </c>
      <c r="D540" s="4">
        <v>133.6</v>
      </c>
    </row>
    <row r="541" ht="22.5" customHeight="1">
      <c r="B541" s="4">
        <v>1.0741529E7</v>
      </c>
      <c r="C541" s="4">
        <v>7.62</v>
      </c>
      <c r="D541" s="4">
        <v>133.5</v>
      </c>
    </row>
    <row r="542" ht="22.5" customHeight="1">
      <c r="B542" s="4">
        <v>1.0761532E7</v>
      </c>
      <c r="C542" s="4">
        <v>7.63</v>
      </c>
      <c r="D542" s="4">
        <v>133.6</v>
      </c>
    </row>
    <row r="543" ht="22.5" customHeight="1">
      <c r="B543" s="4">
        <v>1.0781535E7</v>
      </c>
      <c r="C543" s="4">
        <v>7.63</v>
      </c>
      <c r="D543" s="4">
        <v>133.6</v>
      </c>
    </row>
    <row r="544" ht="22.5" customHeight="1">
      <c r="B544" s="4">
        <v>1.0801538E7</v>
      </c>
      <c r="C544" s="4">
        <v>7.62</v>
      </c>
      <c r="D544" s="4">
        <v>133.5</v>
      </c>
    </row>
    <row r="545" ht="22.5" customHeight="1">
      <c r="B545" s="4">
        <v>1.082154E7</v>
      </c>
      <c r="C545" s="4">
        <v>7.62</v>
      </c>
      <c r="D545" s="4">
        <v>133.6</v>
      </c>
    </row>
    <row r="546" ht="22.5" customHeight="1">
      <c r="B546" s="4">
        <v>1.0841543E7</v>
      </c>
      <c r="C546" s="4">
        <v>7.62</v>
      </c>
      <c r="D546" s="4">
        <v>133.5</v>
      </c>
    </row>
    <row r="547" ht="22.5" customHeight="1">
      <c r="B547" s="4">
        <v>1.0861546E7</v>
      </c>
      <c r="C547" s="4">
        <v>7.62</v>
      </c>
      <c r="D547" s="4">
        <v>133.5</v>
      </c>
    </row>
    <row r="548" ht="22.5" customHeight="1">
      <c r="B548" s="4">
        <v>1.088155E7</v>
      </c>
      <c r="C548" s="4">
        <v>7.62</v>
      </c>
      <c r="D548" s="4">
        <v>133.5</v>
      </c>
    </row>
    <row r="549" ht="22.5" customHeight="1">
      <c r="B549" s="4">
        <v>1.0901553E7</v>
      </c>
      <c r="C549" s="4">
        <v>7.62</v>
      </c>
      <c r="D549" s="4">
        <v>133.5</v>
      </c>
    </row>
    <row r="550" ht="22.5" customHeight="1">
      <c r="B550" s="4">
        <v>1.0921555E7</v>
      </c>
      <c r="C550" s="4">
        <v>7.62</v>
      </c>
      <c r="D550" s="4">
        <v>133.4</v>
      </c>
    </row>
    <row r="551" ht="22.5" customHeight="1">
      <c r="B551" s="4">
        <v>1.0941558E7</v>
      </c>
      <c r="C551" s="4">
        <v>7.62</v>
      </c>
      <c r="D551" s="4">
        <v>133.5</v>
      </c>
    </row>
    <row r="552" ht="22.5" customHeight="1">
      <c r="B552" s="4">
        <v>1.0961561E7</v>
      </c>
      <c r="C552" s="4">
        <v>7.62</v>
      </c>
      <c r="D552" s="4">
        <v>133.4</v>
      </c>
    </row>
    <row r="553" ht="22.5" customHeight="1">
      <c r="B553" s="4">
        <v>1.0981564E7</v>
      </c>
      <c r="C553" s="4">
        <v>7.62</v>
      </c>
      <c r="D553" s="4">
        <v>133.5</v>
      </c>
    </row>
    <row r="554" ht="22.5" customHeight="1">
      <c r="B554" s="4">
        <v>1.1001567E7</v>
      </c>
      <c r="C554" s="4">
        <v>7.62</v>
      </c>
      <c r="D554" s="4">
        <v>133.4</v>
      </c>
    </row>
    <row r="555" ht="22.5" customHeight="1">
      <c r="B555" s="4">
        <v>1.102157E7</v>
      </c>
      <c r="C555" s="4">
        <v>7.62</v>
      </c>
      <c r="D555" s="4">
        <v>133.5</v>
      </c>
    </row>
    <row r="556" ht="22.5" customHeight="1">
      <c r="B556" s="4">
        <v>1.1041572E7</v>
      </c>
      <c r="C556" s="4">
        <v>7.62</v>
      </c>
      <c r="D556" s="4">
        <v>133.5</v>
      </c>
    </row>
    <row r="557" ht="22.5" customHeight="1">
      <c r="B557" s="4">
        <v>1.1061575E7</v>
      </c>
      <c r="C557" s="4">
        <v>7.62</v>
      </c>
      <c r="D557" s="4">
        <v>133.4</v>
      </c>
    </row>
    <row r="558" ht="22.5" customHeight="1">
      <c r="B558" s="4">
        <v>1.1081578E7</v>
      </c>
      <c r="C558" s="4">
        <v>7.62</v>
      </c>
      <c r="D558" s="4">
        <v>133.5</v>
      </c>
    </row>
    <row r="559" ht="22.5" customHeight="1">
      <c r="B559" s="4">
        <v>1.1101581E7</v>
      </c>
      <c r="C559" s="4">
        <v>7.62</v>
      </c>
      <c r="D559" s="4">
        <v>133.4</v>
      </c>
    </row>
    <row r="560" ht="22.5" customHeight="1">
      <c r="B560" s="4">
        <v>1.1121584E7</v>
      </c>
      <c r="C560" s="4">
        <v>7.62</v>
      </c>
      <c r="D560" s="4">
        <v>133.4</v>
      </c>
    </row>
    <row r="561" ht="22.5" customHeight="1">
      <c r="B561" s="4">
        <v>1.1141586E7</v>
      </c>
      <c r="C561" s="4">
        <v>7.62</v>
      </c>
      <c r="D561" s="4">
        <v>133.4</v>
      </c>
    </row>
    <row r="562" ht="22.5" customHeight="1">
      <c r="B562" s="4">
        <v>1.116159E7</v>
      </c>
      <c r="C562" s="4">
        <v>7.62</v>
      </c>
      <c r="D562" s="4">
        <v>133.4</v>
      </c>
    </row>
    <row r="563" ht="22.5" customHeight="1">
      <c r="B563" s="4">
        <v>1.1181593E7</v>
      </c>
      <c r="C563" s="4">
        <v>7.62</v>
      </c>
      <c r="D563" s="4">
        <v>133.4</v>
      </c>
    </row>
    <row r="564" ht="22.5" customHeight="1">
      <c r="B564" s="4">
        <v>1.1201596E7</v>
      </c>
      <c r="C564" s="4">
        <v>7.62</v>
      </c>
      <c r="D564" s="4">
        <v>133.4</v>
      </c>
    </row>
    <row r="565" ht="22.5" customHeight="1">
      <c r="B565" s="4">
        <v>1.1221599E7</v>
      </c>
      <c r="C565" s="4">
        <v>7.62</v>
      </c>
      <c r="D565" s="4">
        <v>133.4</v>
      </c>
    </row>
    <row r="566" ht="22.5" customHeight="1">
      <c r="B566" s="4">
        <v>1.1241602E7</v>
      </c>
      <c r="C566" s="4">
        <v>7.62</v>
      </c>
      <c r="D566" s="4">
        <v>133.4</v>
      </c>
    </row>
    <row r="567" ht="22.5" customHeight="1">
      <c r="B567" s="4">
        <v>1.1261604E7</v>
      </c>
      <c r="C567" s="4">
        <v>7.62</v>
      </c>
      <c r="D567" s="4">
        <v>133.3</v>
      </c>
    </row>
    <row r="568" ht="22.5" customHeight="1">
      <c r="B568" s="4">
        <v>1.1281607E7</v>
      </c>
      <c r="C568" s="4">
        <v>7.62</v>
      </c>
      <c r="D568" s="4">
        <v>133.4</v>
      </c>
    </row>
    <row r="569" ht="22.5" customHeight="1">
      <c r="B569" s="4">
        <v>1.130161E7</v>
      </c>
      <c r="C569" s="4">
        <v>7.62</v>
      </c>
      <c r="D569" s="4">
        <v>133.4</v>
      </c>
    </row>
    <row r="570" ht="22.5" customHeight="1">
      <c r="B570" s="4">
        <v>1.1321613E7</v>
      </c>
      <c r="C570" s="4">
        <v>7.62</v>
      </c>
      <c r="D570" s="4">
        <v>133.4</v>
      </c>
    </row>
    <row r="571" ht="22.5" customHeight="1">
      <c r="B571" s="4">
        <v>1.1341616E7</v>
      </c>
      <c r="C571" s="4">
        <v>7.62</v>
      </c>
      <c r="D571" s="4">
        <v>133.3</v>
      </c>
    </row>
    <row r="572" ht="22.5" customHeight="1">
      <c r="B572" s="4">
        <v>1.1361618E7</v>
      </c>
      <c r="C572" s="4">
        <v>7.62</v>
      </c>
      <c r="D572" s="4">
        <v>133.4</v>
      </c>
    </row>
    <row r="573" ht="22.5" customHeight="1">
      <c r="B573" s="4">
        <v>1.1381621E7</v>
      </c>
      <c r="C573" s="4">
        <v>7.62</v>
      </c>
      <c r="D573" s="4">
        <v>133.4</v>
      </c>
    </row>
    <row r="574" ht="22.5" customHeight="1">
      <c r="B574" s="4">
        <v>1.1401624E7</v>
      </c>
      <c r="C574" s="4">
        <v>7.62</v>
      </c>
      <c r="D574" s="4">
        <v>133.3</v>
      </c>
    </row>
    <row r="575" ht="22.5" customHeight="1">
      <c r="B575" s="4">
        <v>1.1421628E7</v>
      </c>
      <c r="C575" s="4">
        <v>7.62</v>
      </c>
      <c r="D575" s="4">
        <v>133.4</v>
      </c>
    </row>
    <row r="576" ht="22.5" customHeight="1">
      <c r="B576" s="4">
        <v>1.1441631E7</v>
      </c>
      <c r="C576" s="4">
        <v>7.61</v>
      </c>
      <c r="D576" s="4">
        <v>133.3</v>
      </c>
    </row>
    <row r="577" ht="22.5" customHeight="1">
      <c r="B577" s="4">
        <v>1.1461634E7</v>
      </c>
      <c r="C577" s="4">
        <v>7.61</v>
      </c>
      <c r="D577" s="4">
        <v>133.3</v>
      </c>
    </row>
    <row r="578" ht="22.5" customHeight="1">
      <c r="B578" s="4">
        <v>1.1481636E7</v>
      </c>
      <c r="C578" s="4">
        <v>7.61</v>
      </c>
      <c r="D578" s="4">
        <v>133.3</v>
      </c>
    </row>
    <row r="579" ht="22.5" customHeight="1">
      <c r="B579" s="4">
        <v>1.1501639E7</v>
      </c>
      <c r="C579" s="4">
        <v>7.61</v>
      </c>
      <c r="D579" s="4">
        <v>133.3</v>
      </c>
    </row>
    <row r="580" ht="22.5" customHeight="1">
      <c r="B580" s="4">
        <v>1.1521642E7</v>
      </c>
      <c r="C580" s="4">
        <v>7.61</v>
      </c>
      <c r="D580" s="4">
        <v>133.3</v>
      </c>
    </row>
    <row r="581" ht="22.5" customHeight="1">
      <c r="B581" s="4">
        <v>1.1541645E7</v>
      </c>
      <c r="C581" s="4">
        <v>7.61</v>
      </c>
      <c r="D581" s="4">
        <v>133.3</v>
      </c>
    </row>
    <row r="582" ht="22.5" customHeight="1">
      <c r="B582" s="4">
        <v>1.1561648E7</v>
      </c>
      <c r="C582" s="4">
        <v>7.61</v>
      </c>
      <c r="D582" s="4">
        <v>133.3</v>
      </c>
    </row>
    <row r="583" ht="22.5" customHeight="1">
      <c r="B583" s="4">
        <v>1.158165E7</v>
      </c>
      <c r="C583" s="4">
        <v>7.61</v>
      </c>
      <c r="D583" s="4">
        <v>133.3</v>
      </c>
    </row>
    <row r="584" ht="22.5" customHeight="1">
      <c r="B584" s="4">
        <v>1.1601653E7</v>
      </c>
      <c r="C584" s="4">
        <v>7.62</v>
      </c>
      <c r="D584" s="4">
        <v>133.3</v>
      </c>
    </row>
    <row r="585" ht="22.5" customHeight="1">
      <c r="B585" s="4">
        <v>1.1621656E7</v>
      </c>
      <c r="C585" s="4">
        <v>7.61</v>
      </c>
      <c r="D585" s="4">
        <v>133.3</v>
      </c>
    </row>
    <row r="586" ht="22.5" customHeight="1">
      <c r="B586" s="4">
        <v>1.1641659E7</v>
      </c>
      <c r="C586" s="4">
        <v>7.61</v>
      </c>
      <c r="D586" s="4">
        <v>133.3</v>
      </c>
    </row>
    <row r="587" ht="22.5" customHeight="1">
      <c r="B587" s="4">
        <v>1.1661662E7</v>
      </c>
      <c r="C587" s="4">
        <v>7.61</v>
      </c>
      <c r="D587" s="4">
        <v>133.3</v>
      </c>
    </row>
    <row r="588" ht="22.5" customHeight="1">
      <c r="B588" s="4">
        <v>1.1681666E7</v>
      </c>
      <c r="C588" s="4">
        <v>7.61</v>
      </c>
      <c r="D588" s="4">
        <v>133.2</v>
      </c>
    </row>
    <row r="589" ht="22.5" customHeight="1">
      <c r="B589" s="4">
        <v>1.1701668E7</v>
      </c>
      <c r="C589" s="4">
        <v>7.61</v>
      </c>
      <c r="D589" s="4">
        <v>133.3</v>
      </c>
    </row>
    <row r="590" ht="22.5" customHeight="1">
      <c r="B590" s="4">
        <v>1.1721671E7</v>
      </c>
      <c r="C590" s="4">
        <v>7.61</v>
      </c>
      <c r="D590" s="4">
        <v>133.2</v>
      </c>
    </row>
    <row r="591" ht="22.5" customHeight="1">
      <c r="B591" s="4">
        <v>1.1741674E7</v>
      </c>
      <c r="C591" s="4">
        <v>7.61</v>
      </c>
      <c r="D591" s="4">
        <v>133.2</v>
      </c>
    </row>
    <row r="592" ht="22.5" customHeight="1">
      <c r="B592" s="4">
        <v>1.1761677E7</v>
      </c>
      <c r="C592" s="4">
        <v>7.61</v>
      </c>
      <c r="D592" s="4">
        <v>133.3</v>
      </c>
    </row>
    <row r="593" ht="22.5" customHeight="1">
      <c r="B593" s="4">
        <v>1.178168E7</v>
      </c>
      <c r="C593" s="4">
        <v>7.61</v>
      </c>
      <c r="D593" s="4">
        <v>133.2</v>
      </c>
    </row>
    <row r="594" ht="22.5" customHeight="1">
      <c r="B594" s="4">
        <v>1.1801682E7</v>
      </c>
      <c r="C594" s="4">
        <v>7.6</v>
      </c>
      <c r="D594" s="4">
        <v>133.2</v>
      </c>
    </row>
    <row r="595" ht="22.5" customHeight="1">
      <c r="B595" s="4">
        <v>1.1821685E7</v>
      </c>
      <c r="C595" s="4">
        <v>7.61</v>
      </c>
      <c r="D595" s="4">
        <v>133.2</v>
      </c>
    </row>
    <row r="596" ht="22.5" customHeight="1">
      <c r="B596" s="4">
        <v>1.1841688E7</v>
      </c>
      <c r="C596" s="4">
        <v>7.6</v>
      </c>
      <c r="D596" s="4">
        <v>133.2</v>
      </c>
    </row>
    <row r="597" ht="22.5" customHeight="1">
      <c r="B597" s="4">
        <v>1.1861691E7</v>
      </c>
      <c r="C597" s="4">
        <v>7.61</v>
      </c>
      <c r="D597" s="4">
        <v>133.2</v>
      </c>
    </row>
    <row r="598" ht="22.5" customHeight="1">
      <c r="B598" s="4">
        <v>1.1881694E7</v>
      </c>
      <c r="C598" s="4">
        <v>7.61</v>
      </c>
      <c r="D598" s="4">
        <v>133.2</v>
      </c>
    </row>
    <row r="599" ht="22.5" customHeight="1">
      <c r="B599" s="4">
        <v>1.1901697E7</v>
      </c>
      <c r="C599" s="4">
        <v>7.61</v>
      </c>
      <c r="D599" s="4">
        <v>133.2</v>
      </c>
    </row>
    <row r="600" ht="22.5" customHeight="1">
      <c r="B600" s="4">
        <v>1.1921699E7</v>
      </c>
      <c r="C600" s="4">
        <v>7.6</v>
      </c>
      <c r="D600" s="4">
        <v>133.1</v>
      </c>
    </row>
    <row r="601" ht="22.5" customHeight="1">
      <c r="B601" s="4">
        <v>1.1941702E7</v>
      </c>
      <c r="C601" s="4">
        <v>7.6</v>
      </c>
      <c r="D601" s="4">
        <v>133.2</v>
      </c>
    </row>
    <row r="602" ht="22.5" customHeight="1">
      <c r="B602" s="4">
        <v>1.1961706E7</v>
      </c>
      <c r="C602" s="4">
        <v>7.6</v>
      </c>
      <c r="D602" s="4">
        <v>133.1</v>
      </c>
    </row>
    <row r="603" ht="22.5" customHeight="1">
      <c r="B603" s="4">
        <v>1.1981709E7</v>
      </c>
      <c r="C603" s="4">
        <v>7.6</v>
      </c>
      <c r="D603" s="4">
        <v>133.1</v>
      </c>
    </row>
    <row r="604" ht="22.5" customHeight="1">
      <c r="B604" s="4">
        <v>1.2001712E7</v>
      </c>
      <c r="C604" s="4">
        <v>7.6</v>
      </c>
      <c r="D604" s="4">
        <v>133.1</v>
      </c>
    </row>
    <row r="605" ht="22.5" customHeight="1">
      <c r="B605" s="4">
        <v>1.2021714E7</v>
      </c>
      <c r="C605" s="4">
        <v>7.6</v>
      </c>
      <c r="D605" s="4">
        <v>133.1</v>
      </c>
    </row>
    <row r="606" ht="22.5" customHeight="1">
      <c r="B606" s="4">
        <v>1.2041717E7</v>
      </c>
      <c r="C606" s="4">
        <v>7.6</v>
      </c>
      <c r="D606" s="4">
        <v>133.1</v>
      </c>
    </row>
    <row r="607" ht="22.5" customHeight="1">
      <c r="B607" s="4">
        <v>1.206172E7</v>
      </c>
      <c r="C607" s="4">
        <v>7.6</v>
      </c>
      <c r="D607" s="4">
        <v>133.1</v>
      </c>
    </row>
    <row r="608" ht="22.5" customHeight="1">
      <c r="B608" s="4">
        <v>1.2081723E7</v>
      </c>
      <c r="C608" s="4">
        <v>7.6</v>
      </c>
      <c r="D608" s="4">
        <v>133.1</v>
      </c>
    </row>
    <row r="609" ht="22.5" customHeight="1">
      <c r="B609" s="4">
        <v>1.2101726E7</v>
      </c>
      <c r="C609" s="4">
        <v>7.6</v>
      </c>
      <c r="D609" s="4">
        <v>133.1</v>
      </c>
    </row>
    <row r="610" ht="22.5" customHeight="1">
      <c r="B610" s="4">
        <v>1.2121729E7</v>
      </c>
      <c r="C610" s="4">
        <v>7.6</v>
      </c>
      <c r="D610" s="4">
        <v>133.1</v>
      </c>
    </row>
    <row r="611" ht="22.5" customHeight="1">
      <c r="B611" s="4">
        <v>1.2141731E7</v>
      </c>
      <c r="C611" s="4">
        <v>7.6</v>
      </c>
      <c r="D611" s="4">
        <v>133.1</v>
      </c>
    </row>
    <row r="612" ht="22.5" customHeight="1">
      <c r="B612" s="4">
        <v>1.2161734E7</v>
      </c>
      <c r="C612" s="4">
        <v>7.6</v>
      </c>
      <c r="D612" s="4">
        <v>133.1</v>
      </c>
    </row>
    <row r="613" ht="22.5" customHeight="1">
      <c r="B613" s="4">
        <v>1.2181737E7</v>
      </c>
      <c r="C613" s="4">
        <v>7.6</v>
      </c>
      <c r="D613" s="4">
        <v>133.1</v>
      </c>
    </row>
    <row r="614" ht="22.5" customHeight="1">
      <c r="B614" s="4">
        <v>1.220174E7</v>
      </c>
      <c r="C614" s="4">
        <v>7.6</v>
      </c>
      <c r="D614" s="4">
        <v>133.1</v>
      </c>
    </row>
    <row r="615" ht="22.5" customHeight="1">
      <c r="B615" s="4">
        <v>1.2221743E7</v>
      </c>
      <c r="C615" s="4">
        <v>7.6</v>
      </c>
      <c r="D615" s="4">
        <v>133.1</v>
      </c>
    </row>
    <row r="616" ht="22.5" customHeight="1">
      <c r="B616" s="4">
        <v>1.2241745E7</v>
      </c>
      <c r="C616" s="4">
        <v>7.6</v>
      </c>
      <c r="D616" s="4">
        <v>133.0</v>
      </c>
    </row>
    <row r="617" ht="22.5" customHeight="1">
      <c r="B617" s="4">
        <v>1.2261749E7</v>
      </c>
      <c r="C617" s="4">
        <v>7.6</v>
      </c>
      <c r="D617" s="4">
        <v>133.1</v>
      </c>
    </row>
    <row r="618" ht="22.5" customHeight="1">
      <c r="B618" s="4">
        <v>1.2281752E7</v>
      </c>
      <c r="C618" s="4">
        <v>7.6</v>
      </c>
      <c r="D618" s="4">
        <v>133.0</v>
      </c>
    </row>
    <row r="619" ht="22.5" customHeight="1">
      <c r="B619" s="4">
        <v>1.2301755E7</v>
      </c>
      <c r="C619" s="4">
        <v>7.6</v>
      </c>
      <c r="D619" s="4">
        <v>133.0</v>
      </c>
    </row>
    <row r="620" ht="22.5" customHeight="1">
      <c r="B620" s="4">
        <v>1.2321758E7</v>
      </c>
      <c r="C620" s="4">
        <v>7.6</v>
      </c>
      <c r="D620" s="4">
        <v>133.0</v>
      </c>
    </row>
    <row r="621" ht="22.5" customHeight="1">
      <c r="B621" s="4">
        <v>1.2341761E7</v>
      </c>
      <c r="C621" s="4">
        <v>7.6</v>
      </c>
      <c r="D621" s="4">
        <v>133.0</v>
      </c>
    </row>
    <row r="622" ht="22.5" customHeight="1">
      <c r="B622" s="4">
        <v>1.2361763E7</v>
      </c>
      <c r="C622" s="4">
        <v>7.6</v>
      </c>
      <c r="D622" s="4">
        <v>133.0</v>
      </c>
    </row>
    <row r="623" ht="22.5" customHeight="1">
      <c r="B623" s="4">
        <v>1.2381766E7</v>
      </c>
      <c r="C623" s="4">
        <v>7.6</v>
      </c>
      <c r="D623" s="4">
        <v>132.9</v>
      </c>
    </row>
    <row r="624" ht="22.5" customHeight="1">
      <c r="B624" s="4">
        <v>1.2401769E7</v>
      </c>
      <c r="C624" s="4">
        <v>7.6</v>
      </c>
      <c r="D624" s="4">
        <v>133.0</v>
      </c>
    </row>
    <row r="625" ht="22.5" customHeight="1">
      <c r="B625" s="4">
        <v>1.2421772E7</v>
      </c>
      <c r="C625" s="4">
        <v>7.6</v>
      </c>
      <c r="D625" s="4">
        <v>133.0</v>
      </c>
    </row>
    <row r="626" ht="22.5" customHeight="1">
      <c r="B626" s="4">
        <v>1.2441775E7</v>
      </c>
      <c r="C626" s="4">
        <v>7.6</v>
      </c>
      <c r="D626" s="4">
        <v>133.0</v>
      </c>
    </row>
    <row r="627" ht="22.5" customHeight="1">
      <c r="B627" s="4">
        <v>1.2461777E7</v>
      </c>
      <c r="C627" s="4">
        <v>7.59</v>
      </c>
      <c r="D627" s="4">
        <v>133.0</v>
      </c>
    </row>
    <row r="628" ht="22.5" customHeight="1">
      <c r="B628" s="4">
        <v>1.248178E7</v>
      </c>
      <c r="C628" s="4">
        <v>7.6</v>
      </c>
      <c r="D628" s="4">
        <v>132.9</v>
      </c>
    </row>
    <row r="629" ht="22.5" customHeight="1">
      <c r="B629" s="4">
        <v>1.2501783E7</v>
      </c>
      <c r="C629" s="4">
        <v>7.59</v>
      </c>
      <c r="D629" s="4">
        <v>133.0</v>
      </c>
    </row>
    <row r="630" ht="22.5" customHeight="1">
      <c r="B630" s="4">
        <v>1.2521786E7</v>
      </c>
      <c r="C630" s="4">
        <v>7.6</v>
      </c>
      <c r="D630" s="4">
        <v>133.0</v>
      </c>
    </row>
    <row r="631" ht="22.5" customHeight="1">
      <c r="B631" s="4">
        <v>1.2541789E7</v>
      </c>
      <c r="C631" s="4">
        <v>7.59</v>
      </c>
      <c r="D631" s="4">
        <v>133.0</v>
      </c>
    </row>
    <row r="632" ht="22.5" customHeight="1">
      <c r="B632" s="4">
        <v>1.2561792E7</v>
      </c>
      <c r="C632" s="4">
        <v>7.59</v>
      </c>
      <c r="D632" s="4">
        <v>132.9</v>
      </c>
    </row>
    <row r="633" ht="22.5" customHeight="1">
      <c r="B633" s="4">
        <v>1.2581795E7</v>
      </c>
      <c r="C633" s="4">
        <v>7.59</v>
      </c>
      <c r="D633" s="4">
        <v>133.0</v>
      </c>
    </row>
    <row r="634" ht="22.5" customHeight="1">
      <c r="B634" s="4">
        <v>1.2601798E7</v>
      </c>
      <c r="C634" s="4">
        <v>7.59</v>
      </c>
      <c r="D634" s="4">
        <v>132.9</v>
      </c>
    </row>
    <row r="635" ht="22.5" customHeight="1">
      <c r="B635" s="4">
        <v>1.2621801E7</v>
      </c>
      <c r="C635" s="4">
        <v>7.59</v>
      </c>
      <c r="D635" s="4">
        <v>132.9</v>
      </c>
    </row>
    <row r="636" ht="22.5" customHeight="1">
      <c r="B636" s="4">
        <v>1.2641804E7</v>
      </c>
      <c r="C636" s="4">
        <v>7.59</v>
      </c>
      <c r="D636" s="4">
        <v>132.9</v>
      </c>
    </row>
    <row r="637" ht="22.5" customHeight="1">
      <c r="B637" s="4">
        <v>1.2661807E7</v>
      </c>
      <c r="C637" s="4">
        <v>7.59</v>
      </c>
      <c r="D637" s="4">
        <v>132.9</v>
      </c>
    </row>
    <row r="638" ht="22.5" customHeight="1">
      <c r="B638" s="4">
        <v>1.2681809E7</v>
      </c>
      <c r="C638" s="4">
        <v>7.59</v>
      </c>
      <c r="D638" s="4">
        <v>132.9</v>
      </c>
    </row>
    <row r="639" ht="22.5" customHeight="1">
      <c r="B639" s="4">
        <v>1.2701812E7</v>
      </c>
      <c r="C639" s="4">
        <v>7.59</v>
      </c>
      <c r="D639" s="4">
        <v>132.8</v>
      </c>
    </row>
    <row r="640" ht="22.5" customHeight="1">
      <c r="B640" s="4">
        <v>1.2721815E7</v>
      </c>
      <c r="C640" s="4">
        <v>7.59</v>
      </c>
      <c r="D640" s="4">
        <v>132.9</v>
      </c>
    </row>
    <row r="641" ht="22.5" customHeight="1">
      <c r="B641" s="4">
        <v>1.2741818E7</v>
      </c>
      <c r="C641" s="4">
        <v>7.59</v>
      </c>
      <c r="D641" s="4">
        <v>132.8</v>
      </c>
    </row>
    <row r="642" ht="22.5" customHeight="1">
      <c r="B642" s="4">
        <v>1.2761821E7</v>
      </c>
      <c r="C642" s="4">
        <v>7.59</v>
      </c>
      <c r="D642" s="4">
        <v>132.8</v>
      </c>
    </row>
    <row r="643" ht="22.5" customHeight="1">
      <c r="B643" s="4">
        <v>1.2781824E7</v>
      </c>
      <c r="C643" s="4">
        <v>7.59</v>
      </c>
      <c r="D643" s="4">
        <v>132.8</v>
      </c>
    </row>
    <row r="644" ht="22.5" customHeight="1">
      <c r="B644" s="4">
        <v>1.2801826E7</v>
      </c>
      <c r="C644" s="4">
        <v>7.59</v>
      </c>
      <c r="D644" s="4">
        <v>132.8</v>
      </c>
    </row>
    <row r="645" ht="22.5" customHeight="1">
      <c r="B645" s="4">
        <v>1.2821829E7</v>
      </c>
      <c r="C645" s="4">
        <v>7.58</v>
      </c>
      <c r="D645" s="4">
        <v>132.8</v>
      </c>
    </row>
    <row r="646" ht="22.5" customHeight="1">
      <c r="B646" s="4">
        <v>1.2841832E7</v>
      </c>
      <c r="C646" s="4">
        <v>7.58</v>
      </c>
      <c r="D646" s="4">
        <v>132.8</v>
      </c>
    </row>
    <row r="647" ht="22.5" customHeight="1">
      <c r="B647" s="4">
        <v>1.2861836E7</v>
      </c>
      <c r="C647" s="4">
        <v>7.58</v>
      </c>
      <c r="D647" s="4">
        <v>132.8</v>
      </c>
    </row>
    <row r="648" ht="22.5" customHeight="1">
      <c r="B648" s="4">
        <v>1.2881839E7</v>
      </c>
      <c r="C648" s="4">
        <v>7.58</v>
      </c>
      <c r="D648" s="4">
        <v>132.8</v>
      </c>
    </row>
    <row r="649" ht="22.5" customHeight="1">
      <c r="B649" s="4">
        <v>1.2901841E7</v>
      </c>
      <c r="C649" s="4">
        <v>7.59</v>
      </c>
      <c r="D649" s="4">
        <v>132.8</v>
      </c>
    </row>
    <row r="650" ht="22.5" customHeight="1">
      <c r="B650" s="4">
        <v>1.2921844E7</v>
      </c>
      <c r="C650" s="4">
        <v>7.58</v>
      </c>
      <c r="D650" s="4">
        <v>132.8</v>
      </c>
    </row>
    <row r="651" ht="22.5" customHeight="1">
      <c r="B651" s="4">
        <v>1.2941847E7</v>
      </c>
      <c r="C651" s="4">
        <v>7.58</v>
      </c>
      <c r="D651" s="4">
        <v>132.8</v>
      </c>
    </row>
    <row r="652" ht="22.5" customHeight="1">
      <c r="B652" s="4">
        <v>1.296185E7</v>
      </c>
      <c r="C652" s="4">
        <v>7.58</v>
      </c>
      <c r="D652" s="4">
        <v>132.8</v>
      </c>
    </row>
    <row r="653" ht="22.5" customHeight="1">
      <c r="B653" s="4">
        <v>1.2981853E7</v>
      </c>
      <c r="C653" s="4">
        <v>7.58</v>
      </c>
      <c r="D653" s="4">
        <v>132.7</v>
      </c>
    </row>
    <row r="654" ht="22.5" customHeight="1">
      <c r="B654" s="4">
        <v>1.3001856E7</v>
      </c>
      <c r="C654" s="4">
        <v>7.58</v>
      </c>
      <c r="D654" s="4">
        <v>132.8</v>
      </c>
    </row>
    <row r="655" ht="22.5" customHeight="1">
      <c r="B655" s="4">
        <v>1.3021858E7</v>
      </c>
      <c r="C655" s="4">
        <v>7.58</v>
      </c>
      <c r="D655" s="4">
        <v>132.7</v>
      </c>
    </row>
    <row r="656" ht="22.5" customHeight="1">
      <c r="B656" s="4">
        <v>1.3041861E7</v>
      </c>
      <c r="C656" s="4">
        <v>7.58</v>
      </c>
      <c r="D656" s="4">
        <v>132.7</v>
      </c>
    </row>
    <row r="657" ht="22.5" customHeight="1">
      <c r="B657" s="4">
        <v>1.3061864E7</v>
      </c>
      <c r="C657" s="4">
        <v>7.58</v>
      </c>
      <c r="D657" s="4">
        <v>132.7</v>
      </c>
    </row>
    <row r="658" ht="22.5" customHeight="1">
      <c r="B658" s="4">
        <v>1.3081867E7</v>
      </c>
      <c r="C658" s="4">
        <v>7.58</v>
      </c>
      <c r="D658" s="4">
        <v>132.7</v>
      </c>
    </row>
    <row r="659" ht="22.5" customHeight="1">
      <c r="B659" s="4">
        <v>1.310187E7</v>
      </c>
      <c r="C659" s="4">
        <v>7.58</v>
      </c>
      <c r="D659" s="4">
        <v>132.7</v>
      </c>
    </row>
    <row r="660" ht="22.5" customHeight="1">
      <c r="B660" s="4">
        <v>1.3121872E7</v>
      </c>
      <c r="C660" s="4">
        <v>7.58</v>
      </c>
      <c r="D660" s="4">
        <v>132.7</v>
      </c>
    </row>
    <row r="661" ht="22.5" customHeight="1">
      <c r="B661" s="4">
        <v>1.3141876E7</v>
      </c>
      <c r="C661" s="4">
        <v>7.58</v>
      </c>
      <c r="D661" s="4">
        <v>132.8</v>
      </c>
    </row>
    <row r="662" ht="22.5" customHeight="1">
      <c r="B662" s="4">
        <v>1.3161879E7</v>
      </c>
      <c r="C662" s="4">
        <v>7.58</v>
      </c>
      <c r="D662" s="4">
        <v>132.7</v>
      </c>
    </row>
    <row r="663" ht="22.5" customHeight="1">
      <c r="B663" s="4">
        <v>1.3181882E7</v>
      </c>
      <c r="C663" s="4">
        <v>7.58</v>
      </c>
      <c r="D663" s="4">
        <v>132.7</v>
      </c>
    </row>
    <row r="664" ht="22.5" customHeight="1">
      <c r="B664" s="4">
        <v>1.3201885E7</v>
      </c>
      <c r="C664" s="4">
        <v>7.58</v>
      </c>
      <c r="D664" s="4">
        <v>132.7</v>
      </c>
    </row>
    <row r="665" ht="22.5" customHeight="1">
      <c r="B665" s="4">
        <v>1.3221888E7</v>
      </c>
      <c r="C665" s="4">
        <v>7.58</v>
      </c>
      <c r="D665" s="4">
        <v>132.7</v>
      </c>
    </row>
    <row r="666" ht="22.5" customHeight="1">
      <c r="B666" s="4">
        <v>1.324189E7</v>
      </c>
      <c r="C666" s="4">
        <v>7.58</v>
      </c>
      <c r="D666" s="4">
        <v>132.7</v>
      </c>
    </row>
    <row r="667" ht="22.5" customHeight="1">
      <c r="B667" s="4">
        <v>1.3261893E7</v>
      </c>
      <c r="C667" s="4">
        <v>7.58</v>
      </c>
      <c r="D667" s="4">
        <v>132.6</v>
      </c>
    </row>
    <row r="668" ht="22.5" customHeight="1">
      <c r="B668" s="4">
        <v>1.3281896E7</v>
      </c>
      <c r="C668" s="4">
        <v>7.58</v>
      </c>
      <c r="D668" s="4">
        <v>132.7</v>
      </c>
    </row>
    <row r="669" ht="22.5" customHeight="1">
      <c r="B669" s="4">
        <v>1.3301899E7</v>
      </c>
      <c r="C669" s="4">
        <v>7.58</v>
      </c>
      <c r="D669" s="4">
        <v>132.6</v>
      </c>
    </row>
    <row r="670" ht="22.5" customHeight="1">
      <c r="B670" s="4">
        <v>1.3321902E7</v>
      </c>
      <c r="C670" s="4">
        <v>7.58</v>
      </c>
      <c r="D670" s="4">
        <v>132.6</v>
      </c>
    </row>
    <row r="671" ht="22.5" customHeight="1">
      <c r="B671" s="4">
        <v>1.3341904E7</v>
      </c>
      <c r="C671" s="4">
        <v>7.58</v>
      </c>
      <c r="D671" s="4">
        <v>132.6</v>
      </c>
    </row>
    <row r="672" ht="22.5" customHeight="1">
      <c r="B672" s="4">
        <v>1.3361907E7</v>
      </c>
      <c r="C672" s="4">
        <v>7.57</v>
      </c>
      <c r="D672" s="4">
        <v>132.7</v>
      </c>
    </row>
    <row r="673" ht="22.5" customHeight="1">
      <c r="B673" s="4">
        <v>1.338191E7</v>
      </c>
      <c r="C673" s="4">
        <v>7.57</v>
      </c>
      <c r="D673" s="4">
        <v>132.6</v>
      </c>
    </row>
    <row r="674" ht="22.5" customHeight="1">
      <c r="B674" s="4">
        <v>1.3401913E7</v>
      </c>
      <c r="C674" s="4">
        <v>7.57</v>
      </c>
      <c r="D674" s="4">
        <v>132.6</v>
      </c>
    </row>
    <row r="675" ht="22.5" customHeight="1">
      <c r="B675" s="4">
        <v>1.3421917E7</v>
      </c>
      <c r="C675" s="4">
        <v>7.57</v>
      </c>
      <c r="D675" s="4">
        <v>132.6</v>
      </c>
    </row>
    <row r="676" ht="22.5" customHeight="1">
      <c r="B676" s="4">
        <v>1.344192E7</v>
      </c>
      <c r="C676" s="4">
        <v>7.57</v>
      </c>
      <c r="D676" s="4">
        <v>132.6</v>
      </c>
    </row>
    <row r="677" ht="22.5" customHeight="1">
      <c r="B677" s="4">
        <v>1.3461922E7</v>
      </c>
      <c r="C677" s="4">
        <v>7.57</v>
      </c>
      <c r="D677" s="4">
        <v>132.6</v>
      </c>
    </row>
    <row r="678" ht="22.5" customHeight="1">
      <c r="B678" s="4">
        <v>1.3481925E7</v>
      </c>
      <c r="C678" s="4">
        <v>7.57</v>
      </c>
      <c r="D678" s="4">
        <v>132.6</v>
      </c>
    </row>
    <row r="679" ht="22.5" customHeight="1">
      <c r="B679" s="4">
        <v>1.3501928E7</v>
      </c>
      <c r="C679" s="4">
        <v>7.57</v>
      </c>
      <c r="D679" s="4">
        <v>132.5</v>
      </c>
    </row>
    <row r="680" ht="22.5" customHeight="1">
      <c r="B680" s="4">
        <v>1.3521931E7</v>
      </c>
      <c r="C680" s="4">
        <v>7.57</v>
      </c>
      <c r="D680" s="4">
        <v>132.5</v>
      </c>
    </row>
    <row r="681" ht="22.5" customHeight="1">
      <c r="B681" s="4">
        <v>1.3541934E7</v>
      </c>
      <c r="C681" s="4">
        <v>7.57</v>
      </c>
      <c r="D681" s="4">
        <v>132.5</v>
      </c>
    </row>
    <row r="682" ht="22.5" customHeight="1">
      <c r="B682" s="4">
        <v>1.3561936E7</v>
      </c>
      <c r="C682" s="4">
        <v>7.57</v>
      </c>
      <c r="D682" s="4">
        <v>132.5</v>
      </c>
    </row>
    <row r="683" ht="22.5" customHeight="1">
      <c r="B683" s="4">
        <v>1.3581939E7</v>
      </c>
      <c r="C683" s="4">
        <v>7.57</v>
      </c>
      <c r="D683" s="4">
        <v>132.5</v>
      </c>
    </row>
    <row r="684" ht="22.5" customHeight="1">
      <c r="B684" s="4">
        <v>1.3601942E7</v>
      </c>
      <c r="C684" s="4">
        <v>7.57</v>
      </c>
      <c r="D684" s="4">
        <v>132.6</v>
      </c>
    </row>
    <row r="685" ht="22.5" customHeight="1">
      <c r="B685" s="4">
        <v>1.3621945E7</v>
      </c>
      <c r="C685" s="4">
        <v>7.57</v>
      </c>
      <c r="D685" s="4">
        <v>132.5</v>
      </c>
    </row>
    <row r="686" ht="22.5" customHeight="1">
      <c r="B686" s="4">
        <v>1.3641948E7</v>
      </c>
      <c r="C686" s="4">
        <v>7.57</v>
      </c>
      <c r="D686" s="4">
        <v>132.5</v>
      </c>
    </row>
    <row r="687" ht="22.5" customHeight="1">
      <c r="B687" s="4">
        <v>1.366195E7</v>
      </c>
      <c r="C687" s="4">
        <v>7.57</v>
      </c>
      <c r="D687" s="4">
        <v>132.5</v>
      </c>
    </row>
    <row r="688" ht="22.5" customHeight="1">
      <c r="B688" s="4">
        <v>1.3681953E7</v>
      </c>
      <c r="C688" s="4">
        <v>7.57</v>
      </c>
      <c r="D688" s="4">
        <v>132.5</v>
      </c>
    </row>
    <row r="689" ht="22.5" customHeight="1">
      <c r="B689" s="4">
        <v>1.3701956E7</v>
      </c>
      <c r="C689" s="4">
        <v>7.57</v>
      </c>
      <c r="D689" s="4">
        <v>132.5</v>
      </c>
    </row>
    <row r="690" ht="22.5" customHeight="1">
      <c r="B690" s="4">
        <v>1.372196E7</v>
      </c>
      <c r="C690" s="4">
        <v>7.57</v>
      </c>
      <c r="D690" s="4">
        <v>132.5</v>
      </c>
    </row>
    <row r="691" ht="22.5" customHeight="1">
      <c r="B691" s="4">
        <v>1.3741963E7</v>
      </c>
      <c r="C691" s="4">
        <v>7.57</v>
      </c>
      <c r="D691" s="4">
        <v>132.4</v>
      </c>
    </row>
    <row r="692" ht="22.5" customHeight="1">
      <c r="B692" s="4">
        <v>1.3761966E7</v>
      </c>
      <c r="C692" s="4">
        <v>7.56</v>
      </c>
      <c r="D692" s="4">
        <v>132.4</v>
      </c>
    </row>
    <row r="693" ht="22.5" customHeight="1">
      <c r="B693" s="4">
        <v>1.3781968E7</v>
      </c>
      <c r="C693" s="4">
        <v>7.56</v>
      </c>
      <c r="D693" s="4">
        <v>132.4</v>
      </c>
    </row>
    <row r="694" ht="22.5" customHeight="1">
      <c r="B694" s="4">
        <v>1.3801971E7</v>
      </c>
      <c r="C694" s="4">
        <v>7.56</v>
      </c>
      <c r="D694" s="4">
        <v>132.4</v>
      </c>
    </row>
    <row r="695" ht="22.5" customHeight="1">
      <c r="B695" s="4">
        <v>1.3821974E7</v>
      </c>
      <c r="C695" s="4">
        <v>7.56</v>
      </c>
      <c r="D695" s="4">
        <v>132.4</v>
      </c>
    </row>
    <row r="696" ht="22.5" customHeight="1">
      <c r="B696" s="4">
        <v>1.3841977E7</v>
      </c>
      <c r="C696" s="4">
        <v>7.56</v>
      </c>
      <c r="D696" s="4">
        <v>132.4</v>
      </c>
    </row>
    <row r="697" ht="22.5" customHeight="1">
      <c r="B697" s="4">
        <v>1.386198E7</v>
      </c>
      <c r="C697" s="4">
        <v>7.56</v>
      </c>
      <c r="D697" s="4">
        <v>132.4</v>
      </c>
    </row>
    <row r="698" ht="22.5" customHeight="1">
      <c r="B698" s="4">
        <v>1.3881982E7</v>
      </c>
      <c r="C698" s="4">
        <v>7.56</v>
      </c>
      <c r="D698" s="4">
        <v>132.4</v>
      </c>
    </row>
    <row r="699" ht="22.5" customHeight="1">
      <c r="B699" s="4">
        <v>1.3901985E7</v>
      </c>
      <c r="C699" s="4">
        <v>7.56</v>
      </c>
      <c r="D699" s="4">
        <v>132.4</v>
      </c>
    </row>
    <row r="700" ht="22.5" customHeight="1">
      <c r="B700" s="4">
        <v>1.3921988E7</v>
      </c>
      <c r="C700" s="4">
        <v>7.56</v>
      </c>
      <c r="D700" s="4">
        <v>132.4</v>
      </c>
    </row>
    <row r="701" ht="22.5" customHeight="1">
      <c r="B701" s="4">
        <v>1.3941991E7</v>
      </c>
      <c r="C701" s="4">
        <v>7.56</v>
      </c>
      <c r="D701" s="4">
        <v>132.3</v>
      </c>
    </row>
    <row r="702" ht="22.5" customHeight="1">
      <c r="B702" s="4">
        <v>1.3961994E7</v>
      </c>
      <c r="C702" s="4">
        <v>7.56</v>
      </c>
      <c r="D702" s="4">
        <v>132.3</v>
      </c>
    </row>
    <row r="703" ht="22.5" customHeight="1">
      <c r="B703" s="4">
        <v>1.3981997E7</v>
      </c>
      <c r="C703" s="4">
        <v>7.56</v>
      </c>
      <c r="D703" s="4">
        <v>132.3</v>
      </c>
    </row>
    <row r="704" ht="22.5" customHeight="1">
      <c r="B704" s="4">
        <v>1.4002E7</v>
      </c>
      <c r="C704" s="4">
        <v>7.56</v>
      </c>
      <c r="D704" s="4">
        <v>132.3</v>
      </c>
    </row>
    <row r="705" ht="22.5" customHeight="1">
      <c r="B705" s="4">
        <v>1.4022003E7</v>
      </c>
      <c r="C705" s="4">
        <v>7.56</v>
      </c>
      <c r="D705" s="4">
        <v>132.3</v>
      </c>
    </row>
    <row r="706" ht="22.5" customHeight="1">
      <c r="B706" s="4">
        <v>1.4042006E7</v>
      </c>
      <c r="C706" s="4">
        <v>7.56</v>
      </c>
      <c r="D706" s="4">
        <v>132.4</v>
      </c>
    </row>
    <row r="707" ht="22.5" customHeight="1">
      <c r="B707" s="4">
        <v>1.4062009E7</v>
      </c>
      <c r="C707" s="4">
        <v>7.56</v>
      </c>
      <c r="D707" s="4">
        <v>132.3</v>
      </c>
    </row>
    <row r="708" ht="22.5" customHeight="1">
      <c r="B708" s="4">
        <v>1.4082012E7</v>
      </c>
      <c r="C708" s="4">
        <v>7.56</v>
      </c>
      <c r="D708" s="4">
        <v>132.3</v>
      </c>
    </row>
    <row r="709" ht="22.5" customHeight="1">
      <c r="B709" s="4">
        <v>1.4102014E7</v>
      </c>
      <c r="C709" s="4">
        <v>7.56</v>
      </c>
      <c r="D709" s="4">
        <v>132.3</v>
      </c>
    </row>
    <row r="710" ht="22.5" customHeight="1">
      <c r="B710" s="4">
        <v>1.4122017E7</v>
      </c>
      <c r="C710" s="4">
        <v>7.56</v>
      </c>
      <c r="D710" s="4">
        <v>132.3</v>
      </c>
    </row>
    <row r="711" ht="22.5" customHeight="1">
      <c r="B711" s="4">
        <v>1.414202E7</v>
      </c>
      <c r="C711" s="4">
        <v>7.56</v>
      </c>
      <c r="D711" s="4">
        <v>132.3</v>
      </c>
    </row>
    <row r="712" ht="22.5" customHeight="1">
      <c r="B712" s="4">
        <v>1.4162023E7</v>
      </c>
      <c r="C712" s="4">
        <v>7.56</v>
      </c>
      <c r="D712" s="4">
        <v>132.3</v>
      </c>
    </row>
    <row r="713" ht="22.5" customHeight="1">
      <c r="B713" s="4">
        <v>1.4182026E7</v>
      </c>
      <c r="C713" s="4">
        <v>7.56</v>
      </c>
      <c r="D713" s="4">
        <v>132.2</v>
      </c>
    </row>
    <row r="714" ht="22.5" customHeight="1">
      <c r="B714" s="4">
        <v>1.4202029E7</v>
      </c>
      <c r="C714" s="4">
        <v>7.55</v>
      </c>
      <c r="D714" s="4">
        <v>132.2</v>
      </c>
    </row>
    <row r="715" ht="22.5" customHeight="1">
      <c r="B715" s="4">
        <v>1.4222031E7</v>
      </c>
      <c r="C715" s="4">
        <v>7.56</v>
      </c>
      <c r="D715" s="4">
        <v>132.2</v>
      </c>
    </row>
    <row r="716" ht="22.5" customHeight="1">
      <c r="B716" s="4">
        <v>1.4242034E7</v>
      </c>
      <c r="C716" s="4">
        <v>7.55</v>
      </c>
      <c r="D716" s="4">
        <v>132.2</v>
      </c>
    </row>
    <row r="717" ht="22.5" customHeight="1">
      <c r="B717" s="4">
        <v>1.4262038E7</v>
      </c>
      <c r="C717" s="4">
        <v>7.56</v>
      </c>
      <c r="D717" s="4">
        <v>132.2</v>
      </c>
    </row>
    <row r="718" ht="22.5" customHeight="1">
      <c r="B718" s="4">
        <v>1.4282041E7</v>
      </c>
      <c r="C718" s="4">
        <v>7.55</v>
      </c>
      <c r="D718" s="4">
        <v>132.2</v>
      </c>
    </row>
    <row r="719" ht="22.5" customHeight="1">
      <c r="B719" s="4">
        <v>1.4302044E7</v>
      </c>
      <c r="C719" s="4">
        <v>7.55</v>
      </c>
      <c r="D719" s="4">
        <v>132.2</v>
      </c>
    </row>
    <row r="720" ht="22.5" customHeight="1">
      <c r="B720" s="4">
        <v>1.4322046E7</v>
      </c>
      <c r="C720" s="4">
        <v>7.55</v>
      </c>
      <c r="D720" s="4">
        <v>132.2</v>
      </c>
    </row>
    <row r="721" ht="22.5" customHeight="1">
      <c r="B721" s="4">
        <v>1.4342049E7</v>
      </c>
      <c r="C721" s="4">
        <v>7.55</v>
      </c>
      <c r="D721" s="4">
        <v>132.2</v>
      </c>
    </row>
    <row r="722" ht="22.5" customHeight="1">
      <c r="B722" s="4">
        <v>1.4362052E7</v>
      </c>
      <c r="C722" s="4">
        <v>7.55</v>
      </c>
      <c r="D722" s="4">
        <v>132.1</v>
      </c>
    </row>
    <row r="723" ht="22.5" customHeight="1">
      <c r="B723" s="4">
        <v>1.4382055E7</v>
      </c>
      <c r="C723" s="4">
        <v>7.55</v>
      </c>
      <c r="D723" s="4">
        <v>132.2</v>
      </c>
    </row>
    <row r="724" ht="22.5" customHeight="1">
      <c r="B724" s="4">
        <v>1.4402058E7</v>
      </c>
      <c r="C724" s="4">
        <v>7.55</v>
      </c>
      <c r="D724" s="4">
        <v>132.2</v>
      </c>
    </row>
    <row r="725" ht="22.5" customHeight="1">
      <c r="B725" s="4">
        <v>1.4422061E7</v>
      </c>
      <c r="C725" s="4">
        <v>7.55</v>
      </c>
      <c r="D725" s="4">
        <v>132.1</v>
      </c>
    </row>
    <row r="726" ht="22.5" customHeight="1">
      <c r="B726" s="4">
        <v>1.4442063E7</v>
      </c>
      <c r="C726" s="4">
        <v>7.55</v>
      </c>
      <c r="D726" s="4">
        <v>132.1</v>
      </c>
    </row>
    <row r="727" ht="22.5" customHeight="1">
      <c r="B727" s="4">
        <v>1.4462066E7</v>
      </c>
      <c r="C727" s="4">
        <v>7.55</v>
      </c>
      <c r="D727" s="4">
        <v>132.1</v>
      </c>
    </row>
    <row r="728" ht="22.5" customHeight="1">
      <c r="B728" s="4">
        <v>1.4482069E7</v>
      </c>
      <c r="C728" s="4">
        <v>7.55</v>
      </c>
      <c r="D728" s="4">
        <v>132.1</v>
      </c>
    </row>
    <row r="729" ht="22.5" customHeight="1">
      <c r="B729" s="4">
        <v>1.4502072E7</v>
      </c>
      <c r="C729" s="4">
        <v>7.55</v>
      </c>
      <c r="D729" s="4">
        <v>132.1</v>
      </c>
    </row>
    <row r="730" ht="22.5" customHeight="1">
      <c r="B730" s="4">
        <v>1.4522076E7</v>
      </c>
      <c r="C730" s="4">
        <v>7.55</v>
      </c>
      <c r="D730" s="4">
        <v>132.1</v>
      </c>
    </row>
    <row r="731" ht="22.5" customHeight="1">
      <c r="B731" s="4">
        <v>1.4542078E7</v>
      </c>
      <c r="C731" s="4">
        <v>7.55</v>
      </c>
      <c r="D731" s="4">
        <v>132.1</v>
      </c>
    </row>
    <row r="732" ht="22.5" customHeight="1">
      <c r="B732" s="4">
        <v>1.4562081E7</v>
      </c>
      <c r="C732" s="4">
        <v>7.55</v>
      </c>
      <c r="D732" s="4">
        <v>132.1</v>
      </c>
    </row>
    <row r="733" ht="22.5" customHeight="1">
      <c r="B733" s="4">
        <v>1.4582084E7</v>
      </c>
      <c r="C733" s="4">
        <v>7.55</v>
      </c>
      <c r="D733" s="4">
        <v>132.1</v>
      </c>
    </row>
    <row r="734" ht="22.5" customHeight="1">
      <c r="B734" s="4">
        <v>1.4602087E7</v>
      </c>
      <c r="C734" s="4">
        <v>7.54</v>
      </c>
      <c r="D734" s="4">
        <v>132.0</v>
      </c>
    </row>
    <row r="735" ht="22.5" customHeight="1">
      <c r="B735" s="4">
        <v>1.462209E7</v>
      </c>
      <c r="C735" s="4">
        <v>7.54</v>
      </c>
      <c r="D735" s="4">
        <v>132.0</v>
      </c>
    </row>
    <row r="736" ht="22.5" customHeight="1">
      <c r="B736" s="4">
        <v>1.4642093E7</v>
      </c>
      <c r="C736" s="4">
        <v>7.54</v>
      </c>
      <c r="D736" s="4">
        <v>132.0</v>
      </c>
    </row>
    <row r="737" ht="22.5" customHeight="1">
      <c r="B737" s="4">
        <v>1.4662095E7</v>
      </c>
      <c r="C737" s="4">
        <v>7.54</v>
      </c>
      <c r="D737" s="4">
        <v>132.0</v>
      </c>
    </row>
    <row r="738" ht="22.5" customHeight="1">
      <c r="B738" s="4">
        <v>1.4682098E7</v>
      </c>
      <c r="C738" s="4">
        <v>7.54</v>
      </c>
      <c r="D738" s="4">
        <v>132.0</v>
      </c>
    </row>
    <row r="739" ht="22.5" customHeight="1">
      <c r="B739" s="4">
        <v>1.4702101E7</v>
      </c>
      <c r="C739" s="4">
        <v>7.54</v>
      </c>
      <c r="D739" s="4">
        <v>132.0</v>
      </c>
    </row>
    <row r="740" ht="22.5" customHeight="1">
      <c r="B740" s="4">
        <v>1.4722104E7</v>
      </c>
      <c r="C740" s="4">
        <v>7.54</v>
      </c>
      <c r="D740" s="4">
        <v>132.0</v>
      </c>
    </row>
    <row r="741" ht="22.5" customHeight="1">
      <c r="B741" s="4">
        <v>1.4742107E7</v>
      </c>
      <c r="C741" s="4">
        <v>7.54</v>
      </c>
      <c r="D741" s="4">
        <v>132.0</v>
      </c>
    </row>
    <row r="742" ht="22.5" customHeight="1">
      <c r="B742" s="4">
        <v>1.4762109E7</v>
      </c>
      <c r="C742" s="4">
        <v>7.54</v>
      </c>
      <c r="D742" s="4">
        <v>132.0</v>
      </c>
    </row>
    <row r="743" ht="22.5" customHeight="1">
      <c r="B743" s="4">
        <v>1.4782112E7</v>
      </c>
      <c r="C743" s="4">
        <v>7.54</v>
      </c>
      <c r="D743" s="4">
        <v>132.0</v>
      </c>
    </row>
    <row r="744" ht="22.5" customHeight="1">
      <c r="B744" s="4">
        <v>1.4802115E7</v>
      </c>
      <c r="C744" s="4">
        <v>7.54</v>
      </c>
      <c r="D744" s="4">
        <v>131.9</v>
      </c>
    </row>
    <row r="745" ht="22.5" customHeight="1">
      <c r="B745" s="4">
        <v>1.4822119E7</v>
      </c>
      <c r="C745" s="4">
        <v>7.54</v>
      </c>
      <c r="D745" s="4">
        <v>132.0</v>
      </c>
    </row>
    <row r="746" ht="22.5" customHeight="1">
      <c r="B746" s="4">
        <v>1.4842122E7</v>
      </c>
      <c r="C746" s="4">
        <v>7.54</v>
      </c>
      <c r="D746" s="4">
        <v>132.0</v>
      </c>
    </row>
    <row r="747" ht="22.5" customHeight="1">
      <c r="B747" s="4">
        <v>1.4862125E7</v>
      </c>
      <c r="C747" s="4">
        <v>7.54</v>
      </c>
      <c r="D747" s="4">
        <v>131.9</v>
      </c>
    </row>
    <row r="748" ht="22.5" customHeight="1">
      <c r="B748" s="4">
        <v>1.4882127E7</v>
      </c>
      <c r="C748" s="4">
        <v>7.54</v>
      </c>
      <c r="D748" s="4">
        <v>131.9</v>
      </c>
    </row>
    <row r="749" ht="22.5" customHeight="1">
      <c r="B749" s="4">
        <v>1.490213E7</v>
      </c>
      <c r="C749" s="4">
        <v>7.54</v>
      </c>
      <c r="D749" s="4">
        <v>131.9</v>
      </c>
    </row>
    <row r="750" ht="22.5" customHeight="1">
      <c r="B750" s="4">
        <v>1.4922133E7</v>
      </c>
      <c r="C750" s="4">
        <v>7.54</v>
      </c>
      <c r="D750" s="4">
        <v>131.9</v>
      </c>
    </row>
    <row r="751" ht="22.5" customHeight="1">
      <c r="B751" s="4">
        <v>1.4942136E7</v>
      </c>
      <c r="C751" s="4">
        <v>7.54</v>
      </c>
      <c r="D751" s="4">
        <v>132.0</v>
      </c>
    </row>
    <row r="752" ht="22.5" customHeight="1">
      <c r="B752" s="4">
        <v>1.4962139E7</v>
      </c>
      <c r="C752" s="4">
        <v>7.54</v>
      </c>
      <c r="D752" s="4">
        <v>131.9</v>
      </c>
    </row>
    <row r="753" ht="22.5" customHeight="1">
      <c r="B753" s="4">
        <v>1.4982141E7</v>
      </c>
      <c r="C753" s="4">
        <v>7.54</v>
      </c>
      <c r="D753" s="4">
        <v>131.9</v>
      </c>
    </row>
    <row r="754" ht="22.5" customHeight="1">
      <c r="B754" s="4">
        <v>1.5002144E7</v>
      </c>
      <c r="C754" s="4">
        <v>7.54</v>
      </c>
      <c r="D754" s="4">
        <v>131.9</v>
      </c>
    </row>
    <row r="755" ht="22.5" customHeight="1">
      <c r="B755" s="4">
        <v>1.5022147E7</v>
      </c>
      <c r="C755" s="4">
        <v>7.54</v>
      </c>
      <c r="D755" s="4">
        <v>131.9</v>
      </c>
    </row>
    <row r="756" ht="22.5" customHeight="1">
      <c r="B756" s="4">
        <v>1.504215E7</v>
      </c>
      <c r="C756" s="4">
        <v>7.54</v>
      </c>
      <c r="D756" s="4">
        <v>131.8</v>
      </c>
    </row>
    <row r="757" ht="22.5" customHeight="1">
      <c r="B757" s="4">
        <v>1.5062153E7</v>
      </c>
      <c r="C757" s="4">
        <v>7.53</v>
      </c>
      <c r="D757" s="4">
        <v>131.9</v>
      </c>
    </row>
    <row r="758" ht="22.5" customHeight="1">
      <c r="B758" s="4">
        <v>1.5082156E7</v>
      </c>
      <c r="C758" s="4">
        <v>7.53</v>
      </c>
      <c r="D758" s="4">
        <v>131.9</v>
      </c>
    </row>
    <row r="759" ht="22.5" customHeight="1">
      <c r="B759" s="4">
        <v>1.5102158E7</v>
      </c>
      <c r="C759" s="4">
        <v>7.53</v>
      </c>
      <c r="D759" s="4">
        <v>131.8</v>
      </c>
    </row>
    <row r="760" ht="22.5" customHeight="1">
      <c r="B760" s="4">
        <v>1.5122162E7</v>
      </c>
      <c r="C760" s="4">
        <v>7.53</v>
      </c>
      <c r="D760" s="4">
        <v>131.8</v>
      </c>
    </row>
    <row r="761" ht="22.5" customHeight="1">
      <c r="B761" s="4">
        <v>1.5142165E7</v>
      </c>
      <c r="C761" s="4">
        <v>7.53</v>
      </c>
      <c r="D761" s="4">
        <v>131.8</v>
      </c>
    </row>
    <row r="762" ht="22.5" customHeight="1">
      <c r="B762" s="4">
        <v>1.5162168E7</v>
      </c>
      <c r="C762" s="4">
        <v>7.53</v>
      </c>
      <c r="D762" s="4">
        <v>131.8</v>
      </c>
    </row>
    <row r="763" ht="22.5" customHeight="1">
      <c r="B763" s="4">
        <v>1.5182171E7</v>
      </c>
      <c r="C763" s="4">
        <v>7.53</v>
      </c>
      <c r="D763" s="4">
        <v>131.8</v>
      </c>
    </row>
    <row r="764" ht="22.5" customHeight="1">
      <c r="B764" s="4">
        <v>1.5202173E7</v>
      </c>
      <c r="C764" s="4">
        <v>7.53</v>
      </c>
      <c r="D764" s="4">
        <v>131.8</v>
      </c>
    </row>
    <row r="765" ht="22.5" customHeight="1">
      <c r="B765" s="4">
        <v>1.5222176E7</v>
      </c>
      <c r="C765" s="4">
        <v>7.53</v>
      </c>
      <c r="D765" s="4">
        <v>131.7</v>
      </c>
    </row>
    <row r="766" ht="22.5" customHeight="1">
      <c r="B766" s="4">
        <v>1.5242179E7</v>
      </c>
      <c r="C766" s="4">
        <v>7.53</v>
      </c>
      <c r="D766" s="4">
        <v>131.8</v>
      </c>
    </row>
    <row r="767" ht="22.5" customHeight="1">
      <c r="B767" s="4">
        <v>1.5262182E7</v>
      </c>
      <c r="C767" s="4">
        <v>7.53</v>
      </c>
      <c r="D767" s="4">
        <v>131.8</v>
      </c>
    </row>
    <row r="768" ht="22.5" customHeight="1">
      <c r="B768" s="4">
        <v>1.5282185E7</v>
      </c>
      <c r="C768" s="4">
        <v>7.53</v>
      </c>
      <c r="D768" s="4">
        <v>131.7</v>
      </c>
    </row>
    <row r="769" ht="22.5" customHeight="1">
      <c r="B769" s="4">
        <v>1.5302188E7</v>
      </c>
      <c r="C769" s="4">
        <v>7.53</v>
      </c>
      <c r="D769" s="4">
        <v>131.8</v>
      </c>
    </row>
    <row r="770" ht="22.5" customHeight="1">
      <c r="B770" s="4">
        <v>1.532219E7</v>
      </c>
      <c r="C770" s="4">
        <v>7.53</v>
      </c>
      <c r="D770" s="4">
        <v>131.7</v>
      </c>
    </row>
    <row r="771" ht="22.5" customHeight="1">
      <c r="B771" s="4">
        <v>1.5342193E7</v>
      </c>
      <c r="C771" s="4">
        <v>7.52</v>
      </c>
      <c r="D771" s="4">
        <v>131.7</v>
      </c>
    </row>
    <row r="772" ht="22.5" customHeight="1">
      <c r="B772" s="4">
        <v>1.5362196E7</v>
      </c>
      <c r="C772" s="4">
        <v>7.52</v>
      </c>
      <c r="D772" s="4">
        <v>131.7</v>
      </c>
    </row>
    <row r="773" ht="22.5" customHeight="1">
      <c r="B773" s="4">
        <v>1.53822E7</v>
      </c>
      <c r="C773" s="4">
        <v>7.52</v>
      </c>
      <c r="D773" s="4">
        <v>131.7</v>
      </c>
    </row>
    <row r="774" ht="22.5" customHeight="1">
      <c r="B774" s="4">
        <v>1.5402203E7</v>
      </c>
      <c r="C774" s="4">
        <v>7.52</v>
      </c>
      <c r="D774" s="4">
        <v>131.6</v>
      </c>
    </row>
    <row r="775" ht="22.5" customHeight="1">
      <c r="B775" s="4">
        <v>1.5422205E7</v>
      </c>
      <c r="C775" s="4">
        <v>7.52</v>
      </c>
      <c r="D775" s="4">
        <v>131.7</v>
      </c>
    </row>
    <row r="776" ht="22.5" customHeight="1">
      <c r="B776" s="4">
        <v>1.5442208E7</v>
      </c>
      <c r="C776" s="4">
        <v>7.52</v>
      </c>
      <c r="D776" s="4">
        <v>131.7</v>
      </c>
    </row>
    <row r="777" ht="22.5" customHeight="1">
      <c r="B777" s="4">
        <v>1.5462211E7</v>
      </c>
      <c r="C777" s="4">
        <v>7.52</v>
      </c>
      <c r="D777" s="4">
        <v>131.7</v>
      </c>
    </row>
    <row r="778" ht="22.5" customHeight="1">
      <c r="B778" s="4">
        <v>1.5482214E7</v>
      </c>
      <c r="C778" s="4">
        <v>7.52</v>
      </c>
      <c r="D778" s="4">
        <v>131.7</v>
      </c>
    </row>
    <row r="779" ht="22.5" customHeight="1">
      <c r="B779" s="4">
        <v>1.5502217E7</v>
      </c>
      <c r="C779" s="4">
        <v>7.52</v>
      </c>
      <c r="D779" s="4">
        <v>131.7</v>
      </c>
    </row>
    <row r="780" ht="22.5" customHeight="1">
      <c r="B780" s="4">
        <v>1.552222E7</v>
      </c>
      <c r="C780" s="4">
        <v>7.52</v>
      </c>
      <c r="D780" s="4">
        <v>131.7</v>
      </c>
    </row>
    <row r="781" ht="22.5" customHeight="1">
      <c r="B781" s="4">
        <v>1.5542222E7</v>
      </c>
      <c r="C781" s="4">
        <v>7.52</v>
      </c>
      <c r="D781" s="4">
        <v>131.6</v>
      </c>
    </row>
    <row r="782" ht="22.5" customHeight="1">
      <c r="B782" s="4">
        <v>1.5562225E7</v>
      </c>
      <c r="C782" s="4">
        <v>7.52</v>
      </c>
      <c r="D782" s="4">
        <v>131.6</v>
      </c>
    </row>
    <row r="783" ht="22.5" customHeight="1">
      <c r="B783" s="4">
        <v>1.5582228E7</v>
      </c>
      <c r="C783" s="4">
        <v>7.52</v>
      </c>
      <c r="D783" s="4">
        <v>131.6</v>
      </c>
    </row>
    <row r="784" ht="22.5" customHeight="1">
      <c r="B784" s="4">
        <v>1.5602231E7</v>
      </c>
      <c r="C784" s="4">
        <v>7.52</v>
      </c>
      <c r="D784" s="4">
        <v>131.6</v>
      </c>
    </row>
    <row r="785" ht="22.5" customHeight="1">
      <c r="B785" s="4">
        <v>1.5622234E7</v>
      </c>
      <c r="C785" s="4">
        <v>7.52</v>
      </c>
      <c r="D785" s="4">
        <v>131.6</v>
      </c>
    </row>
    <row r="786" ht="22.5" customHeight="1">
      <c r="B786" s="4">
        <v>1.5642236E7</v>
      </c>
      <c r="C786" s="4">
        <v>7.52</v>
      </c>
      <c r="D786" s="4">
        <v>131.6</v>
      </c>
    </row>
    <row r="787" ht="22.5" customHeight="1">
      <c r="B787" s="4">
        <v>1.566224E7</v>
      </c>
      <c r="C787" s="4">
        <v>7.52</v>
      </c>
      <c r="D787" s="4">
        <v>131.5</v>
      </c>
    </row>
    <row r="788" ht="22.5" customHeight="1">
      <c r="B788" s="4">
        <v>1.5682243E7</v>
      </c>
      <c r="C788" s="4">
        <v>7.52</v>
      </c>
      <c r="D788" s="4">
        <v>131.6</v>
      </c>
    </row>
    <row r="789" ht="22.5" customHeight="1">
      <c r="B789" s="4">
        <v>1.5702246E7</v>
      </c>
      <c r="C789" s="4">
        <v>7.52</v>
      </c>
      <c r="D789" s="4">
        <v>131.5</v>
      </c>
    </row>
    <row r="790" ht="22.5" customHeight="1">
      <c r="B790" s="4">
        <v>1.5722249E7</v>
      </c>
      <c r="C790" s="4">
        <v>7.52</v>
      </c>
      <c r="D790" s="4">
        <v>131.5</v>
      </c>
    </row>
    <row r="791" ht="22.5" customHeight="1">
      <c r="B791" s="4">
        <v>1.5742252E7</v>
      </c>
      <c r="C791" s="4">
        <v>7.52</v>
      </c>
      <c r="D791" s="4">
        <v>131.5</v>
      </c>
    </row>
    <row r="792" ht="22.5" customHeight="1">
      <c r="B792" s="4">
        <v>1.5762254E7</v>
      </c>
      <c r="C792" s="4">
        <v>7.52</v>
      </c>
      <c r="D792" s="4">
        <v>131.5</v>
      </c>
    </row>
    <row r="793" ht="22.5" customHeight="1">
      <c r="B793" s="4">
        <v>1.5782257E7</v>
      </c>
      <c r="C793" s="4">
        <v>7.52</v>
      </c>
      <c r="D793" s="4">
        <v>131.5</v>
      </c>
    </row>
    <row r="794" ht="22.5" customHeight="1">
      <c r="B794" s="4">
        <v>1.580226E7</v>
      </c>
      <c r="C794" s="4">
        <v>7.51</v>
      </c>
      <c r="D794" s="4">
        <v>131.5</v>
      </c>
    </row>
    <row r="795" ht="22.5" customHeight="1">
      <c r="B795" s="4">
        <v>1.5822263E7</v>
      </c>
      <c r="C795" s="4">
        <v>7.52</v>
      </c>
      <c r="D795" s="4">
        <v>131.5</v>
      </c>
    </row>
    <row r="796" ht="22.5" customHeight="1">
      <c r="B796" s="4">
        <v>1.5842266E7</v>
      </c>
      <c r="C796" s="4">
        <v>7.51</v>
      </c>
      <c r="D796" s="4">
        <v>131.4</v>
      </c>
    </row>
    <row r="797" ht="22.5" customHeight="1">
      <c r="B797" s="4">
        <v>1.5862268E7</v>
      </c>
      <c r="C797" s="4">
        <v>7.51</v>
      </c>
      <c r="D797" s="4">
        <v>131.4</v>
      </c>
    </row>
    <row r="798" ht="22.5" customHeight="1">
      <c r="B798" s="4">
        <v>1.5882271E7</v>
      </c>
      <c r="C798" s="4">
        <v>7.51</v>
      </c>
      <c r="D798" s="4">
        <v>131.5</v>
      </c>
    </row>
    <row r="799" ht="22.5" customHeight="1">
      <c r="B799" s="4">
        <v>1.5902274E7</v>
      </c>
      <c r="C799" s="4">
        <v>7.51</v>
      </c>
      <c r="D799" s="4">
        <v>131.4</v>
      </c>
    </row>
    <row r="800" ht="22.5" customHeight="1">
      <c r="B800" s="4">
        <v>1.5922277E7</v>
      </c>
      <c r="C800" s="4">
        <v>7.51</v>
      </c>
      <c r="D800" s="4">
        <v>131.4</v>
      </c>
    </row>
    <row r="801" ht="22.5" customHeight="1">
      <c r="B801" s="4">
        <v>1.5942281E7</v>
      </c>
      <c r="C801" s="4">
        <v>7.51</v>
      </c>
      <c r="D801" s="4">
        <v>131.4</v>
      </c>
    </row>
    <row r="802" ht="22.5" customHeight="1">
      <c r="B802" s="4">
        <v>1.5962284E7</v>
      </c>
      <c r="C802" s="4">
        <v>7.51</v>
      </c>
      <c r="D802" s="4">
        <v>131.4</v>
      </c>
    </row>
    <row r="803" ht="22.5" customHeight="1">
      <c r="B803" s="4">
        <v>1.5982286E7</v>
      </c>
      <c r="C803" s="4">
        <v>7.51</v>
      </c>
      <c r="D803" s="4">
        <v>131.4</v>
      </c>
    </row>
    <row r="804" ht="22.5" customHeight="1">
      <c r="B804" s="4">
        <v>1.6002289E7</v>
      </c>
      <c r="C804" s="4">
        <v>7.51</v>
      </c>
      <c r="D804" s="4">
        <v>131.4</v>
      </c>
    </row>
    <row r="805" ht="22.5" customHeight="1">
      <c r="B805" s="4">
        <v>1.6022292E7</v>
      </c>
      <c r="C805" s="4">
        <v>7.51</v>
      </c>
      <c r="D805" s="4">
        <v>131.4</v>
      </c>
    </row>
    <row r="806" ht="22.5" customHeight="1">
      <c r="B806" s="4">
        <v>1.6042295E7</v>
      </c>
      <c r="C806" s="4">
        <v>7.51</v>
      </c>
      <c r="D806" s="4">
        <v>131.4</v>
      </c>
    </row>
    <row r="807" ht="22.5" customHeight="1">
      <c r="B807" s="4">
        <v>1.6062298E7</v>
      </c>
      <c r="C807" s="4">
        <v>7.51</v>
      </c>
      <c r="D807" s="4">
        <v>131.4</v>
      </c>
    </row>
    <row r="808" ht="22.5" customHeight="1">
      <c r="B808" s="4">
        <v>1.60823E7</v>
      </c>
      <c r="C808" s="4">
        <v>7.5</v>
      </c>
      <c r="D808" s="4">
        <v>131.4</v>
      </c>
    </row>
    <row r="809" ht="22.5" customHeight="1">
      <c r="B809" s="4">
        <v>1.6102303E7</v>
      </c>
      <c r="C809" s="4">
        <v>7.5</v>
      </c>
      <c r="D809" s="4">
        <v>131.3</v>
      </c>
    </row>
    <row r="810" ht="22.5" customHeight="1">
      <c r="B810" s="4">
        <v>1.6122306E7</v>
      </c>
      <c r="C810" s="4">
        <v>7.5</v>
      </c>
      <c r="D810" s="4">
        <v>131.4</v>
      </c>
    </row>
    <row r="811" ht="22.5" customHeight="1">
      <c r="B811" s="4">
        <v>1.6142309E7</v>
      </c>
      <c r="C811" s="4">
        <v>7.5</v>
      </c>
      <c r="D811" s="4">
        <v>131.4</v>
      </c>
    </row>
    <row r="812" ht="22.5" customHeight="1">
      <c r="B812" s="4">
        <v>1.6162312E7</v>
      </c>
      <c r="C812" s="4">
        <v>7.5</v>
      </c>
      <c r="D812" s="4">
        <v>131.3</v>
      </c>
    </row>
    <row r="813" ht="22.5" customHeight="1">
      <c r="B813" s="4">
        <v>1.6182315E7</v>
      </c>
      <c r="C813" s="4">
        <v>7.5</v>
      </c>
      <c r="D813" s="4">
        <v>131.3</v>
      </c>
    </row>
    <row r="814" ht="22.5" customHeight="1">
      <c r="B814" s="4">
        <v>1.6202317E7</v>
      </c>
      <c r="C814" s="4">
        <v>7.5</v>
      </c>
      <c r="D814" s="4">
        <v>131.3</v>
      </c>
    </row>
    <row r="815" ht="22.5" customHeight="1">
      <c r="B815" s="4">
        <v>1.6222321E7</v>
      </c>
      <c r="C815" s="4">
        <v>7.5</v>
      </c>
      <c r="D815" s="4">
        <v>131.3</v>
      </c>
    </row>
    <row r="816" ht="22.5" customHeight="1">
      <c r="B816" s="4">
        <v>1.6242324E7</v>
      </c>
      <c r="C816" s="4">
        <v>7.5</v>
      </c>
      <c r="D816" s="4">
        <v>131.3</v>
      </c>
    </row>
    <row r="817" ht="22.5" customHeight="1">
      <c r="B817" s="4">
        <v>1.6262327E7</v>
      </c>
      <c r="C817" s="4">
        <v>7.5</v>
      </c>
      <c r="D817" s="4">
        <v>131.2</v>
      </c>
    </row>
    <row r="818" ht="22.5" customHeight="1">
      <c r="B818" s="4">
        <v>1.628233E7</v>
      </c>
      <c r="C818" s="4">
        <v>7.5</v>
      </c>
      <c r="D818" s="4">
        <v>131.2</v>
      </c>
    </row>
    <row r="819" ht="22.5" customHeight="1">
      <c r="B819" s="4">
        <v>1.6302332E7</v>
      </c>
      <c r="C819" s="4">
        <v>7.5</v>
      </c>
      <c r="D819" s="4">
        <v>131.2</v>
      </c>
    </row>
    <row r="820" ht="22.5" customHeight="1">
      <c r="B820" s="4">
        <v>1.6322335E7</v>
      </c>
      <c r="C820" s="4">
        <v>7.5</v>
      </c>
      <c r="D820" s="4">
        <v>131.2</v>
      </c>
    </row>
    <row r="821" ht="22.5" customHeight="1">
      <c r="B821" s="4">
        <v>1.6342338E7</v>
      </c>
      <c r="C821" s="4">
        <v>7.5</v>
      </c>
      <c r="D821" s="4">
        <v>131.2</v>
      </c>
    </row>
    <row r="822" ht="22.5" customHeight="1">
      <c r="B822" s="4">
        <v>1.6362341E7</v>
      </c>
      <c r="C822" s="4">
        <v>7.5</v>
      </c>
      <c r="D822" s="4">
        <v>131.2</v>
      </c>
    </row>
    <row r="823" ht="22.5" customHeight="1">
      <c r="B823" s="4">
        <v>1.6382344E7</v>
      </c>
      <c r="C823" s="4">
        <v>7.5</v>
      </c>
      <c r="D823" s="4">
        <v>131.2</v>
      </c>
    </row>
    <row r="824" ht="22.5" customHeight="1">
      <c r="B824" s="4">
        <v>1.6402347E7</v>
      </c>
      <c r="C824" s="4">
        <v>7.5</v>
      </c>
      <c r="D824" s="4">
        <v>131.2</v>
      </c>
    </row>
    <row r="825" ht="22.5" customHeight="1">
      <c r="B825" s="4">
        <v>1.6422349E7</v>
      </c>
      <c r="C825" s="4">
        <v>7.5</v>
      </c>
      <c r="D825" s="4">
        <v>131.2</v>
      </c>
    </row>
    <row r="826" ht="22.5" customHeight="1">
      <c r="B826" s="4">
        <v>1.6442352E7</v>
      </c>
      <c r="C826" s="4">
        <v>7.5</v>
      </c>
      <c r="D826" s="4">
        <v>131.1</v>
      </c>
    </row>
    <row r="827" ht="22.5" customHeight="1">
      <c r="B827" s="4">
        <v>1.6462355E7</v>
      </c>
      <c r="C827" s="4">
        <v>7.49</v>
      </c>
      <c r="D827" s="4">
        <v>131.2</v>
      </c>
    </row>
    <row r="828" ht="22.5" customHeight="1">
      <c r="B828" s="4">
        <v>1.6482358E7</v>
      </c>
      <c r="C828" s="4">
        <v>7.49</v>
      </c>
      <c r="D828" s="4">
        <v>131.1</v>
      </c>
    </row>
    <row r="829" ht="22.5" customHeight="1">
      <c r="B829" s="4">
        <v>1.6502362E7</v>
      </c>
      <c r="C829" s="4">
        <v>7.49</v>
      </c>
      <c r="D829" s="4">
        <v>131.1</v>
      </c>
    </row>
    <row r="830" ht="22.5" customHeight="1">
      <c r="B830" s="4">
        <v>1.6522364E7</v>
      </c>
      <c r="C830" s="4">
        <v>7.49</v>
      </c>
      <c r="D830" s="4">
        <v>131.1</v>
      </c>
    </row>
    <row r="831" ht="22.5" customHeight="1">
      <c r="B831" s="4">
        <v>1.6542367E7</v>
      </c>
      <c r="C831" s="4">
        <v>7.49</v>
      </c>
      <c r="D831" s="4">
        <v>131.1</v>
      </c>
    </row>
    <row r="832" ht="22.5" customHeight="1">
      <c r="B832" s="4">
        <v>1.656237E7</v>
      </c>
      <c r="C832" s="4">
        <v>7.49</v>
      </c>
      <c r="D832" s="4">
        <v>131.0</v>
      </c>
    </row>
    <row r="833" ht="22.5" customHeight="1">
      <c r="B833" s="4">
        <v>1.6582373E7</v>
      </c>
      <c r="C833" s="4">
        <v>7.49</v>
      </c>
      <c r="D833" s="4">
        <v>131.1</v>
      </c>
    </row>
    <row r="834" ht="22.5" customHeight="1">
      <c r="B834" s="4">
        <v>1.6602376E7</v>
      </c>
      <c r="C834" s="4">
        <v>7.49</v>
      </c>
      <c r="D834" s="4">
        <v>131.0</v>
      </c>
    </row>
    <row r="835" ht="22.5" customHeight="1">
      <c r="B835" s="4">
        <v>1.6622379E7</v>
      </c>
      <c r="C835" s="4">
        <v>7.49</v>
      </c>
      <c r="D835" s="4">
        <v>131.0</v>
      </c>
    </row>
    <row r="836" ht="22.5" customHeight="1">
      <c r="B836" s="4">
        <v>1.6642381E7</v>
      </c>
      <c r="C836" s="4">
        <v>7.49</v>
      </c>
      <c r="D836" s="4">
        <v>131.0</v>
      </c>
    </row>
    <row r="837" ht="22.5" customHeight="1">
      <c r="B837" s="4">
        <v>1.6662384E7</v>
      </c>
      <c r="C837" s="4">
        <v>7.48</v>
      </c>
      <c r="D837" s="4">
        <v>131.0</v>
      </c>
    </row>
    <row r="838" ht="22.5" customHeight="1">
      <c r="B838" s="4">
        <v>1.6682387E7</v>
      </c>
      <c r="C838" s="4">
        <v>7.48</v>
      </c>
      <c r="D838" s="4">
        <v>130.9</v>
      </c>
    </row>
    <row r="839" ht="22.5" customHeight="1">
      <c r="B839" s="4">
        <v>1.670239E7</v>
      </c>
      <c r="C839" s="4">
        <v>7.48</v>
      </c>
      <c r="D839" s="4">
        <v>131.0</v>
      </c>
    </row>
    <row r="840" ht="22.5" customHeight="1">
      <c r="B840" s="4">
        <v>1.6722393E7</v>
      </c>
      <c r="C840" s="4">
        <v>7.48</v>
      </c>
      <c r="D840" s="4">
        <v>131.0</v>
      </c>
    </row>
    <row r="841" ht="22.5" customHeight="1">
      <c r="B841" s="4">
        <v>1.6742395E7</v>
      </c>
      <c r="C841" s="4">
        <v>7.48</v>
      </c>
      <c r="D841" s="4">
        <v>130.9</v>
      </c>
    </row>
    <row r="842" ht="22.5" customHeight="1">
      <c r="B842" s="4">
        <v>1.6762398E7</v>
      </c>
      <c r="C842" s="4">
        <v>7.48</v>
      </c>
      <c r="D842" s="4">
        <v>130.9</v>
      </c>
    </row>
    <row r="843" ht="22.5" customHeight="1">
      <c r="B843" s="4">
        <v>1.6782401E7</v>
      </c>
      <c r="C843" s="4">
        <v>7.48</v>
      </c>
      <c r="D843" s="4">
        <v>130.9</v>
      </c>
    </row>
    <row r="844" ht="22.5" customHeight="1">
      <c r="B844" s="4">
        <v>1.6802405E7</v>
      </c>
      <c r="C844" s="4">
        <v>7.48</v>
      </c>
      <c r="D844" s="4">
        <v>130.9</v>
      </c>
    </row>
    <row r="845" ht="22.5" customHeight="1">
      <c r="B845" s="4">
        <v>1.6822408E7</v>
      </c>
      <c r="C845" s="4">
        <v>7.48</v>
      </c>
      <c r="D845" s="4">
        <v>130.9</v>
      </c>
    </row>
    <row r="846" ht="22.5" customHeight="1">
      <c r="B846" s="4">
        <v>1.6842411E7</v>
      </c>
      <c r="C846" s="4">
        <v>7.48</v>
      </c>
      <c r="D846" s="4">
        <v>130.9</v>
      </c>
    </row>
    <row r="847" ht="22.5" customHeight="1">
      <c r="B847" s="4">
        <v>1.6862413E7</v>
      </c>
      <c r="C847" s="4">
        <v>7.48</v>
      </c>
      <c r="D847" s="4">
        <v>130.9</v>
      </c>
    </row>
    <row r="848" ht="22.5" customHeight="1">
      <c r="B848" s="4">
        <v>1.6882416E7</v>
      </c>
      <c r="C848" s="4">
        <v>7.48</v>
      </c>
      <c r="D848" s="4">
        <v>130.8</v>
      </c>
    </row>
    <row r="849" ht="22.5" customHeight="1">
      <c r="B849" s="4">
        <v>1.6902419E7</v>
      </c>
      <c r="C849" s="4">
        <v>7.48</v>
      </c>
      <c r="D849" s="4">
        <v>130.9</v>
      </c>
    </row>
    <row r="850" ht="22.5" customHeight="1">
      <c r="B850" s="4">
        <v>1.6922422E7</v>
      </c>
      <c r="C850" s="4">
        <v>7.48</v>
      </c>
      <c r="D850" s="4">
        <v>130.8</v>
      </c>
    </row>
    <row r="851" ht="22.5" customHeight="1">
      <c r="B851" s="4">
        <v>1.6942425E7</v>
      </c>
      <c r="C851" s="4">
        <v>7.48</v>
      </c>
      <c r="D851" s="4">
        <v>130.8</v>
      </c>
    </row>
    <row r="852" ht="22.5" customHeight="1">
      <c r="B852" s="4">
        <v>1.6962427E7</v>
      </c>
      <c r="C852" s="4">
        <v>7.48</v>
      </c>
      <c r="D852" s="4">
        <v>130.8</v>
      </c>
    </row>
    <row r="853" ht="22.5" customHeight="1">
      <c r="B853" s="4">
        <v>1.698243E7</v>
      </c>
      <c r="C853" s="4">
        <v>7.47</v>
      </c>
      <c r="D853" s="4">
        <v>130.8</v>
      </c>
    </row>
    <row r="854" ht="22.5" customHeight="1">
      <c r="B854" s="4">
        <v>1.7002433E7</v>
      </c>
      <c r="C854" s="4">
        <v>7.48</v>
      </c>
      <c r="D854" s="4">
        <v>130.8</v>
      </c>
    </row>
    <row r="855" ht="22.5" customHeight="1">
      <c r="B855" s="4">
        <v>1.7022436E7</v>
      </c>
      <c r="C855" s="4">
        <v>7.48</v>
      </c>
      <c r="D855" s="4">
        <v>130.8</v>
      </c>
    </row>
    <row r="856" ht="22.5" customHeight="1">
      <c r="B856" s="4">
        <v>1.7042439E7</v>
      </c>
      <c r="C856" s="4">
        <v>7.47</v>
      </c>
      <c r="D856" s="4">
        <v>130.7</v>
      </c>
    </row>
    <row r="857" ht="22.5" customHeight="1">
      <c r="B857" s="4">
        <v>1.7062441E7</v>
      </c>
      <c r="C857" s="4">
        <v>7.47</v>
      </c>
      <c r="D857" s="4">
        <v>130.7</v>
      </c>
    </row>
    <row r="858" ht="22.5" customHeight="1">
      <c r="B858" s="4">
        <v>1.7082445E7</v>
      </c>
      <c r="C858" s="4">
        <v>7.47</v>
      </c>
      <c r="D858" s="4">
        <v>130.7</v>
      </c>
    </row>
    <row r="859" ht="22.5" customHeight="1">
      <c r="B859" s="4">
        <v>1.7102448E7</v>
      </c>
      <c r="C859" s="4">
        <v>7.47</v>
      </c>
      <c r="D859" s="4">
        <v>130.7</v>
      </c>
    </row>
    <row r="860" ht="22.5" customHeight="1">
      <c r="B860" s="4">
        <v>1.7122451E7</v>
      </c>
      <c r="C860" s="4">
        <v>7.47</v>
      </c>
      <c r="D860" s="4">
        <v>130.7</v>
      </c>
    </row>
    <row r="861" ht="22.5" customHeight="1">
      <c r="B861" s="4">
        <v>1.7142454E7</v>
      </c>
      <c r="C861" s="4">
        <v>7.47</v>
      </c>
      <c r="D861" s="4">
        <v>130.7</v>
      </c>
    </row>
    <row r="862" ht="22.5" customHeight="1">
      <c r="B862" s="4">
        <v>1.7162457E7</v>
      </c>
      <c r="C862" s="4">
        <v>7.47</v>
      </c>
      <c r="D862" s="4">
        <v>130.7</v>
      </c>
    </row>
    <row r="863" ht="22.5" customHeight="1">
      <c r="B863" s="4">
        <v>1.7182459E7</v>
      </c>
      <c r="C863" s="4">
        <v>7.47</v>
      </c>
      <c r="D863" s="4">
        <v>130.7</v>
      </c>
    </row>
    <row r="864" ht="22.5" customHeight="1">
      <c r="B864" s="4">
        <v>1.7202462E7</v>
      </c>
      <c r="C864" s="4">
        <v>7.47</v>
      </c>
      <c r="D864" s="4">
        <v>130.6</v>
      </c>
    </row>
    <row r="865" ht="22.5" customHeight="1">
      <c r="B865" s="4">
        <v>1.7222465E7</v>
      </c>
      <c r="C865" s="4">
        <v>7.47</v>
      </c>
      <c r="D865" s="4">
        <v>130.7</v>
      </c>
    </row>
    <row r="866" ht="22.5" customHeight="1">
      <c r="B866" s="4">
        <v>1.7242468E7</v>
      </c>
      <c r="C866" s="4">
        <v>7.46</v>
      </c>
      <c r="D866" s="4">
        <v>130.6</v>
      </c>
    </row>
    <row r="867" ht="22.5" customHeight="1">
      <c r="B867" s="4">
        <v>1.7262471E7</v>
      </c>
      <c r="C867" s="4">
        <v>7.47</v>
      </c>
      <c r="D867" s="4">
        <v>130.6</v>
      </c>
    </row>
    <row r="868" ht="22.5" customHeight="1">
      <c r="B868" s="4">
        <v>1.7282473E7</v>
      </c>
      <c r="C868" s="4">
        <v>7.46</v>
      </c>
      <c r="D868" s="4">
        <v>130.6</v>
      </c>
    </row>
    <row r="869" ht="22.5" customHeight="1">
      <c r="B869" s="4">
        <v>1.7302476E7</v>
      </c>
      <c r="C869" s="4">
        <v>7.46</v>
      </c>
      <c r="D869" s="4">
        <v>130.6</v>
      </c>
    </row>
    <row r="870" ht="22.5" customHeight="1">
      <c r="B870" s="4">
        <v>1.7322479E7</v>
      </c>
      <c r="C870" s="4">
        <v>7.46</v>
      </c>
      <c r="D870" s="4">
        <v>130.6</v>
      </c>
    </row>
    <row r="871" ht="22.5" customHeight="1">
      <c r="B871" s="4">
        <v>1.7342482E7</v>
      </c>
      <c r="C871" s="4">
        <v>7.46</v>
      </c>
      <c r="D871" s="4">
        <v>130.5</v>
      </c>
    </row>
    <row r="872" ht="22.5" customHeight="1">
      <c r="B872" s="4">
        <v>1.7362486E7</v>
      </c>
      <c r="C872" s="4">
        <v>7.46</v>
      </c>
      <c r="D872" s="4">
        <v>130.5</v>
      </c>
    </row>
    <row r="873" ht="22.5" customHeight="1">
      <c r="B873" s="4">
        <v>1.7382489E7</v>
      </c>
      <c r="C873" s="4">
        <v>7.46</v>
      </c>
      <c r="D873" s="4">
        <v>130.5</v>
      </c>
    </row>
    <row r="874" ht="22.5" customHeight="1">
      <c r="B874" s="4">
        <v>1.7402491E7</v>
      </c>
      <c r="C874" s="4">
        <v>7.46</v>
      </c>
      <c r="D874" s="4">
        <v>130.4</v>
      </c>
    </row>
    <row r="875" ht="22.5" customHeight="1">
      <c r="B875" s="4">
        <v>1.7422494E7</v>
      </c>
      <c r="C875" s="4">
        <v>7.46</v>
      </c>
      <c r="D875" s="4">
        <v>130.5</v>
      </c>
    </row>
    <row r="876" ht="22.5" customHeight="1">
      <c r="B876" s="4">
        <v>1.7442497E7</v>
      </c>
      <c r="C876" s="4">
        <v>7.46</v>
      </c>
      <c r="D876" s="4">
        <v>130.5</v>
      </c>
    </row>
    <row r="877" ht="22.5" customHeight="1">
      <c r="B877" s="4">
        <v>1.74625E7</v>
      </c>
      <c r="C877" s="4">
        <v>7.46</v>
      </c>
      <c r="D877" s="4">
        <v>130.5</v>
      </c>
    </row>
    <row r="878" ht="22.5" customHeight="1">
      <c r="B878" s="4">
        <v>1.7482503E7</v>
      </c>
      <c r="C878" s="4">
        <v>7.46</v>
      </c>
      <c r="D878" s="4">
        <v>130.5</v>
      </c>
    </row>
    <row r="879" ht="22.5" customHeight="1">
      <c r="B879" s="4">
        <v>1.7502505E7</v>
      </c>
      <c r="C879" s="4">
        <v>7.46</v>
      </c>
      <c r="D879" s="4">
        <v>130.4</v>
      </c>
    </row>
    <row r="880" ht="22.5" customHeight="1">
      <c r="B880" s="4">
        <v>1.7522508E7</v>
      </c>
      <c r="C880" s="4">
        <v>7.46</v>
      </c>
      <c r="D880" s="4">
        <v>130.4</v>
      </c>
    </row>
    <row r="881" ht="22.5" customHeight="1">
      <c r="B881" s="4">
        <v>1.7542511E7</v>
      </c>
      <c r="C881" s="4">
        <v>7.46</v>
      </c>
      <c r="D881" s="4">
        <v>130.4</v>
      </c>
    </row>
    <row r="882" ht="22.5" customHeight="1">
      <c r="B882" s="4">
        <v>1.7562514E7</v>
      </c>
      <c r="C882" s="4">
        <v>7.45</v>
      </c>
      <c r="D882" s="4">
        <v>130.5</v>
      </c>
    </row>
    <row r="883" ht="22.5" customHeight="1">
      <c r="B883" s="4">
        <v>1.7582517E7</v>
      </c>
      <c r="C883" s="4">
        <v>7.46</v>
      </c>
      <c r="D883" s="4">
        <v>130.4</v>
      </c>
    </row>
    <row r="884" ht="22.5" customHeight="1">
      <c r="B884" s="4">
        <v>1.760252E7</v>
      </c>
      <c r="C884" s="4">
        <v>7.45</v>
      </c>
      <c r="D884" s="4">
        <v>130.4</v>
      </c>
    </row>
    <row r="885" ht="22.5" customHeight="1">
      <c r="B885" s="4">
        <v>1.7622522E7</v>
      </c>
      <c r="C885" s="4">
        <v>7.45</v>
      </c>
      <c r="D885" s="4">
        <v>130.4</v>
      </c>
    </row>
    <row r="886" ht="22.5" customHeight="1">
      <c r="B886" s="4">
        <v>1.7642526E7</v>
      </c>
      <c r="C886" s="4">
        <v>7.45</v>
      </c>
      <c r="D886" s="4">
        <v>130.4</v>
      </c>
    </row>
    <row r="887" ht="22.5" customHeight="1">
      <c r="B887" s="4">
        <v>1.7662529E7</v>
      </c>
      <c r="C887" s="4">
        <v>7.45</v>
      </c>
      <c r="D887" s="4">
        <v>130.4</v>
      </c>
    </row>
    <row r="888" ht="22.5" customHeight="1">
      <c r="B888" s="4">
        <v>1.7682532E7</v>
      </c>
      <c r="C888" s="4">
        <v>7.45</v>
      </c>
      <c r="D888" s="4">
        <v>130.3</v>
      </c>
    </row>
    <row r="889" ht="22.5" customHeight="1">
      <c r="B889" s="4">
        <v>1.7702535E7</v>
      </c>
      <c r="C889" s="4">
        <v>7.45</v>
      </c>
      <c r="D889" s="4">
        <v>130.3</v>
      </c>
    </row>
    <row r="890" ht="22.5" customHeight="1">
      <c r="B890" s="4">
        <v>1.7722537E7</v>
      </c>
      <c r="C890" s="4">
        <v>7.45</v>
      </c>
      <c r="D890" s="4">
        <v>130.3</v>
      </c>
    </row>
    <row r="891" ht="22.5" customHeight="1">
      <c r="B891" s="4">
        <v>1.774254E7</v>
      </c>
      <c r="C891" s="4">
        <v>7.45</v>
      </c>
      <c r="D891" s="4">
        <v>130.3</v>
      </c>
    </row>
    <row r="892" ht="22.5" customHeight="1">
      <c r="B892" s="4">
        <v>1.7762543E7</v>
      </c>
      <c r="C892" s="4">
        <v>7.45</v>
      </c>
      <c r="D892" s="4">
        <v>130.2</v>
      </c>
    </row>
    <row r="893" ht="22.5" customHeight="1">
      <c r="B893" s="4">
        <v>1.7782546E7</v>
      </c>
      <c r="C893" s="4">
        <v>7.44</v>
      </c>
      <c r="D893" s="4">
        <v>130.3</v>
      </c>
    </row>
    <row r="894" ht="22.5" customHeight="1">
      <c r="B894" s="4">
        <v>1.7802549E7</v>
      </c>
      <c r="C894" s="4">
        <v>7.44</v>
      </c>
      <c r="D894" s="4">
        <v>130.2</v>
      </c>
    </row>
    <row r="895" ht="22.5" customHeight="1">
      <c r="B895" s="4">
        <v>1.7822552E7</v>
      </c>
      <c r="C895" s="4">
        <v>7.44</v>
      </c>
      <c r="D895" s="4">
        <v>130.2</v>
      </c>
    </row>
    <row r="896" ht="22.5" customHeight="1">
      <c r="B896" s="4">
        <v>1.7842554E7</v>
      </c>
      <c r="C896" s="4">
        <v>7.44</v>
      </c>
      <c r="D896" s="4">
        <v>130.2</v>
      </c>
    </row>
    <row r="897" ht="22.5" customHeight="1">
      <c r="B897" s="4">
        <v>1.7862557E7</v>
      </c>
      <c r="C897" s="4">
        <v>7.44</v>
      </c>
      <c r="D897" s="4">
        <v>130.2</v>
      </c>
    </row>
    <row r="898" ht="22.5" customHeight="1">
      <c r="B898" s="4">
        <v>1.788256E7</v>
      </c>
      <c r="C898" s="4">
        <v>7.44</v>
      </c>
      <c r="D898" s="4">
        <v>130.2</v>
      </c>
    </row>
    <row r="899" ht="22.5" customHeight="1">
      <c r="B899" s="4">
        <v>1.7902564E7</v>
      </c>
      <c r="C899" s="4">
        <v>7.44</v>
      </c>
      <c r="D899" s="4">
        <v>130.2</v>
      </c>
    </row>
    <row r="900" ht="22.5" customHeight="1">
      <c r="B900" s="4">
        <v>1.7922567E7</v>
      </c>
      <c r="C900" s="4">
        <v>7.44</v>
      </c>
      <c r="D900" s="4">
        <v>130.1</v>
      </c>
    </row>
    <row r="901" ht="22.5" customHeight="1">
      <c r="B901" s="4">
        <v>1.7942569E7</v>
      </c>
      <c r="C901" s="4">
        <v>7.44</v>
      </c>
      <c r="D901" s="4">
        <v>130.1</v>
      </c>
    </row>
    <row r="902" ht="22.5" customHeight="1">
      <c r="B902" s="4">
        <v>1.7962572E7</v>
      </c>
      <c r="C902" s="4">
        <v>7.44</v>
      </c>
      <c r="D902" s="4">
        <v>130.2</v>
      </c>
    </row>
    <row r="903" ht="22.5" customHeight="1">
      <c r="B903" s="4">
        <v>1.7982575E7</v>
      </c>
      <c r="C903" s="4">
        <v>7.44</v>
      </c>
      <c r="D903" s="4">
        <v>130.1</v>
      </c>
    </row>
    <row r="904" ht="22.5" customHeight="1">
      <c r="B904" s="4">
        <v>1.8002578E7</v>
      </c>
      <c r="C904" s="4">
        <v>7.44</v>
      </c>
      <c r="D904" s="4">
        <v>130.1</v>
      </c>
    </row>
    <row r="905" ht="22.5" customHeight="1">
      <c r="B905" s="4">
        <v>1.8022581E7</v>
      </c>
      <c r="C905" s="4">
        <v>7.44</v>
      </c>
      <c r="D905" s="4">
        <v>130.1</v>
      </c>
    </row>
    <row r="906" ht="22.5" customHeight="1">
      <c r="B906" s="4">
        <v>1.8042584E7</v>
      </c>
      <c r="C906" s="4">
        <v>7.44</v>
      </c>
      <c r="D906" s="4">
        <v>130.1</v>
      </c>
    </row>
    <row r="907" ht="22.5" customHeight="1">
      <c r="B907" s="4">
        <v>1.8062586E7</v>
      </c>
      <c r="C907" s="4">
        <v>7.44</v>
      </c>
      <c r="D907" s="4">
        <v>130.0</v>
      </c>
    </row>
    <row r="908" ht="22.5" customHeight="1">
      <c r="B908" s="4">
        <v>1.8082589E7</v>
      </c>
      <c r="C908" s="4">
        <v>7.43</v>
      </c>
      <c r="D908" s="4">
        <v>130.0</v>
      </c>
    </row>
    <row r="909" ht="22.5" customHeight="1">
      <c r="B909" s="4">
        <v>1.8102592E7</v>
      </c>
      <c r="C909" s="4">
        <v>7.44</v>
      </c>
      <c r="D909" s="4">
        <v>130.1</v>
      </c>
    </row>
    <row r="910" ht="22.5" customHeight="1">
      <c r="B910" s="4">
        <v>1.8122595E7</v>
      </c>
      <c r="C910" s="4">
        <v>7.43</v>
      </c>
      <c r="D910" s="4">
        <v>130.0</v>
      </c>
    </row>
    <row r="911" ht="22.5" customHeight="1">
      <c r="B911" s="4">
        <v>1.8142598E7</v>
      </c>
      <c r="C911" s="4">
        <v>7.43</v>
      </c>
      <c r="D911" s="4">
        <v>130.0</v>
      </c>
    </row>
    <row r="912" ht="22.5" customHeight="1">
      <c r="B912" s="4">
        <v>1.81626E7</v>
      </c>
      <c r="C912" s="4">
        <v>7.43</v>
      </c>
      <c r="D912" s="4">
        <v>129.9</v>
      </c>
    </row>
    <row r="913" ht="22.5" customHeight="1">
      <c r="B913" s="4">
        <v>1.8182604E7</v>
      </c>
      <c r="C913" s="4">
        <v>7.43</v>
      </c>
      <c r="D913" s="4">
        <v>130.0</v>
      </c>
    </row>
    <row r="914" ht="22.5" customHeight="1">
      <c r="B914" s="4">
        <v>1.8202607E7</v>
      </c>
      <c r="C914" s="4">
        <v>7.43</v>
      </c>
      <c r="D914" s="4">
        <v>130.0</v>
      </c>
    </row>
    <row r="915" ht="22.5" customHeight="1">
      <c r="B915" s="4">
        <v>1.822261E7</v>
      </c>
      <c r="C915" s="4">
        <v>7.43</v>
      </c>
      <c r="D915" s="4">
        <v>129.9</v>
      </c>
    </row>
    <row r="916" ht="22.5" customHeight="1">
      <c r="B916" s="4">
        <v>1.8242613E7</v>
      </c>
      <c r="C916" s="4">
        <v>7.43</v>
      </c>
      <c r="D916" s="4">
        <v>129.9</v>
      </c>
    </row>
    <row r="917" ht="22.5" customHeight="1">
      <c r="B917" s="4">
        <v>1.8262616E7</v>
      </c>
      <c r="C917" s="4">
        <v>7.43</v>
      </c>
      <c r="D917" s="4">
        <v>129.9</v>
      </c>
    </row>
    <row r="918" ht="22.5" customHeight="1">
      <c r="B918" s="4">
        <v>1.8282618E7</v>
      </c>
      <c r="C918" s="4">
        <v>7.43</v>
      </c>
      <c r="D918" s="4">
        <v>129.9</v>
      </c>
    </row>
    <row r="919" ht="22.5" customHeight="1">
      <c r="B919" s="4">
        <v>1.8302621E7</v>
      </c>
      <c r="C919" s="4">
        <v>7.43</v>
      </c>
      <c r="D919" s="4">
        <v>129.9</v>
      </c>
    </row>
    <row r="920" ht="22.5" customHeight="1">
      <c r="B920" s="4">
        <v>1.8322624E7</v>
      </c>
      <c r="C920" s="4">
        <v>7.43</v>
      </c>
      <c r="D920" s="4">
        <v>129.9</v>
      </c>
    </row>
    <row r="921" ht="22.5" customHeight="1">
      <c r="B921" s="4">
        <v>1.8342627E7</v>
      </c>
      <c r="C921" s="4">
        <v>7.43</v>
      </c>
      <c r="D921" s="4">
        <v>129.9</v>
      </c>
    </row>
    <row r="922" ht="22.5" customHeight="1">
      <c r="B922" s="4">
        <v>1.836263E7</v>
      </c>
      <c r="C922" s="4">
        <v>7.42</v>
      </c>
      <c r="D922" s="4">
        <v>129.9</v>
      </c>
    </row>
    <row r="923" ht="22.5" customHeight="1">
      <c r="B923" s="4">
        <v>1.8382632E7</v>
      </c>
      <c r="C923" s="4">
        <v>7.42</v>
      </c>
      <c r="D923" s="4">
        <v>129.8</v>
      </c>
    </row>
    <row r="924" ht="22.5" customHeight="1">
      <c r="B924" s="4">
        <v>1.8402635E7</v>
      </c>
      <c r="C924" s="4">
        <v>7.42</v>
      </c>
      <c r="D924" s="4">
        <v>129.8</v>
      </c>
    </row>
    <row r="925" ht="22.5" customHeight="1">
      <c r="B925" s="4">
        <v>1.8422638E7</v>
      </c>
      <c r="C925" s="4">
        <v>7.42</v>
      </c>
      <c r="D925" s="4">
        <v>129.8</v>
      </c>
    </row>
    <row r="926" ht="22.5" customHeight="1">
      <c r="B926" s="4">
        <v>1.8442641E7</v>
      </c>
      <c r="C926" s="4">
        <v>7.42</v>
      </c>
      <c r="D926" s="4">
        <v>129.8</v>
      </c>
    </row>
    <row r="927" ht="22.5" customHeight="1">
      <c r="B927" s="4">
        <v>1.8462645E7</v>
      </c>
      <c r="C927" s="4">
        <v>7.42</v>
      </c>
      <c r="D927" s="4">
        <v>129.8</v>
      </c>
    </row>
    <row r="928" ht="22.5" customHeight="1">
      <c r="B928" s="4">
        <v>1.8482648E7</v>
      </c>
      <c r="C928" s="4">
        <v>7.42</v>
      </c>
      <c r="D928" s="4">
        <v>129.7</v>
      </c>
    </row>
    <row r="929" ht="22.5" customHeight="1">
      <c r="B929" s="4">
        <v>1.850265E7</v>
      </c>
      <c r="C929" s="4">
        <v>7.42</v>
      </c>
      <c r="D929" s="4">
        <v>129.8</v>
      </c>
    </row>
    <row r="930" ht="22.5" customHeight="1">
      <c r="B930" s="4">
        <v>1.8522653E7</v>
      </c>
      <c r="C930" s="4">
        <v>7.42</v>
      </c>
      <c r="D930" s="4">
        <v>129.7</v>
      </c>
    </row>
    <row r="931" ht="22.5" customHeight="1">
      <c r="B931" s="4">
        <v>1.8542656E7</v>
      </c>
      <c r="C931" s="4">
        <v>7.42</v>
      </c>
      <c r="D931" s="4">
        <v>129.7</v>
      </c>
    </row>
    <row r="932" ht="22.5" customHeight="1">
      <c r="B932" s="4">
        <v>1.8562659E7</v>
      </c>
      <c r="C932" s="4">
        <v>7.42</v>
      </c>
      <c r="D932" s="4">
        <v>129.7</v>
      </c>
    </row>
    <row r="933" ht="22.5" customHeight="1">
      <c r="B933" s="4">
        <v>1.8582662E7</v>
      </c>
      <c r="C933" s="4">
        <v>7.41</v>
      </c>
      <c r="D933" s="4">
        <v>129.7</v>
      </c>
    </row>
    <row r="934" ht="22.5" customHeight="1">
      <c r="B934" s="4">
        <v>1.8602664E7</v>
      </c>
      <c r="C934" s="4">
        <v>7.41</v>
      </c>
      <c r="D934" s="4">
        <v>129.7</v>
      </c>
    </row>
    <row r="935" ht="22.5" customHeight="1">
      <c r="B935" s="4">
        <v>1.8622667E7</v>
      </c>
      <c r="C935" s="4">
        <v>7.41</v>
      </c>
      <c r="D935" s="4">
        <v>129.7</v>
      </c>
    </row>
    <row r="936" ht="22.5" customHeight="1">
      <c r="B936" s="4">
        <v>1.864267E7</v>
      </c>
      <c r="C936" s="4">
        <v>7.41</v>
      </c>
      <c r="D936" s="4">
        <v>129.7</v>
      </c>
    </row>
    <row r="937" ht="22.5" customHeight="1">
      <c r="B937" s="4">
        <v>1.8662673E7</v>
      </c>
      <c r="C937" s="4">
        <v>7.41</v>
      </c>
      <c r="D937" s="4">
        <v>129.6</v>
      </c>
    </row>
    <row r="938" ht="22.5" customHeight="1">
      <c r="B938" s="4">
        <v>1.8682676E7</v>
      </c>
      <c r="C938" s="4">
        <v>7.41</v>
      </c>
      <c r="D938" s="4">
        <v>129.6</v>
      </c>
    </row>
    <row r="939" ht="22.5" customHeight="1">
      <c r="B939" s="4">
        <v>1.8702679E7</v>
      </c>
      <c r="C939" s="4">
        <v>7.41</v>
      </c>
      <c r="D939" s="4">
        <v>129.6</v>
      </c>
    </row>
    <row r="940" ht="22.5" customHeight="1">
      <c r="B940" s="4">
        <v>1.8722681E7</v>
      </c>
      <c r="C940" s="4">
        <v>7.41</v>
      </c>
      <c r="D940" s="4">
        <v>129.6</v>
      </c>
    </row>
    <row r="941" ht="22.5" customHeight="1">
      <c r="B941" s="4">
        <v>1.8742685E7</v>
      </c>
      <c r="C941" s="4">
        <v>7.41</v>
      </c>
      <c r="D941" s="4">
        <v>129.6</v>
      </c>
    </row>
    <row r="942" ht="22.5" customHeight="1">
      <c r="B942" s="4">
        <v>1.8762688E7</v>
      </c>
      <c r="C942" s="4">
        <v>7.41</v>
      </c>
      <c r="D942" s="4">
        <v>129.5</v>
      </c>
    </row>
    <row r="943" ht="22.5" customHeight="1">
      <c r="B943" s="4">
        <v>1.8782691E7</v>
      </c>
      <c r="C943" s="4">
        <v>7.41</v>
      </c>
      <c r="D943" s="4">
        <v>129.5</v>
      </c>
    </row>
    <row r="944" ht="22.5" customHeight="1">
      <c r="B944" s="4">
        <v>1.8802694E7</v>
      </c>
      <c r="C944" s="4">
        <v>7.41</v>
      </c>
      <c r="D944" s="4">
        <v>129.6</v>
      </c>
    </row>
    <row r="945" ht="22.5" customHeight="1">
      <c r="B945" s="4">
        <v>1.8822696E7</v>
      </c>
      <c r="C945" s="4">
        <v>7.4</v>
      </c>
      <c r="D945" s="4">
        <v>129.5</v>
      </c>
    </row>
    <row r="946" ht="22.5" customHeight="1">
      <c r="B946" s="4">
        <v>1.8842699E7</v>
      </c>
      <c r="C946" s="4">
        <v>7.4</v>
      </c>
      <c r="D946" s="4">
        <v>129.4</v>
      </c>
    </row>
    <row r="947" ht="22.5" customHeight="1">
      <c r="B947" s="4">
        <v>1.8862702E7</v>
      </c>
      <c r="C947" s="4">
        <v>7.4</v>
      </c>
      <c r="D947" s="4">
        <v>129.5</v>
      </c>
    </row>
    <row r="948" ht="22.5" customHeight="1">
      <c r="B948" s="4">
        <v>1.8882705E7</v>
      </c>
      <c r="C948" s="4">
        <v>7.4</v>
      </c>
      <c r="D948" s="4">
        <v>129.4</v>
      </c>
    </row>
    <row r="949" ht="22.5" customHeight="1">
      <c r="B949" s="4">
        <v>1.8902708E7</v>
      </c>
      <c r="C949" s="4">
        <v>7.4</v>
      </c>
      <c r="D949" s="4">
        <v>129.4</v>
      </c>
    </row>
    <row r="950" ht="22.5" customHeight="1">
      <c r="B950" s="4">
        <v>1.8922711E7</v>
      </c>
      <c r="C950" s="4">
        <v>7.4</v>
      </c>
      <c r="D950" s="4">
        <v>129.5</v>
      </c>
    </row>
    <row r="951" ht="22.5" customHeight="1">
      <c r="B951" s="4">
        <v>1.8942713E7</v>
      </c>
      <c r="C951" s="4">
        <v>7.4</v>
      </c>
      <c r="D951" s="4">
        <v>129.4</v>
      </c>
    </row>
    <row r="952" ht="22.5" customHeight="1">
      <c r="B952" s="4">
        <v>1.8962716E7</v>
      </c>
      <c r="C952" s="4">
        <v>7.4</v>
      </c>
      <c r="D952" s="4">
        <v>129.4</v>
      </c>
    </row>
    <row r="953" ht="22.5" customHeight="1">
      <c r="B953" s="4">
        <v>1.8982719E7</v>
      </c>
      <c r="C953" s="4">
        <v>7.4</v>
      </c>
      <c r="D953" s="4">
        <v>129.4</v>
      </c>
    </row>
    <row r="954" ht="22.5" customHeight="1">
      <c r="B954" s="4">
        <v>1.9002722E7</v>
      </c>
      <c r="C954" s="4">
        <v>7.4</v>
      </c>
      <c r="D954" s="4">
        <v>129.4</v>
      </c>
    </row>
    <row r="955" ht="22.5" customHeight="1">
      <c r="B955" s="4">
        <v>1.9022726E7</v>
      </c>
      <c r="C955" s="4">
        <v>7.4</v>
      </c>
      <c r="D955" s="4">
        <v>129.3</v>
      </c>
    </row>
    <row r="956" ht="22.5" customHeight="1">
      <c r="B956" s="4">
        <v>1.9042728E7</v>
      </c>
      <c r="C956" s="4">
        <v>7.4</v>
      </c>
      <c r="D956" s="4">
        <v>129.4</v>
      </c>
    </row>
    <row r="957" ht="22.5" customHeight="1">
      <c r="B957" s="4">
        <v>1.9062731E7</v>
      </c>
      <c r="C957" s="4">
        <v>7.4</v>
      </c>
      <c r="D957" s="4">
        <v>129.3</v>
      </c>
    </row>
    <row r="958" ht="22.5" customHeight="1">
      <c r="B958" s="4">
        <v>1.9082734E7</v>
      </c>
      <c r="C958" s="4">
        <v>7.39</v>
      </c>
      <c r="D958" s="4">
        <v>129.3</v>
      </c>
    </row>
    <row r="959" ht="22.5" customHeight="1">
      <c r="B959" s="4">
        <v>1.9102737E7</v>
      </c>
      <c r="C959" s="4">
        <v>7.39</v>
      </c>
      <c r="D959" s="4">
        <v>129.2</v>
      </c>
    </row>
    <row r="960" ht="22.5" customHeight="1">
      <c r="B960" s="4">
        <v>1.912274E7</v>
      </c>
      <c r="C960" s="4">
        <v>7.39</v>
      </c>
      <c r="D960" s="4">
        <v>129.3</v>
      </c>
    </row>
    <row r="961" ht="22.5" customHeight="1">
      <c r="B961" s="4">
        <v>1.9142743E7</v>
      </c>
      <c r="C961" s="4">
        <v>7.39</v>
      </c>
      <c r="D961" s="4">
        <v>129.2</v>
      </c>
    </row>
    <row r="962" ht="22.5" customHeight="1">
      <c r="B962" s="4">
        <v>1.9162745E7</v>
      </c>
      <c r="C962" s="4">
        <v>7.39</v>
      </c>
      <c r="D962" s="4">
        <v>129.3</v>
      </c>
    </row>
    <row r="963" ht="22.5" customHeight="1">
      <c r="B963" s="4">
        <v>1.9182748E7</v>
      </c>
      <c r="C963" s="4">
        <v>7.39</v>
      </c>
      <c r="D963" s="4">
        <v>129.2</v>
      </c>
    </row>
    <row r="964" ht="22.5" customHeight="1">
      <c r="B964" s="4">
        <v>1.9202751E7</v>
      </c>
      <c r="C964" s="4">
        <v>7.39</v>
      </c>
      <c r="D964" s="4">
        <v>129.2</v>
      </c>
    </row>
    <row r="965" ht="22.5" customHeight="1">
      <c r="B965" s="4">
        <v>1.9222754E7</v>
      </c>
      <c r="C965" s="4">
        <v>7.39</v>
      </c>
      <c r="D965" s="4">
        <v>129.2</v>
      </c>
    </row>
    <row r="966" ht="22.5" customHeight="1">
      <c r="B966" s="4">
        <v>1.9242757E7</v>
      </c>
      <c r="C966" s="4">
        <v>7.39</v>
      </c>
      <c r="D966" s="4">
        <v>129.2</v>
      </c>
    </row>
    <row r="967" ht="22.5" customHeight="1">
      <c r="B967" s="4">
        <v>1.9262759E7</v>
      </c>
      <c r="C967" s="4">
        <v>7.38</v>
      </c>
      <c r="D967" s="4">
        <v>129.1</v>
      </c>
    </row>
    <row r="968" ht="22.5" customHeight="1">
      <c r="B968" s="4">
        <v>1.9282762E7</v>
      </c>
      <c r="C968" s="4">
        <v>7.39</v>
      </c>
      <c r="D968" s="4">
        <v>129.1</v>
      </c>
    </row>
    <row r="969" ht="22.5" customHeight="1">
      <c r="B969" s="4">
        <v>1.9302766E7</v>
      </c>
      <c r="C969" s="4">
        <v>7.38</v>
      </c>
      <c r="D969" s="4">
        <v>129.1</v>
      </c>
    </row>
    <row r="970" ht="22.5" customHeight="1">
      <c r="B970" s="4">
        <v>1.9322769E7</v>
      </c>
      <c r="C970" s="4">
        <v>7.38</v>
      </c>
      <c r="D970" s="4">
        <v>129.1</v>
      </c>
    </row>
    <row r="971" ht="22.5" customHeight="1">
      <c r="B971" s="4">
        <v>1.9342772E7</v>
      </c>
      <c r="C971" s="4">
        <v>7.38</v>
      </c>
      <c r="D971" s="4">
        <v>129.1</v>
      </c>
    </row>
    <row r="972" ht="22.5" customHeight="1">
      <c r="B972" s="4">
        <v>1.9362775E7</v>
      </c>
      <c r="C972" s="4">
        <v>7.38</v>
      </c>
      <c r="D972" s="4">
        <v>129.1</v>
      </c>
    </row>
    <row r="973" ht="22.5" customHeight="1">
      <c r="B973" s="4">
        <v>1.9382777E7</v>
      </c>
      <c r="C973" s="4">
        <v>7.38</v>
      </c>
      <c r="D973" s="4">
        <v>129.1</v>
      </c>
    </row>
    <row r="974" ht="22.5" customHeight="1">
      <c r="B974" s="4">
        <v>1.940278E7</v>
      </c>
      <c r="C974" s="4">
        <v>7.38</v>
      </c>
      <c r="D974" s="4">
        <v>129.1</v>
      </c>
    </row>
    <row r="975" ht="22.5" customHeight="1">
      <c r="B975" s="4">
        <v>1.9422783E7</v>
      </c>
      <c r="C975" s="4">
        <v>7.38</v>
      </c>
      <c r="D975" s="4">
        <v>129.1</v>
      </c>
    </row>
    <row r="976" ht="22.5" customHeight="1">
      <c r="B976" s="4">
        <v>1.9442786E7</v>
      </c>
      <c r="C976" s="4">
        <v>7.38</v>
      </c>
      <c r="D976" s="4">
        <v>129.0</v>
      </c>
    </row>
    <row r="977" ht="22.5" customHeight="1">
      <c r="B977" s="4">
        <v>1.9462789E7</v>
      </c>
      <c r="C977" s="4">
        <v>7.38</v>
      </c>
      <c r="D977" s="4">
        <v>129.0</v>
      </c>
    </row>
    <row r="978" ht="22.5" customHeight="1">
      <c r="B978" s="4">
        <v>1.9482791E7</v>
      </c>
      <c r="C978" s="4">
        <v>7.38</v>
      </c>
      <c r="D978" s="4">
        <v>129.0</v>
      </c>
    </row>
    <row r="979" ht="22.5" customHeight="1">
      <c r="B979" s="4">
        <v>1.9502794E7</v>
      </c>
      <c r="C979" s="4">
        <v>7.38</v>
      </c>
      <c r="D979" s="4">
        <v>129.1</v>
      </c>
    </row>
    <row r="980" ht="22.5" customHeight="1">
      <c r="B980" s="4">
        <v>1.9522797E7</v>
      </c>
      <c r="C980" s="4">
        <v>7.38</v>
      </c>
      <c r="D980" s="4">
        <v>129.0</v>
      </c>
    </row>
    <row r="981" ht="22.5" customHeight="1">
      <c r="B981" s="4">
        <v>1.95428E7</v>
      </c>
      <c r="C981" s="4">
        <v>7.38</v>
      </c>
      <c r="D981" s="4">
        <v>129.0</v>
      </c>
    </row>
    <row r="982" ht="22.5" customHeight="1">
      <c r="B982" s="4">
        <v>1.9562803E7</v>
      </c>
      <c r="C982" s="4">
        <v>7.38</v>
      </c>
      <c r="D982" s="4">
        <v>128.9</v>
      </c>
    </row>
    <row r="983" ht="22.5" customHeight="1">
      <c r="B983" s="4">
        <v>1.9582807E7</v>
      </c>
      <c r="C983" s="4">
        <v>7.38</v>
      </c>
      <c r="D983" s="4">
        <v>129.0</v>
      </c>
    </row>
    <row r="984" ht="22.5" customHeight="1">
      <c r="B984" s="4">
        <v>1.9602809E7</v>
      </c>
      <c r="C984" s="4">
        <v>7.37</v>
      </c>
      <c r="D984" s="4">
        <v>128.9</v>
      </c>
    </row>
    <row r="985" ht="22.5" customHeight="1">
      <c r="B985" s="4">
        <v>1.9622812E7</v>
      </c>
      <c r="C985" s="4">
        <v>7.37</v>
      </c>
      <c r="D985" s="4">
        <v>128.9</v>
      </c>
    </row>
    <row r="986" ht="22.5" customHeight="1">
      <c r="B986" s="4">
        <v>1.9642815E7</v>
      </c>
      <c r="C986" s="4">
        <v>7.37</v>
      </c>
      <c r="D986" s="4">
        <v>128.9</v>
      </c>
    </row>
    <row r="987" ht="22.5" customHeight="1">
      <c r="B987" s="4">
        <v>1.9662818E7</v>
      </c>
      <c r="C987" s="4">
        <v>7.37</v>
      </c>
      <c r="D987" s="4">
        <v>128.9</v>
      </c>
    </row>
    <row r="988" ht="22.5" customHeight="1">
      <c r="B988" s="4">
        <v>1.9682821E7</v>
      </c>
      <c r="C988" s="4">
        <v>7.37</v>
      </c>
      <c r="D988" s="4">
        <v>128.9</v>
      </c>
    </row>
    <row r="989" ht="22.5" customHeight="1">
      <c r="B989" s="4">
        <v>1.9702823E7</v>
      </c>
      <c r="C989" s="4">
        <v>7.37</v>
      </c>
      <c r="D989" s="4">
        <v>128.9</v>
      </c>
    </row>
    <row r="990" ht="22.5" customHeight="1">
      <c r="B990" s="4">
        <v>1.9722826E7</v>
      </c>
      <c r="C990" s="4">
        <v>7.37</v>
      </c>
      <c r="D990" s="4">
        <v>128.9</v>
      </c>
    </row>
    <row r="991" ht="22.5" customHeight="1">
      <c r="B991" s="4">
        <v>1.9742829E7</v>
      </c>
      <c r="C991" s="4">
        <v>7.37</v>
      </c>
      <c r="D991" s="4">
        <v>128.8</v>
      </c>
    </row>
    <row r="992" ht="22.5" customHeight="1">
      <c r="B992" s="4">
        <v>1.9762832E7</v>
      </c>
      <c r="C992" s="4">
        <v>7.37</v>
      </c>
      <c r="D992" s="4">
        <v>128.8</v>
      </c>
    </row>
    <row r="993" ht="22.5" customHeight="1">
      <c r="B993" s="4">
        <v>1.9782835E7</v>
      </c>
      <c r="C993" s="4">
        <v>7.37</v>
      </c>
      <c r="D993" s="4">
        <v>128.9</v>
      </c>
    </row>
    <row r="994" ht="22.5" customHeight="1">
      <c r="B994" s="4">
        <v>1.9802838E7</v>
      </c>
      <c r="C994" s="4">
        <v>7.37</v>
      </c>
      <c r="D994" s="4">
        <v>128.8</v>
      </c>
    </row>
    <row r="995" ht="22.5" customHeight="1">
      <c r="B995" s="4">
        <v>1.982284E7</v>
      </c>
      <c r="C995" s="4">
        <v>7.37</v>
      </c>
      <c r="D995" s="4">
        <v>128.8</v>
      </c>
    </row>
    <row r="996" ht="22.5" customHeight="1">
      <c r="B996" s="4">
        <v>1.9842843E7</v>
      </c>
      <c r="C996" s="4">
        <v>7.36</v>
      </c>
      <c r="D996" s="4">
        <v>128.8</v>
      </c>
    </row>
    <row r="997" ht="22.5" customHeight="1">
      <c r="B997" s="4">
        <v>1.9862847E7</v>
      </c>
      <c r="C997" s="4">
        <v>7.36</v>
      </c>
      <c r="D997" s="4">
        <v>128.8</v>
      </c>
    </row>
    <row r="998" ht="22.5" customHeight="1">
      <c r="B998" s="4">
        <v>1.988285E7</v>
      </c>
      <c r="C998" s="4">
        <v>7.36</v>
      </c>
      <c r="D998" s="4">
        <v>128.8</v>
      </c>
    </row>
    <row r="999" ht="22.5" customHeight="1">
      <c r="B999" s="4">
        <v>1.9902853E7</v>
      </c>
      <c r="C999" s="4">
        <v>7.36</v>
      </c>
      <c r="D999" s="4">
        <v>128.8</v>
      </c>
    </row>
    <row r="1000" ht="22.5" customHeight="1">
      <c r="B1000" s="4">
        <v>1.9922855E7</v>
      </c>
      <c r="C1000" s="4">
        <v>7.36</v>
      </c>
      <c r="D1000" s="4">
        <v>128.7</v>
      </c>
    </row>
    <row r="1001" ht="22.5" customHeight="1">
      <c r="B1001" s="4">
        <v>1.9942858E7</v>
      </c>
      <c r="C1001" s="4">
        <v>7.36</v>
      </c>
      <c r="D1001" s="4">
        <v>128.8</v>
      </c>
    </row>
    <row r="1002" ht="22.5" customHeight="1">
      <c r="B1002" s="4">
        <v>1.9962861E7</v>
      </c>
      <c r="C1002" s="4">
        <v>7.36</v>
      </c>
      <c r="D1002" s="4">
        <v>128.7</v>
      </c>
    </row>
    <row r="1003" ht="22.5" customHeight="1">
      <c r="B1003" s="4">
        <v>1.9982864E7</v>
      </c>
      <c r="C1003" s="4">
        <v>7.36</v>
      </c>
      <c r="D1003" s="4">
        <v>128.7</v>
      </c>
    </row>
    <row r="1004" ht="22.5" customHeight="1">
      <c r="B1004" s="4">
        <v>2.0002867E7</v>
      </c>
      <c r="C1004" s="4">
        <v>7.36</v>
      </c>
      <c r="D1004" s="4">
        <v>128.7</v>
      </c>
    </row>
    <row r="1005" ht="22.5" customHeight="1">
      <c r="B1005" s="4">
        <v>2.002287E7</v>
      </c>
      <c r="C1005" s="4">
        <v>7.36</v>
      </c>
      <c r="D1005" s="4">
        <v>128.6</v>
      </c>
    </row>
    <row r="1006" ht="22.5" customHeight="1">
      <c r="B1006" s="4">
        <v>2.0042872E7</v>
      </c>
      <c r="C1006" s="4">
        <v>7.36</v>
      </c>
      <c r="D1006" s="4">
        <v>128.7</v>
      </c>
    </row>
    <row r="1007" ht="22.5" customHeight="1">
      <c r="B1007" s="4">
        <v>2.0062875E7</v>
      </c>
      <c r="C1007" s="4">
        <v>7.36</v>
      </c>
      <c r="D1007" s="4">
        <v>128.7</v>
      </c>
    </row>
    <row r="1008" ht="22.5" customHeight="1">
      <c r="B1008" s="4">
        <v>2.0082878E7</v>
      </c>
      <c r="C1008" s="4">
        <v>7.36</v>
      </c>
      <c r="D1008" s="4">
        <v>128.6</v>
      </c>
    </row>
    <row r="1009" ht="22.5" customHeight="1">
      <c r="B1009" s="4">
        <v>2.0102881E7</v>
      </c>
      <c r="C1009" s="4">
        <v>7.36</v>
      </c>
      <c r="D1009" s="4">
        <v>128.6</v>
      </c>
    </row>
    <row r="1010" ht="22.5" customHeight="1">
      <c r="B1010" s="4">
        <v>2.0122884E7</v>
      </c>
      <c r="C1010" s="4">
        <v>7.36</v>
      </c>
      <c r="D1010" s="4">
        <v>128.6</v>
      </c>
    </row>
    <row r="1011" ht="22.5" customHeight="1">
      <c r="B1011" s="4">
        <v>2.0142887E7</v>
      </c>
      <c r="C1011" s="4">
        <v>7.36</v>
      </c>
      <c r="D1011" s="4">
        <v>128.5</v>
      </c>
    </row>
    <row r="1012" ht="22.5" customHeight="1">
      <c r="B1012" s="4">
        <v>2.016289E7</v>
      </c>
      <c r="C1012" s="4">
        <v>7.36</v>
      </c>
      <c r="D1012" s="4">
        <v>128.6</v>
      </c>
    </row>
    <row r="1013" ht="22.5" customHeight="1">
      <c r="B1013" s="4">
        <v>2.0182893E7</v>
      </c>
      <c r="C1013" s="4">
        <v>7.36</v>
      </c>
      <c r="D1013" s="4">
        <v>128.5</v>
      </c>
    </row>
    <row r="1014" ht="22.5" customHeight="1">
      <c r="B1014" s="4">
        <v>2.0202896E7</v>
      </c>
      <c r="C1014" s="4">
        <v>7.36</v>
      </c>
      <c r="D1014" s="4">
        <v>128.6</v>
      </c>
    </row>
    <row r="1015" ht="22.5" customHeight="1">
      <c r="B1015" s="4">
        <v>2.0222899E7</v>
      </c>
      <c r="C1015" s="4">
        <v>7.36</v>
      </c>
      <c r="D1015" s="4">
        <v>128.6</v>
      </c>
    </row>
    <row r="1016" ht="22.5" customHeight="1">
      <c r="B1016" s="4">
        <v>2.0242902E7</v>
      </c>
      <c r="C1016" s="4">
        <v>7.35</v>
      </c>
      <c r="D1016" s="4">
        <v>128.5</v>
      </c>
    </row>
    <row r="1017" ht="22.5" customHeight="1">
      <c r="B1017" s="4">
        <v>2.0262904E7</v>
      </c>
      <c r="C1017" s="4">
        <v>7.35</v>
      </c>
      <c r="D1017" s="4">
        <v>128.5</v>
      </c>
    </row>
    <row r="1018" ht="22.5" customHeight="1">
      <c r="B1018" s="4">
        <v>2.0282907E7</v>
      </c>
      <c r="C1018" s="4">
        <v>7.35</v>
      </c>
      <c r="D1018" s="4">
        <v>128.6</v>
      </c>
    </row>
    <row r="1019" ht="22.5" customHeight="1">
      <c r="B1019" s="4">
        <v>2.030291E7</v>
      </c>
      <c r="C1019" s="4">
        <v>7.35</v>
      </c>
      <c r="D1019" s="4">
        <v>128.5</v>
      </c>
    </row>
    <row r="1020" ht="22.5" customHeight="1">
      <c r="B1020" s="4">
        <v>2.0322913E7</v>
      </c>
      <c r="C1020" s="4">
        <v>7.35</v>
      </c>
      <c r="D1020" s="4">
        <v>128.5</v>
      </c>
    </row>
    <row r="1021" ht="22.5" customHeight="1">
      <c r="B1021" s="4">
        <v>2.0342916E7</v>
      </c>
      <c r="C1021" s="4">
        <v>7.35</v>
      </c>
      <c r="D1021" s="4">
        <v>128.5</v>
      </c>
    </row>
    <row r="1022" ht="22.5" customHeight="1">
      <c r="B1022" s="4">
        <v>2.0362918E7</v>
      </c>
      <c r="C1022" s="4">
        <v>7.35</v>
      </c>
      <c r="D1022" s="4">
        <v>128.5</v>
      </c>
    </row>
    <row r="1023" ht="22.5" customHeight="1">
      <c r="B1023" s="4">
        <v>2.0382921E7</v>
      </c>
      <c r="C1023" s="4">
        <v>7.35</v>
      </c>
      <c r="D1023" s="4">
        <v>128.4</v>
      </c>
    </row>
    <row r="1024" ht="22.5" customHeight="1">
      <c r="B1024" s="4">
        <v>2.0402924E7</v>
      </c>
      <c r="C1024" s="4">
        <v>7.35</v>
      </c>
      <c r="D1024" s="4">
        <v>128.5</v>
      </c>
    </row>
    <row r="1025" ht="22.5" customHeight="1">
      <c r="B1025" s="4">
        <v>2.0422928E7</v>
      </c>
      <c r="C1025" s="4">
        <v>7.35</v>
      </c>
      <c r="D1025" s="4">
        <v>128.5</v>
      </c>
    </row>
    <row r="1026" ht="22.5" customHeight="1">
      <c r="B1026" s="4">
        <v>2.0442931E7</v>
      </c>
      <c r="C1026" s="4">
        <v>7.35</v>
      </c>
      <c r="D1026" s="4">
        <v>128.4</v>
      </c>
    </row>
    <row r="1027" ht="22.5" customHeight="1">
      <c r="B1027" s="4">
        <v>2.0462934E7</v>
      </c>
      <c r="C1027" s="4">
        <v>7.35</v>
      </c>
      <c r="D1027" s="4">
        <v>128.4</v>
      </c>
    </row>
    <row r="1028" ht="22.5" customHeight="1">
      <c r="B1028" s="4">
        <v>2.0482936E7</v>
      </c>
      <c r="C1028" s="4">
        <v>7.34</v>
      </c>
      <c r="D1028" s="4">
        <v>128.3</v>
      </c>
    </row>
    <row r="1029" ht="22.5" customHeight="1">
      <c r="B1029" s="4">
        <v>2.0502939E7</v>
      </c>
      <c r="C1029" s="4">
        <v>7.34</v>
      </c>
      <c r="D1029" s="4">
        <v>128.4</v>
      </c>
    </row>
    <row r="1030" ht="22.5" customHeight="1">
      <c r="B1030" s="4">
        <v>2.0522942E7</v>
      </c>
      <c r="C1030" s="4">
        <v>7.34</v>
      </c>
      <c r="D1030" s="4">
        <v>128.4</v>
      </c>
    </row>
    <row r="1031" ht="22.5" customHeight="1">
      <c r="B1031" s="4">
        <v>2.0542945E7</v>
      </c>
      <c r="C1031" s="4">
        <v>7.34</v>
      </c>
      <c r="D1031" s="4">
        <v>128.3</v>
      </c>
    </row>
    <row r="1032" ht="22.5" customHeight="1">
      <c r="B1032" s="4">
        <v>2.0562948E7</v>
      </c>
      <c r="C1032" s="4">
        <v>7.34</v>
      </c>
      <c r="D1032" s="4">
        <v>128.4</v>
      </c>
    </row>
    <row r="1033" ht="22.5" customHeight="1">
      <c r="B1033" s="4">
        <v>2.058295E7</v>
      </c>
      <c r="C1033" s="4">
        <v>7.34</v>
      </c>
      <c r="D1033" s="4">
        <v>128.3</v>
      </c>
    </row>
    <row r="1034" ht="22.5" customHeight="1">
      <c r="B1034" s="4">
        <v>2.0602953E7</v>
      </c>
      <c r="C1034" s="4">
        <v>7.34</v>
      </c>
      <c r="D1034" s="4">
        <v>128.3</v>
      </c>
    </row>
    <row r="1035" ht="22.5" customHeight="1">
      <c r="B1035" s="4">
        <v>2.0622956E7</v>
      </c>
      <c r="C1035" s="4">
        <v>7.34</v>
      </c>
      <c r="D1035" s="4">
        <v>128.3</v>
      </c>
    </row>
    <row r="1036" ht="22.5" customHeight="1">
      <c r="B1036" s="4">
        <v>2.0642959E7</v>
      </c>
      <c r="C1036" s="4">
        <v>7.34</v>
      </c>
      <c r="D1036" s="4">
        <v>128.3</v>
      </c>
    </row>
    <row r="1037" ht="22.5" customHeight="1">
      <c r="B1037" s="4">
        <v>2.0662962E7</v>
      </c>
      <c r="C1037" s="4">
        <v>7.34</v>
      </c>
      <c r="D1037" s="4">
        <v>128.3</v>
      </c>
    </row>
    <row r="1038" ht="22.5" customHeight="1">
      <c r="B1038" s="4">
        <v>2.0682966E7</v>
      </c>
      <c r="C1038" s="4">
        <v>7.34</v>
      </c>
      <c r="D1038" s="4">
        <v>128.3</v>
      </c>
    </row>
    <row r="1039" ht="22.5" customHeight="1">
      <c r="B1039" s="4">
        <v>2.0702968E7</v>
      </c>
      <c r="C1039" s="4">
        <v>7.34</v>
      </c>
      <c r="D1039" s="4">
        <v>128.3</v>
      </c>
    </row>
    <row r="1040" ht="22.5" customHeight="1">
      <c r="B1040" s="4">
        <v>2.0722971E7</v>
      </c>
      <c r="C1040" s="4">
        <v>7.34</v>
      </c>
      <c r="D1040" s="4">
        <v>128.3</v>
      </c>
    </row>
    <row r="1041" ht="22.5" customHeight="1">
      <c r="B1041" s="4">
        <v>2.0742974E7</v>
      </c>
      <c r="C1041" s="4">
        <v>7.34</v>
      </c>
      <c r="D1041" s="4">
        <v>128.3</v>
      </c>
    </row>
    <row r="1042" ht="22.5" customHeight="1">
      <c r="B1042" s="4">
        <v>2.0762977E7</v>
      </c>
      <c r="C1042" s="4">
        <v>7.33</v>
      </c>
      <c r="D1042" s="4">
        <v>128.2</v>
      </c>
    </row>
    <row r="1043" ht="22.5" customHeight="1">
      <c r="B1043" s="4">
        <v>2.078298E7</v>
      </c>
      <c r="C1043" s="4">
        <v>7.33</v>
      </c>
      <c r="D1043" s="4">
        <v>128.2</v>
      </c>
    </row>
    <row r="1044" ht="22.5" customHeight="1">
      <c r="B1044" s="4">
        <v>2.0802982E7</v>
      </c>
      <c r="C1044" s="4">
        <v>7.33</v>
      </c>
      <c r="D1044" s="4">
        <v>128.1</v>
      </c>
    </row>
    <row r="1045" ht="22.5" customHeight="1">
      <c r="B1045" s="4">
        <v>2.0822985E7</v>
      </c>
      <c r="C1045" s="4">
        <v>7.33</v>
      </c>
      <c r="D1045" s="4">
        <v>128.2</v>
      </c>
    </row>
    <row r="1046" ht="22.5" customHeight="1">
      <c r="B1046" s="4">
        <v>2.0842988E7</v>
      </c>
      <c r="C1046" s="4">
        <v>7.33</v>
      </c>
      <c r="D1046" s="4">
        <v>128.2</v>
      </c>
    </row>
    <row r="1047" ht="22.5" customHeight="1">
      <c r="B1047" s="4">
        <v>2.0862991E7</v>
      </c>
      <c r="C1047" s="4">
        <v>7.33</v>
      </c>
      <c r="D1047" s="4">
        <v>128.2</v>
      </c>
    </row>
    <row r="1048" ht="22.5" customHeight="1">
      <c r="B1048" s="4">
        <v>2.0882994E7</v>
      </c>
      <c r="C1048" s="4">
        <v>7.33</v>
      </c>
      <c r="D1048" s="4">
        <v>128.1</v>
      </c>
    </row>
    <row r="1049" ht="22.5" customHeight="1">
      <c r="B1049" s="4">
        <v>2.0902996E7</v>
      </c>
      <c r="C1049" s="4">
        <v>7.33</v>
      </c>
      <c r="D1049" s="4">
        <v>128.1</v>
      </c>
    </row>
    <row r="1050" ht="22.5" customHeight="1">
      <c r="B1050" s="4">
        <v>2.0922999E7</v>
      </c>
      <c r="C1050" s="4">
        <v>7.33</v>
      </c>
      <c r="D1050" s="4">
        <v>128.1</v>
      </c>
    </row>
    <row r="1051" ht="22.5" customHeight="1">
      <c r="B1051" s="4">
        <v>2.0943002E7</v>
      </c>
      <c r="C1051" s="4">
        <v>7.33</v>
      </c>
      <c r="D1051" s="4">
        <v>128.0</v>
      </c>
    </row>
    <row r="1052" ht="22.5" customHeight="1">
      <c r="B1052" s="4">
        <v>2.0963006E7</v>
      </c>
      <c r="C1052" s="4">
        <v>7.33</v>
      </c>
      <c r="D1052" s="4">
        <v>128.1</v>
      </c>
    </row>
    <row r="1053" ht="22.5" customHeight="1">
      <c r="B1053" s="4">
        <v>2.0983009E7</v>
      </c>
      <c r="C1053" s="4">
        <v>7.32</v>
      </c>
      <c r="D1053" s="4">
        <v>128.0</v>
      </c>
    </row>
    <row r="1054" ht="22.5" customHeight="1">
      <c r="B1054" s="4">
        <v>2.1003012E7</v>
      </c>
      <c r="C1054" s="4">
        <v>7.32</v>
      </c>
      <c r="D1054" s="4">
        <v>128.0</v>
      </c>
    </row>
    <row r="1055" ht="22.5" customHeight="1">
      <c r="B1055" s="4">
        <v>2.1023014E7</v>
      </c>
      <c r="C1055" s="4">
        <v>7.32</v>
      </c>
      <c r="D1055" s="4">
        <v>128.0</v>
      </c>
    </row>
    <row r="1056" ht="22.5" customHeight="1">
      <c r="B1056" s="4">
        <v>2.1043017E7</v>
      </c>
      <c r="C1056" s="4">
        <v>7.32</v>
      </c>
      <c r="D1056" s="4">
        <v>128.0</v>
      </c>
    </row>
    <row r="1057" ht="22.5" customHeight="1">
      <c r="B1057" s="4">
        <v>2.106302E7</v>
      </c>
      <c r="C1057" s="4">
        <v>7.32</v>
      </c>
      <c r="D1057" s="4">
        <v>128.0</v>
      </c>
    </row>
    <row r="1058" ht="22.5" customHeight="1">
      <c r="B1058" s="4">
        <v>2.1083023E7</v>
      </c>
      <c r="C1058" s="4">
        <v>7.32</v>
      </c>
      <c r="D1058" s="4">
        <v>128.0</v>
      </c>
    </row>
    <row r="1059" ht="22.5" customHeight="1">
      <c r="B1059" s="4">
        <v>2.1103026E7</v>
      </c>
      <c r="C1059" s="4">
        <v>7.32</v>
      </c>
      <c r="D1059" s="4">
        <v>128.0</v>
      </c>
    </row>
    <row r="1060" ht="22.5" customHeight="1">
      <c r="B1060" s="4">
        <v>2.1123028E7</v>
      </c>
      <c r="C1060" s="4">
        <v>7.32</v>
      </c>
      <c r="D1060" s="4">
        <v>128.0</v>
      </c>
    </row>
    <row r="1061" ht="22.5" customHeight="1">
      <c r="B1061" s="4">
        <v>2.1143031E7</v>
      </c>
      <c r="C1061" s="4">
        <v>7.32</v>
      </c>
      <c r="D1061" s="4">
        <v>127.9</v>
      </c>
    </row>
    <row r="1062" ht="22.5" customHeight="1">
      <c r="B1062" s="4">
        <v>2.1163034E7</v>
      </c>
      <c r="C1062" s="4">
        <v>7.32</v>
      </c>
      <c r="D1062" s="4">
        <v>127.9</v>
      </c>
    </row>
    <row r="1063" ht="22.5" customHeight="1">
      <c r="B1063" s="4">
        <v>2.1183037E7</v>
      </c>
      <c r="C1063" s="4">
        <v>7.32</v>
      </c>
      <c r="D1063" s="4">
        <v>127.9</v>
      </c>
    </row>
    <row r="1064" ht="22.5" customHeight="1">
      <c r="B1064" s="4">
        <v>2.120304E7</v>
      </c>
      <c r="C1064" s="4">
        <v>7.32</v>
      </c>
      <c r="D1064" s="4">
        <v>127.9</v>
      </c>
    </row>
    <row r="1065" ht="22.5" customHeight="1">
      <c r="B1065" s="4">
        <v>2.1223043E7</v>
      </c>
      <c r="C1065" s="4">
        <v>7.31</v>
      </c>
      <c r="D1065" s="4">
        <v>127.9</v>
      </c>
    </row>
    <row r="1066" ht="22.5" customHeight="1">
      <c r="B1066" s="4">
        <v>2.1243046E7</v>
      </c>
      <c r="C1066" s="4">
        <v>7.31</v>
      </c>
      <c r="D1066" s="4">
        <v>127.7</v>
      </c>
    </row>
    <row r="1067" ht="22.5" customHeight="1">
      <c r="B1067" s="4">
        <v>2.1263049E7</v>
      </c>
      <c r="C1067" s="4">
        <v>7.31</v>
      </c>
      <c r="D1067" s="4">
        <v>127.8</v>
      </c>
    </row>
    <row r="1068" ht="22.5" customHeight="1">
      <c r="B1068" s="4">
        <v>2.1283052E7</v>
      </c>
      <c r="C1068" s="4">
        <v>7.31</v>
      </c>
      <c r="D1068" s="4">
        <v>127.8</v>
      </c>
    </row>
    <row r="1069" ht="22.5" customHeight="1">
      <c r="B1069" s="4">
        <v>2.1303055E7</v>
      </c>
      <c r="C1069" s="4">
        <v>7.31</v>
      </c>
      <c r="D1069" s="4">
        <v>127.7</v>
      </c>
    </row>
    <row r="1070" ht="22.5" customHeight="1">
      <c r="B1070" s="4">
        <v>2.1323058E7</v>
      </c>
      <c r="C1070" s="4">
        <v>7.31</v>
      </c>
      <c r="D1070" s="4">
        <v>127.7</v>
      </c>
    </row>
    <row r="1071" ht="22.5" customHeight="1">
      <c r="B1071" s="4">
        <v>2.134306E7</v>
      </c>
      <c r="C1071" s="4">
        <v>7.31</v>
      </c>
      <c r="D1071" s="4">
        <v>127.7</v>
      </c>
    </row>
    <row r="1072" ht="22.5" customHeight="1">
      <c r="B1072" s="4">
        <v>2.1363063E7</v>
      </c>
      <c r="C1072" s="4">
        <v>7.3</v>
      </c>
      <c r="D1072" s="4">
        <v>127.6</v>
      </c>
    </row>
    <row r="1073" ht="22.5" customHeight="1">
      <c r="B1073" s="4">
        <v>2.1383066E7</v>
      </c>
      <c r="C1073" s="4">
        <v>7.3</v>
      </c>
      <c r="D1073" s="4">
        <v>127.6</v>
      </c>
    </row>
    <row r="1074" ht="22.5" customHeight="1">
      <c r="B1074" s="4">
        <v>2.1403069E7</v>
      </c>
      <c r="C1074" s="4">
        <v>7.3</v>
      </c>
      <c r="D1074" s="4">
        <v>127.7</v>
      </c>
    </row>
    <row r="1075" ht="22.5" customHeight="1">
      <c r="B1075" s="4">
        <v>2.1423072E7</v>
      </c>
      <c r="C1075" s="4">
        <v>7.3</v>
      </c>
      <c r="D1075" s="4">
        <v>127.6</v>
      </c>
    </row>
    <row r="1076" ht="22.5" customHeight="1">
      <c r="B1076" s="4">
        <v>2.1443075E7</v>
      </c>
      <c r="C1076" s="4">
        <v>7.3</v>
      </c>
      <c r="D1076" s="4">
        <v>127.6</v>
      </c>
    </row>
    <row r="1077" ht="22.5" customHeight="1">
      <c r="B1077" s="4">
        <v>2.1463077E7</v>
      </c>
      <c r="C1077" s="4">
        <v>7.3</v>
      </c>
      <c r="D1077" s="4">
        <v>127.6</v>
      </c>
    </row>
    <row r="1078" ht="22.5" customHeight="1">
      <c r="B1078" s="4">
        <v>2.148308E7</v>
      </c>
      <c r="C1078" s="4">
        <v>7.3</v>
      </c>
      <c r="D1078" s="4">
        <v>127.6</v>
      </c>
    </row>
    <row r="1079" ht="22.5" customHeight="1">
      <c r="B1079" s="4">
        <v>2.1503083E7</v>
      </c>
      <c r="C1079" s="4">
        <v>7.3</v>
      </c>
      <c r="D1079" s="4">
        <v>127.6</v>
      </c>
    </row>
    <row r="1080" ht="22.5" customHeight="1">
      <c r="B1080" s="4">
        <v>2.1523087E7</v>
      </c>
      <c r="C1080" s="4">
        <v>7.3</v>
      </c>
      <c r="D1080" s="4">
        <v>127.5</v>
      </c>
    </row>
    <row r="1081" ht="22.5" customHeight="1">
      <c r="B1081" s="4">
        <v>2.154309E7</v>
      </c>
      <c r="C1081" s="4">
        <v>7.3</v>
      </c>
      <c r="D1081" s="4">
        <v>127.5</v>
      </c>
    </row>
    <row r="1082" ht="22.5" customHeight="1">
      <c r="B1082" s="4">
        <v>2.1563092E7</v>
      </c>
      <c r="C1082" s="4">
        <v>7.29</v>
      </c>
      <c r="D1082" s="4">
        <v>127.5</v>
      </c>
    </row>
    <row r="1083" ht="22.5" customHeight="1">
      <c r="B1083" s="4">
        <v>2.1583095E7</v>
      </c>
      <c r="C1083" s="4">
        <v>7.29</v>
      </c>
      <c r="D1083" s="4">
        <v>127.4</v>
      </c>
    </row>
    <row r="1084" ht="22.5" customHeight="1">
      <c r="B1084" s="4">
        <v>2.1603098E7</v>
      </c>
      <c r="C1084" s="4">
        <v>7.29</v>
      </c>
      <c r="D1084" s="4">
        <v>127.4</v>
      </c>
    </row>
    <row r="1085" ht="22.5" customHeight="1">
      <c r="B1085" s="4">
        <v>2.1623101E7</v>
      </c>
      <c r="C1085" s="4">
        <v>7.29</v>
      </c>
      <c r="D1085" s="4">
        <v>127.4</v>
      </c>
    </row>
    <row r="1086" ht="22.5" customHeight="1">
      <c r="B1086" s="4">
        <v>2.1643104E7</v>
      </c>
      <c r="C1086" s="4">
        <v>7.29</v>
      </c>
      <c r="D1086" s="4">
        <v>127.4</v>
      </c>
    </row>
    <row r="1087" ht="22.5" customHeight="1">
      <c r="B1087" s="4">
        <v>2.1663107E7</v>
      </c>
      <c r="C1087" s="4">
        <v>7.29</v>
      </c>
      <c r="D1087" s="4">
        <v>127.4</v>
      </c>
    </row>
    <row r="1088" ht="22.5" customHeight="1">
      <c r="B1088" s="4">
        <v>2.1683109E7</v>
      </c>
      <c r="C1088" s="4">
        <v>7.28</v>
      </c>
      <c r="D1088" s="4">
        <v>127.3</v>
      </c>
    </row>
    <row r="1089" ht="22.5" customHeight="1">
      <c r="B1089" s="4">
        <v>2.1703112E7</v>
      </c>
      <c r="C1089" s="4">
        <v>7.28</v>
      </c>
      <c r="D1089" s="4">
        <v>127.3</v>
      </c>
    </row>
    <row r="1090" ht="22.5" customHeight="1">
      <c r="B1090" s="4">
        <v>2.1723115E7</v>
      </c>
      <c r="C1090" s="4">
        <v>7.28</v>
      </c>
      <c r="D1090" s="4">
        <v>127.2</v>
      </c>
    </row>
    <row r="1091" ht="22.5" customHeight="1">
      <c r="B1091" s="4">
        <v>2.1743118E7</v>
      </c>
      <c r="C1091" s="4">
        <v>7.28</v>
      </c>
      <c r="D1091" s="4">
        <v>127.2</v>
      </c>
    </row>
    <row r="1092" ht="22.5" customHeight="1">
      <c r="B1092" s="4">
        <v>2.1763121E7</v>
      </c>
      <c r="C1092" s="4">
        <v>7.28</v>
      </c>
      <c r="D1092" s="4">
        <v>127.2</v>
      </c>
    </row>
    <row r="1093" ht="22.5" customHeight="1">
      <c r="B1093" s="4">
        <v>2.1783123E7</v>
      </c>
      <c r="C1093" s="4">
        <v>7.28</v>
      </c>
      <c r="D1093" s="4">
        <v>127.2</v>
      </c>
    </row>
    <row r="1094" ht="22.5" customHeight="1">
      <c r="B1094" s="4">
        <v>2.1803127E7</v>
      </c>
      <c r="C1094" s="4">
        <v>7.28</v>
      </c>
      <c r="D1094" s="4">
        <v>127.1</v>
      </c>
    </row>
    <row r="1095" ht="22.5" customHeight="1">
      <c r="B1095" s="4">
        <v>2.182313E7</v>
      </c>
      <c r="C1095" s="4">
        <v>7.27</v>
      </c>
      <c r="D1095" s="4">
        <v>127.1</v>
      </c>
    </row>
    <row r="1096" ht="22.5" customHeight="1">
      <c r="B1096" s="4">
        <v>2.1843133E7</v>
      </c>
      <c r="C1096" s="4">
        <v>7.27</v>
      </c>
      <c r="D1096" s="4">
        <v>127.1</v>
      </c>
    </row>
    <row r="1097" ht="22.5" customHeight="1">
      <c r="B1097" s="4">
        <v>2.1863136E7</v>
      </c>
      <c r="C1097" s="4">
        <v>7.27</v>
      </c>
      <c r="D1097" s="4">
        <v>127.0</v>
      </c>
    </row>
    <row r="1098" ht="22.5" customHeight="1">
      <c r="B1098" s="4">
        <v>2.1883139E7</v>
      </c>
      <c r="C1098" s="4">
        <v>7.27</v>
      </c>
      <c r="D1098" s="4">
        <v>127.0</v>
      </c>
    </row>
    <row r="1099" ht="22.5" customHeight="1">
      <c r="B1099" s="4">
        <v>2.1903141E7</v>
      </c>
      <c r="C1099" s="4">
        <v>7.26</v>
      </c>
      <c r="D1099" s="4">
        <v>126.9</v>
      </c>
    </row>
    <row r="1100" ht="22.5" customHeight="1">
      <c r="B1100" s="4">
        <v>2.1923144E7</v>
      </c>
      <c r="C1100" s="4">
        <v>7.26</v>
      </c>
      <c r="D1100" s="4">
        <v>126.8</v>
      </c>
    </row>
    <row r="1101" ht="22.5" customHeight="1">
      <c r="B1101" s="4">
        <v>2.1943147E7</v>
      </c>
      <c r="C1101" s="4">
        <v>7.26</v>
      </c>
      <c r="D1101" s="4">
        <v>126.8</v>
      </c>
    </row>
    <row r="1102" ht="22.5" customHeight="1">
      <c r="B1102" s="4">
        <v>2.196315E7</v>
      </c>
      <c r="C1102" s="4">
        <v>7.26</v>
      </c>
      <c r="D1102" s="4">
        <v>126.8</v>
      </c>
    </row>
    <row r="1103" ht="22.5" customHeight="1">
      <c r="B1103" s="4">
        <v>2.1983153E7</v>
      </c>
      <c r="C1103" s="4">
        <v>7.26</v>
      </c>
      <c r="D1103" s="4">
        <v>126.7</v>
      </c>
    </row>
    <row r="1104" ht="22.5" customHeight="1">
      <c r="B1104" s="4">
        <v>2.2003155E7</v>
      </c>
      <c r="C1104" s="4">
        <v>7.26</v>
      </c>
      <c r="D1104" s="4">
        <v>126.7</v>
      </c>
    </row>
    <row r="1105" ht="22.5" customHeight="1">
      <c r="B1105" s="4">
        <v>2.2023158E7</v>
      </c>
      <c r="C1105" s="4">
        <v>7.25</v>
      </c>
      <c r="D1105" s="4">
        <v>126.7</v>
      </c>
    </row>
    <row r="1106" ht="22.5" customHeight="1">
      <c r="B1106" s="4">
        <v>2.2043161E7</v>
      </c>
      <c r="C1106" s="4">
        <v>7.25</v>
      </c>
      <c r="D1106" s="4">
        <v>126.7</v>
      </c>
    </row>
    <row r="1107" ht="22.5" customHeight="1">
      <c r="B1107" s="4">
        <v>2.2063164E7</v>
      </c>
      <c r="C1107" s="4">
        <v>7.25</v>
      </c>
      <c r="D1107" s="4">
        <v>126.6</v>
      </c>
    </row>
    <row r="1108" ht="22.5" customHeight="1">
      <c r="B1108" s="4">
        <v>2.2083168E7</v>
      </c>
      <c r="C1108" s="4">
        <v>7.24</v>
      </c>
      <c r="D1108" s="4">
        <v>126.5</v>
      </c>
    </row>
    <row r="1109" ht="22.5" customHeight="1">
      <c r="B1109" s="4">
        <v>2.2103171E7</v>
      </c>
      <c r="C1109" s="4">
        <v>7.24</v>
      </c>
      <c r="D1109" s="4">
        <v>126.5</v>
      </c>
    </row>
    <row r="1110" ht="22.5" customHeight="1">
      <c r="B1110" s="4">
        <v>2.2123173E7</v>
      </c>
      <c r="C1110" s="4">
        <v>7.24</v>
      </c>
      <c r="D1110" s="4">
        <v>126.5</v>
      </c>
    </row>
    <row r="1111" ht="22.5" customHeight="1">
      <c r="B1111" s="4">
        <v>2.2143176E7</v>
      </c>
      <c r="C1111" s="4">
        <v>7.24</v>
      </c>
      <c r="D1111" s="4">
        <v>126.4</v>
      </c>
    </row>
    <row r="1112" ht="22.5" customHeight="1">
      <c r="B1112" s="4">
        <v>2.2163179E7</v>
      </c>
      <c r="C1112" s="4">
        <v>7.24</v>
      </c>
      <c r="D1112" s="4">
        <v>126.4</v>
      </c>
    </row>
    <row r="1113" ht="22.5" customHeight="1">
      <c r="B1113" s="4">
        <v>2.2183182E7</v>
      </c>
      <c r="C1113" s="4">
        <v>7.23</v>
      </c>
      <c r="D1113" s="4">
        <v>126.3</v>
      </c>
    </row>
    <row r="1114" ht="22.5" customHeight="1">
      <c r="B1114" s="4">
        <v>2.2203185E7</v>
      </c>
      <c r="C1114" s="4">
        <v>7.23</v>
      </c>
      <c r="D1114" s="4">
        <v>126.3</v>
      </c>
    </row>
    <row r="1115" ht="22.5" customHeight="1">
      <c r="B1115" s="4">
        <v>2.2223187E7</v>
      </c>
      <c r="C1115" s="4">
        <v>7.22</v>
      </c>
      <c r="D1115" s="4">
        <v>126.2</v>
      </c>
    </row>
    <row r="1116" ht="22.5" customHeight="1">
      <c r="B1116" s="4">
        <v>2.224319E7</v>
      </c>
      <c r="C1116" s="4">
        <v>7.22</v>
      </c>
      <c r="D1116" s="4">
        <v>126.1</v>
      </c>
    </row>
    <row r="1117" ht="22.5" customHeight="1">
      <c r="B1117" s="4">
        <v>2.2263193E7</v>
      </c>
      <c r="C1117" s="4">
        <v>7.22</v>
      </c>
      <c r="D1117" s="4">
        <v>126.1</v>
      </c>
    </row>
    <row r="1118" ht="22.5" customHeight="1">
      <c r="B1118" s="4">
        <v>2.2283196E7</v>
      </c>
      <c r="C1118" s="4">
        <v>7.22</v>
      </c>
      <c r="D1118" s="4">
        <v>126.0</v>
      </c>
    </row>
    <row r="1119" ht="22.5" customHeight="1">
      <c r="B1119" s="4">
        <v>2.2303199E7</v>
      </c>
      <c r="C1119" s="4">
        <v>7.22</v>
      </c>
      <c r="D1119" s="4">
        <v>126.0</v>
      </c>
    </row>
    <row r="1120" ht="22.5" customHeight="1">
      <c r="B1120" s="4">
        <v>2.2323202E7</v>
      </c>
      <c r="C1120" s="4">
        <v>7.21</v>
      </c>
      <c r="D1120" s="4">
        <v>125.9</v>
      </c>
    </row>
    <row r="1121" ht="22.5" customHeight="1">
      <c r="B1121" s="4">
        <v>2.2343204E7</v>
      </c>
      <c r="C1121" s="4">
        <v>7.21</v>
      </c>
      <c r="D1121" s="4">
        <v>125.9</v>
      </c>
    </row>
    <row r="1122" ht="22.5" customHeight="1">
      <c r="B1122" s="4">
        <v>2.2363208E7</v>
      </c>
      <c r="C1122" s="4">
        <v>7.2</v>
      </c>
      <c r="D1122" s="4">
        <v>125.8</v>
      </c>
    </row>
    <row r="1123" ht="22.5" customHeight="1">
      <c r="B1123" s="4">
        <v>2.2383211E7</v>
      </c>
      <c r="C1123" s="4">
        <v>7.2</v>
      </c>
      <c r="D1123" s="4">
        <v>125.8</v>
      </c>
    </row>
    <row r="1124" ht="22.5" customHeight="1">
      <c r="B1124" s="4">
        <v>2.2403214E7</v>
      </c>
      <c r="C1124" s="4">
        <v>7.2</v>
      </c>
      <c r="D1124" s="4">
        <v>125.7</v>
      </c>
    </row>
    <row r="1125">
      <c r="B1125" s="3" t="s">
        <v>44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38"/>
    <col customWidth="1" min="5" max="5" width="13.75"/>
    <col customWidth="1" min="6" max="6" width="14.63"/>
  </cols>
  <sheetData>
    <row r="4" ht="22.5" customHeight="1">
      <c r="B4" s="1" t="s">
        <v>24</v>
      </c>
      <c r="C4" s="1" t="s">
        <v>46</v>
      </c>
      <c r="D4" s="1" t="s">
        <v>47</v>
      </c>
      <c r="E4" s="1" t="s">
        <v>45</v>
      </c>
      <c r="F4" s="1" t="s">
        <v>25</v>
      </c>
    </row>
    <row r="5" ht="22.5" customHeight="1">
      <c r="B5" s="4">
        <v>4.0</v>
      </c>
      <c r="C5" s="4"/>
      <c r="D5" s="17">
        <f t="shared" ref="D5:D2062" si="1">if(C5&lt;&gt;0,C5+B$21,B5)</f>
        <v>4</v>
      </c>
      <c r="E5" s="4">
        <v>8.23</v>
      </c>
      <c r="F5" s="4">
        <v>140.5</v>
      </c>
    </row>
    <row r="6" ht="22.5" customHeight="1">
      <c r="B6" s="4">
        <v>20005.0</v>
      </c>
      <c r="C6" s="4"/>
      <c r="D6" s="17">
        <f t="shared" si="1"/>
        <v>20005</v>
      </c>
      <c r="E6" s="4">
        <v>8.2</v>
      </c>
      <c r="F6" s="4">
        <v>143.6</v>
      </c>
    </row>
    <row r="7" ht="22.5" customHeight="1">
      <c r="B7" s="4">
        <v>40008.0</v>
      </c>
      <c r="C7" s="4"/>
      <c r="D7" s="17">
        <f t="shared" si="1"/>
        <v>40008</v>
      </c>
      <c r="E7" s="4">
        <v>8.2</v>
      </c>
      <c r="F7" s="4">
        <v>143.6</v>
      </c>
    </row>
    <row r="8" ht="22.5" customHeight="1">
      <c r="B8" s="4">
        <v>60011.0</v>
      </c>
      <c r="C8" s="4"/>
      <c r="D8" s="17">
        <f t="shared" si="1"/>
        <v>60011</v>
      </c>
      <c r="E8" s="4">
        <v>8.18</v>
      </c>
      <c r="F8" s="4">
        <v>143.5</v>
      </c>
    </row>
    <row r="9" ht="22.5" customHeight="1">
      <c r="B9" s="4">
        <v>80014.0</v>
      </c>
      <c r="C9" s="4"/>
      <c r="D9" s="17">
        <f t="shared" si="1"/>
        <v>80014</v>
      </c>
      <c r="E9" s="4">
        <v>8.18</v>
      </c>
      <c r="F9" s="4">
        <v>143.4</v>
      </c>
    </row>
    <row r="10" ht="22.5" customHeight="1">
      <c r="B10" s="4">
        <v>100017.0</v>
      </c>
      <c r="C10" s="4"/>
      <c r="D10" s="17">
        <f t="shared" si="1"/>
        <v>100017</v>
      </c>
      <c r="E10" s="4">
        <v>8.17</v>
      </c>
      <c r="F10" s="4">
        <v>143.4</v>
      </c>
    </row>
    <row r="11" ht="22.5" customHeight="1">
      <c r="B11" s="4">
        <v>120019.0</v>
      </c>
      <c r="C11" s="4"/>
      <c r="D11" s="17">
        <f t="shared" si="1"/>
        <v>120019</v>
      </c>
      <c r="E11" s="4">
        <v>8.17</v>
      </c>
      <c r="F11" s="4">
        <v>143.3</v>
      </c>
    </row>
    <row r="12" ht="22.5" customHeight="1">
      <c r="B12" s="4">
        <v>140022.0</v>
      </c>
      <c r="C12" s="4"/>
      <c r="D12" s="17">
        <f t="shared" si="1"/>
        <v>140022</v>
      </c>
      <c r="E12" s="4">
        <v>8.16</v>
      </c>
      <c r="F12" s="4">
        <v>143.2</v>
      </c>
    </row>
    <row r="13" ht="22.5" customHeight="1">
      <c r="B13" s="4">
        <v>160025.0</v>
      </c>
      <c r="C13" s="4"/>
      <c r="D13" s="17">
        <f t="shared" si="1"/>
        <v>160025</v>
      </c>
      <c r="E13" s="4">
        <v>8.16</v>
      </c>
      <c r="F13" s="4">
        <v>143.1</v>
      </c>
    </row>
    <row r="14" ht="22.5" customHeight="1">
      <c r="B14" s="4">
        <v>180028.0</v>
      </c>
      <c r="C14" s="4"/>
      <c r="D14" s="17">
        <f t="shared" si="1"/>
        <v>180028</v>
      </c>
      <c r="E14" s="4">
        <v>8.15</v>
      </c>
      <c r="F14" s="4">
        <v>143.0</v>
      </c>
    </row>
    <row r="15" ht="22.5" customHeight="1">
      <c r="B15" s="4">
        <v>200031.0</v>
      </c>
      <c r="C15" s="4"/>
      <c r="D15" s="17">
        <f t="shared" si="1"/>
        <v>200031</v>
      </c>
      <c r="E15" s="4">
        <v>8.14</v>
      </c>
      <c r="F15" s="4">
        <v>142.9</v>
      </c>
    </row>
    <row r="16" ht="22.5" customHeight="1">
      <c r="B16" s="4">
        <v>220034.0</v>
      </c>
      <c r="C16" s="4"/>
      <c r="D16" s="17">
        <f t="shared" si="1"/>
        <v>220034</v>
      </c>
      <c r="E16" s="4">
        <v>8.14</v>
      </c>
      <c r="F16" s="4">
        <v>142.9</v>
      </c>
    </row>
    <row r="17" ht="22.5" customHeight="1">
      <c r="B17" s="4">
        <v>240036.0</v>
      </c>
      <c r="C17" s="4"/>
      <c r="D17" s="17">
        <f t="shared" si="1"/>
        <v>240036</v>
      </c>
      <c r="E17" s="4">
        <v>8.14</v>
      </c>
      <c r="F17" s="4">
        <v>142.8</v>
      </c>
    </row>
    <row r="18" ht="22.5" customHeight="1">
      <c r="B18" s="4">
        <v>260039.0</v>
      </c>
      <c r="C18" s="4"/>
      <c r="D18" s="17">
        <f t="shared" si="1"/>
        <v>260039</v>
      </c>
      <c r="E18" s="4">
        <v>8.14</v>
      </c>
      <c r="F18" s="4">
        <v>142.7</v>
      </c>
    </row>
    <row r="19" ht="22.5" customHeight="1">
      <c r="B19" s="4">
        <v>280042.0</v>
      </c>
      <c r="C19" s="4"/>
      <c r="D19" s="17">
        <f t="shared" si="1"/>
        <v>280042</v>
      </c>
      <c r="E19" s="4">
        <v>8.13</v>
      </c>
      <c r="F19" s="4">
        <v>142.6</v>
      </c>
    </row>
    <row r="20" ht="22.5" customHeight="1">
      <c r="B20" s="4">
        <v>300045.0</v>
      </c>
      <c r="C20" s="4"/>
      <c r="D20" s="17">
        <f t="shared" si="1"/>
        <v>300045</v>
      </c>
      <c r="E20" s="4">
        <v>8.13</v>
      </c>
      <c r="F20" s="4">
        <v>142.6</v>
      </c>
    </row>
    <row r="21" ht="22.5" customHeight="1">
      <c r="B21" s="4">
        <v>320048.0</v>
      </c>
      <c r="C21" s="4"/>
      <c r="D21" s="17">
        <f t="shared" si="1"/>
        <v>320048</v>
      </c>
      <c r="E21" s="4">
        <v>8.12</v>
      </c>
      <c r="F21" s="4">
        <v>142.6</v>
      </c>
    </row>
    <row r="22" ht="22.5" customHeight="1">
      <c r="C22" s="4">
        <v>4.0</v>
      </c>
      <c r="D22" s="17">
        <f t="shared" si="1"/>
        <v>320052</v>
      </c>
      <c r="E22" s="4">
        <v>8.14</v>
      </c>
      <c r="F22" s="4">
        <v>139.1</v>
      </c>
    </row>
    <row r="23" ht="22.5" customHeight="1">
      <c r="C23" s="4">
        <v>20005.0</v>
      </c>
      <c r="D23" s="17">
        <f t="shared" si="1"/>
        <v>340053</v>
      </c>
      <c r="E23" s="4">
        <v>8.12</v>
      </c>
      <c r="F23" s="4">
        <v>142.2</v>
      </c>
    </row>
    <row r="24" ht="22.5" customHeight="1">
      <c r="C24" s="4">
        <v>40008.0</v>
      </c>
      <c r="D24" s="17">
        <f t="shared" si="1"/>
        <v>360056</v>
      </c>
      <c r="E24" s="4">
        <v>8.11</v>
      </c>
      <c r="F24" s="4">
        <v>142.2</v>
      </c>
    </row>
    <row r="25" ht="22.5" customHeight="1">
      <c r="C25" s="4">
        <v>60011.0</v>
      </c>
      <c r="D25" s="17">
        <f t="shared" si="1"/>
        <v>380059</v>
      </c>
      <c r="E25" s="4">
        <v>8.11</v>
      </c>
      <c r="F25" s="4">
        <v>142.2</v>
      </c>
    </row>
    <row r="26" ht="22.5" customHeight="1">
      <c r="C26" s="4">
        <v>80014.0</v>
      </c>
      <c r="D26" s="17">
        <f t="shared" si="1"/>
        <v>400062</v>
      </c>
      <c r="E26" s="4">
        <v>8.1</v>
      </c>
      <c r="F26" s="4">
        <v>142.1</v>
      </c>
    </row>
    <row r="27" ht="22.5" customHeight="1">
      <c r="C27" s="4">
        <v>100017.0</v>
      </c>
      <c r="D27" s="17">
        <f t="shared" si="1"/>
        <v>420065</v>
      </c>
      <c r="E27" s="4">
        <v>8.1</v>
      </c>
      <c r="F27" s="4">
        <v>142.1</v>
      </c>
    </row>
    <row r="28" ht="22.5" customHeight="1">
      <c r="C28" s="4">
        <v>120019.0</v>
      </c>
      <c r="D28" s="17">
        <f t="shared" si="1"/>
        <v>440067</v>
      </c>
      <c r="E28" s="4">
        <v>8.1</v>
      </c>
      <c r="F28" s="4">
        <v>142.1</v>
      </c>
    </row>
    <row r="29" ht="22.5" customHeight="1">
      <c r="C29" s="4">
        <v>140022.0</v>
      </c>
      <c r="D29" s="17">
        <f t="shared" si="1"/>
        <v>460070</v>
      </c>
      <c r="E29" s="4">
        <v>8.1</v>
      </c>
      <c r="F29" s="4">
        <v>142.1</v>
      </c>
    </row>
    <row r="30" ht="22.5" customHeight="1">
      <c r="C30" s="4">
        <v>160025.0</v>
      </c>
      <c r="D30" s="17">
        <f t="shared" si="1"/>
        <v>480073</v>
      </c>
      <c r="E30" s="4">
        <v>8.09</v>
      </c>
      <c r="F30" s="4">
        <v>142.0</v>
      </c>
    </row>
    <row r="31" ht="22.5" customHeight="1">
      <c r="C31" s="4">
        <v>180028.0</v>
      </c>
      <c r="D31" s="17">
        <f t="shared" si="1"/>
        <v>500076</v>
      </c>
      <c r="E31" s="4">
        <v>8.09</v>
      </c>
      <c r="F31" s="4">
        <v>141.9</v>
      </c>
    </row>
    <row r="32" ht="22.5" customHeight="1">
      <c r="C32" s="4">
        <v>200031.0</v>
      </c>
      <c r="D32" s="17">
        <f t="shared" si="1"/>
        <v>520079</v>
      </c>
      <c r="E32" s="4">
        <v>8.09</v>
      </c>
      <c r="F32" s="4">
        <v>142.0</v>
      </c>
    </row>
    <row r="33" ht="22.5" customHeight="1">
      <c r="C33" s="4">
        <v>220034.0</v>
      </c>
      <c r="D33" s="17">
        <f t="shared" si="1"/>
        <v>540082</v>
      </c>
      <c r="E33" s="4">
        <v>8.09</v>
      </c>
      <c r="F33" s="4">
        <v>141.9</v>
      </c>
    </row>
    <row r="34" ht="22.5" customHeight="1">
      <c r="C34" s="4">
        <v>240036.0</v>
      </c>
      <c r="D34" s="17">
        <f t="shared" si="1"/>
        <v>560084</v>
      </c>
      <c r="E34" s="4">
        <v>8.08</v>
      </c>
      <c r="F34" s="4">
        <v>141.9</v>
      </c>
    </row>
    <row r="35" ht="22.5" customHeight="1">
      <c r="C35" s="4">
        <v>260039.0</v>
      </c>
      <c r="D35" s="17">
        <f t="shared" si="1"/>
        <v>580087</v>
      </c>
      <c r="E35" s="4">
        <v>8.08</v>
      </c>
      <c r="F35" s="4">
        <v>141.8</v>
      </c>
    </row>
    <row r="36" ht="22.5" customHeight="1">
      <c r="C36" s="4">
        <v>280042.0</v>
      </c>
      <c r="D36" s="17">
        <f t="shared" si="1"/>
        <v>600090</v>
      </c>
      <c r="E36" s="4">
        <v>8.08</v>
      </c>
      <c r="F36" s="4">
        <v>141.9</v>
      </c>
    </row>
    <row r="37" ht="22.5" customHeight="1">
      <c r="C37" s="4">
        <v>300045.0</v>
      </c>
      <c r="D37" s="17">
        <f t="shared" si="1"/>
        <v>620093</v>
      </c>
      <c r="E37" s="4">
        <v>8.08</v>
      </c>
      <c r="F37" s="4">
        <v>141.9</v>
      </c>
    </row>
    <row r="38" ht="22.5" customHeight="1">
      <c r="C38" s="4">
        <v>320048.0</v>
      </c>
      <c r="D38" s="17">
        <f t="shared" si="1"/>
        <v>640096</v>
      </c>
      <c r="E38" s="4">
        <v>8.08</v>
      </c>
      <c r="F38" s="4">
        <v>141.7</v>
      </c>
    </row>
    <row r="39" ht="22.5" customHeight="1">
      <c r="C39" s="4">
        <v>340050.0</v>
      </c>
      <c r="D39" s="17">
        <f t="shared" si="1"/>
        <v>660098</v>
      </c>
      <c r="E39" s="4">
        <v>8.08</v>
      </c>
      <c r="F39" s="4">
        <v>141.8</v>
      </c>
    </row>
    <row r="40" ht="22.5" customHeight="1">
      <c r="C40" s="4">
        <v>360053.0</v>
      </c>
      <c r="D40" s="17">
        <f t="shared" si="1"/>
        <v>680101</v>
      </c>
      <c r="E40" s="4">
        <v>8.08</v>
      </c>
      <c r="F40" s="4">
        <v>141.7</v>
      </c>
    </row>
    <row r="41" ht="22.5" customHeight="1">
      <c r="C41" s="4">
        <v>380056.0</v>
      </c>
      <c r="D41" s="17">
        <f t="shared" si="1"/>
        <v>700104</v>
      </c>
      <c r="E41" s="4">
        <v>8.07</v>
      </c>
      <c r="F41" s="4">
        <v>141.6</v>
      </c>
    </row>
    <row r="42" ht="22.5" customHeight="1">
      <c r="C42" s="4">
        <v>400059.0</v>
      </c>
      <c r="D42" s="17">
        <f t="shared" si="1"/>
        <v>720107</v>
      </c>
      <c r="E42" s="4">
        <v>8.07</v>
      </c>
      <c r="F42" s="4">
        <v>141.7</v>
      </c>
    </row>
    <row r="43" ht="22.5" customHeight="1">
      <c r="C43" s="4">
        <v>420062.0</v>
      </c>
      <c r="D43" s="17">
        <f t="shared" si="1"/>
        <v>740110</v>
      </c>
      <c r="E43" s="4">
        <v>8.07</v>
      </c>
      <c r="F43" s="4">
        <v>141.6</v>
      </c>
    </row>
    <row r="44" ht="22.5" customHeight="1">
      <c r="C44" s="4">
        <v>440065.0</v>
      </c>
      <c r="D44" s="17">
        <f t="shared" si="1"/>
        <v>760113</v>
      </c>
      <c r="E44" s="4">
        <v>8.07</v>
      </c>
      <c r="F44" s="4">
        <v>141.7</v>
      </c>
    </row>
    <row r="45" ht="22.5" customHeight="1">
      <c r="C45" s="4">
        <v>460067.0</v>
      </c>
      <c r="D45" s="17">
        <f t="shared" si="1"/>
        <v>780115</v>
      </c>
      <c r="E45" s="4">
        <v>8.07</v>
      </c>
      <c r="F45" s="4">
        <v>141.6</v>
      </c>
    </row>
    <row r="46" ht="22.5" customHeight="1">
      <c r="C46" s="4">
        <v>480070.0</v>
      </c>
      <c r="D46" s="17">
        <f t="shared" si="1"/>
        <v>800118</v>
      </c>
      <c r="E46" s="4">
        <v>8.06</v>
      </c>
      <c r="F46" s="4">
        <v>141.6</v>
      </c>
    </row>
    <row r="47" ht="22.5" customHeight="1">
      <c r="C47" s="4">
        <v>500073.0</v>
      </c>
      <c r="D47" s="17">
        <f t="shared" si="1"/>
        <v>820121</v>
      </c>
      <c r="E47" s="4">
        <v>8.06</v>
      </c>
      <c r="F47" s="4">
        <v>141.6</v>
      </c>
    </row>
    <row r="48" ht="22.5" customHeight="1">
      <c r="C48" s="4">
        <v>520076.0</v>
      </c>
      <c r="D48" s="17">
        <f t="shared" si="1"/>
        <v>840124</v>
      </c>
      <c r="E48" s="4">
        <v>8.06</v>
      </c>
      <c r="F48" s="4">
        <v>141.5</v>
      </c>
    </row>
    <row r="49" ht="22.5" customHeight="1">
      <c r="C49" s="4">
        <v>540078.0</v>
      </c>
      <c r="D49" s="17">
        <f t="shared" si="1"/>
        <v>860126</v>
      </c>
      <c r="E49" s="4">
        <v>8.06</v>
      </c>
      <c r="F49" s="4">
        <v>141.5</v>
      </c>
    </row>
    <row r="50" ht="22.5" customHeight="1">
      <c r="C50" s="4">
        <v>560080.0</v>
      </c>
      <c r="D50" s="17">
        <f t="shared" si="1"/>
        <v>880128</v>
      </c>
      <c r="E50" s="4">
        <v>8.06</v>
      </c>
      <c r="F50" s="4">
        <v>141.5</v>
      </c>
    </row>
    <row r="51" ht="22.5" customHeight="1">
      <c r="C51" s="4">
        <v>580083.0</v>
      </c>
      <c r="D51" s="17">
        <f t="shared" si="1"/>
        <v>900131</v>
      </c>
      <c r="E51" s="4">
        <v>8.06</v>
      </c>
      <c r="F51" s="4">
        <v>141.5</v>
      </c>
    </row>
    <row r="52" ht="22.5" customHeight="1">
      <c r="C52" s="4">
        <v>600086.0</v>
      </c>
      <c r="D52" s="17">
        <f t="shared" si="1"/>
        <v>920134</v>
      </c>
      <c r="E52" s="4">
        <v>8.06</v>
      </c>
      <c r="F52" s="4">
        <v>141.5</v>
      </c>
    </row>
    <row r="53" ht="22.5" customHeight="1">
      <c r="C53" s="4">
        <v>620089.0</v>
      </c>
      <c r="D53" s="17">
        <f t="shared" si="1"/>
        <v>940137</v>
      </c>
      <c r="E53" s="4">
        <v>8.06</v>
      </c>
      <c r="F53" s="4">
        <v>141.4</v>
      </c>
    </row>
    <row r="54" ht="22.5" customHeight="1">
      <c r="C54" s="4">
        <v>640092.0</v>
      </c>
      <c r="D54" s="17">
        <f t="shared" si="1"/>
        <v>960140</v>
      </c>
      <c r="E54" s="4">
        <v>8.06</v>
      </c>
      <c r="F54" s="4">
        <v>141.5</v>
      </c>
    </row>
    <row r="55" ht="22.5" customHeight="1">
      <c r="C55" s="4">
        <v>660094.0</v>
      </c>
      <c r="D55" s="17">
        <f t="shared" si="1"/>
        <v>980142</v>
      </c>
      <c r="E55" s="4">
        <v>8.06</v>
      </c>
      <c r="F55" s="4">
        <v>141.4</v>
      </c>
    </row>
    <row r="56" ht="22.5" customHeight="1">
      <c r="C56" s="4">
        <v>680097.0</v>
      </c>
      <c r="D56" s="17">
        <f t="shared" si="1"/>
        <v>1000145</v>
      </c>
      <c r="E56" s="4">
        <v>8.06</v>
      </c>
      <c r="F56" s="4">
        <v>141.3</v>
      </c>
    </row>
    <row r="57" ht="22.5" customHeight="1">
      <c r="C57" s="4">
        <v>700100.0</v>
      </c>
      <c r="D57" s="17">
        <f t="shared" si="1"/>
        <v>1020148</v>
      </c>
      <c r="E57" s="4">
        <v>8.05</v>
      </c>
      <c r="F57" s="4">
        <v>141.3</v>
      </c>
    </row>
    <row r="58" ht="22.5" customHeight="1">
      <c r="C58" s="4">
        <v>720103.0</v>
      </c>
      <c r="D58" s="17">
        <f t="shared" si="1"/>
        <v>1040151</v>
      </c>
      <c r="E58" s="4">
        <v>8.05</v>
      </c>
      <c r="F58" s="4">
        <v>141.3</v>
      </c>
    </row>
    <row r="59" ht="22.5" customHeight="1">
      <c r="C59" s="4">
        <v>740106.0</v>
      </c>
      <c r="D59" s="17">
        <f t="shared" si="1"/>
        <v>1060154</v>
      </c>
      <c r="E59" s="4">
        <v>8.05</v>
      </c>
      <c r="F59" s="4">
        <v>141.3</v>
      </c>
    </row>
    <row r="60" ht="22.5" customHeight="1">
      <c r="C60" s="4">
        <v>760109.0</v>
      </c>
      <c r="D60" s="17">
        <f t="shared" si="1"/>
        <v>1080157</v>
      </c>
      <c r="E60" s="4">
        <v>8.05</v>
      </c>
      <c r="F60" s="4">
        <v>141.3</v>
      </c>
    </row>
    <row r="61" ht="22.5" customHeight="1">
      <c r="C61" s="4">
        <v>780111.0</v>
      </c>
      <c r="D61" s="17">
        <f t="shared" si="1"/>
        <v>1100159</v>
      </c>
      <c r="E61" s="4">
        <v>8.05</v>
      </c>
      <c r="F61" s="4">
        <v>141.3</v>
      </c>
    </row>
    <row r="62" ht="22.5" customHeight="1">
      <c r="C62" s="4">
        <v>800114.0</v>
      </c>
      <c r="D62" s="17">
        <f t="shared" si="1"/>
        <v>1120162</v>
      </c>
      <c r="E62" s="4">
        <v>8.05</v>
      </c>
      <c r="F62" s="4">
        <v>141.3</v>
      </c>
    </row>
    <row r="63" ht="22.5" customHeight="1">
      <c r="C63" s="4">
        <v>820117.0</v>
      </c>
      <c r="D63" s="17">
        <f t="shared" si="1"/>
        <v>1140165</v>
      </c>
      <c r="E63" s="4">
        <v>8.05</v>
      </c>
      <c r="F63" s="4">
        <v>141.3</v>
      </c>
    </row>
    <row r="64" ht="22.5" customHeight="1">
      <c r="C64" s="4">
        <v>840120.0</v>
      </c>
      <c r="D64" s="17">
        <f t="shared" si="1"/>
        <v>1160168</v>
      </c>
      <c r="E64" s="4">
        <v>8.05</v>
      </c>
      <c r="F64" s="4">
        <v>141.2</v>
      </c>
    </row>
    <row r="65" ht="22.5" customHeight="1">
      <c r="C65" s="4">
        <v>860123.0</v>
      </c>
      <c r="D65" s="17">
        <f t="shared" si="1"/>
        <v>1180171</v>
      </c>
      <c r="E65" s="4">
        <v>8.04</v>
      </c>
      <c r="F65" s="4">
        <v>141.2</v>
      </c>
    </row>
    <row r="66" ht="22.5" customHeight="1">
      <c r="C66" s="4">
        <v>880125.0</v>
      </c>
      <c r="D66" s="17">
        <f t="shared" si="1"/>
        <v>1200173</v>
      </c>
      <c r="E66" s="4">
        <v>8.05</v>
      </c>
      <c r="F66" s="4">
        <v>141.2</v>
      </c>
    </row>
    <row r="67" ht="22.5" customHeight="1">
      <c r="C67" s="4">
        <v>900128.0</v>
      </c>
      <c r="D67" s="17">
        <f t="shared" si="1"/>
        <v>1220176</v>
      </c>
      <c r="E67" s="4">
        <v>8.04</v>
      </c>
      <c r="F67" s="4">
        <v>141.2</v>
      </c>
    </row>
    <row r="68" ht="22.5" customHeight="1">
      <c r="C68" s="4">
        <v>920131.0</v>
      </c>
      <c r="D68" s="17">
        <f t="shared" si="1"/>
        <v>1240179</v>
      </c>
      <c r="E68" s="4">
        <v>8.04</v>
      </c>
      <c r="F68" s="4">
        <v>141.2</v>
      </c>
    </row>
    <row r="69" ht="22.5" customHeight="1">
      <c r="C69" s="4">
        <v>940134.0</v>
      </c>
      <c r="D69" s="17">
        <f t="shared" si="1"/>
        <v>1260182</v>
      </c>
      <c r="E69" s="4">
        <v>8.04</v>
      </c>
      <c r="F69" s="4">
        <v>141.2</v>
      </c>
    </row>
    <row r="70" ht="22.5" customHeight="1">
      <c r="C70" s="4">
        <v>960137.0</v>
      </c>
      <c r="D70" s="17">
        <f t="shared" si="1"/>
        <v>1280185</v>
      </c>
      <c r="E70" s="4">
        <v>8.04</v>
      </c>
      <c r="F70" s="4">
        <v>141.1</v>
      </c>
    </row>
    <row r="71" ht="22.5" customHeight="1">
      <c r="C71" s="4">
        <v>980140.0</v>
      </c>
      <c r="D71" s="17">
        <f t="shared" si="1"/>
        <v>1300188</v>
      </c>
      <c r="E71" s="4">
        <v>8.04</v>
      </c>
      <c r="F71" s="4">
        <v>141.1</v>
      </c>
    </row>
    <row r="72" ht="22.5" customHeight="1">
      <c r="C72" s="4">
        <v>1000142.0</v>
      </c>
      <c r="D72" s="17">
        <f t="shared" si="1"/>
        <v>1320190</v>
      </c>
      <c r="E72" s="4">
        <v>8.04</v>
      </c>
      <c r="F72" s="4">
        <v>141.2</v>
      </c>
    </row>
    <row r="73" ht="22.5" customHeight="1">
      <c r="C73" s="4">
        <v>1020145.0</v>
      </c>
      <c r="D73" s="17">
        <f t="shared" si="1"/>
        <v>1340193</v>
      </c>
      <c r="E73" s="4">
        <v>8.04</v>
      </c>
      <c r="F73" s="4">
        <v>141.1</v>
      </c>
    </row>
    <row r="74" ht="22.5" customHeight="1">
      <c r="C74" s="4">
        <v>1040148.0</v>
      </c>
      <c r="D74" s="17">
        <f t="shared" si="1"/>
        <v>1360196</v>
      </c>
      <c r="E74" s="4">
        <v>8.04</v>
      </c>
      <c r="F74" s="4">
        <v>141.1</v>
      </c>
    </row>
    <row r="75" ht="22.5" customHeight="1">
      <c r="C75" s="4">
        <v>1060151.0</v>
      </c>
      <c r="D75" s="17">
        <f t="shared" si="1"/>
        <v>1380199</v>
      </c>
      <c r="E75" s="4">
        <v>8.04</v>
      </c>
      <c r="F75" s="4">
        <v>141.1</v>
      </c>
    </row>
    <row r="76" ht="22.5" customHeight="1">
      <c r="C76" s="4">
        <v>1080154.0</v>
      </c>
      <c r="D76" s="17">
        <f t="shared" si="1"/>
        <v>1400202</v>
      </c>
      <c r="E76" s="4">
        <v>8.04</v>
      </c>
      <c r="F76" s="4">
        <v>141.1</v>
      </c>
    </row>
    <row r="77" ht="22.5" customHeight="1">
      <c r="C77" s="4">
        <v>1100156.0</v>
      </c>
      <c r="D77" s="17">
        <f t="shared" si="1"/>
        <v>1420204</v>
      </c>
      <c r="E77" s="4">
        <v>8.04</v>
      </c>
      <c r="F77" s="4">
        <v>141.1</v>
      </c>
    </row>
    <row r="78" ht="22.5" customHeight="1">
      <c r="C78" s="4">
        <v>1120159.0</v>
      </c>
      <c r="D78" s="17">
        <f t="shared" si="1"/>
        <v>1440207</v>
      </c>
      <c r="E78" s="4">
        <v>8.04</v>
      </c>
      <c r="F78" s="4">
        <v>141.1</v>
      </c>
    </row>
    <row r="79" ht="22.5" customHeight="1">
      <c r="C79" s="4">
        <v>1140162.0</v>
      </c>
      <c r="D79" s="17">
        <f t="shared" si="1"/>
        <v>1460210</v>
      </c>
      <c r="E79" s="4">
        <v>8.04</v>
      </c>
      <c r="F79" s="4">
        <v>141.0</v>
      </c>
    </row>
    <row r="80" ht="22.5" customHeight="1">
      <c r="C80" s="4">
        <v>1160165.0</v>
      </c>
      <c r="D80" s="17">
        <f t="shared" si="1"/>
        <v>1480213</v>
      </c>
      <c r="E80" s="4">
        <v>8.04</v>
      </c>
      <c r="F80" s="4">
        <v>141.0</v>
      </c>
    </row>
    <row r="81" ht="22.5" customHeight="1">
      <c r="C81" s="4">
        <v>1180168.0</v>
      </c>
      <c r="D81" s="17">
        <f t="shared" si="1"/>
        <v>1500216</v>
      </c>
      <c r="E81" s="4">
        <v>8.03</v>
      </c>
      <c r="F81" s="4">
        <v>141.0</v>
      </c>
    </row>
    <row r="82" ht="22.5" customHeight="1">
      <c r="C82" s="4">
        <v>1200171.0</v>
      </c>
      <c r="D82" s="17">
        <f t="shared" si="1"/>
        <v>1520219</v>
      </c>
      <c r="E82" s="4">
        <v>8.03</v>
      </c>
      <c r="F82" s="4">
        <v>141.0</v>
      </c>
    </row>
    <row r="83" ht="22.5" customHeight="1">
      <c r="C83" s="4">
        <v>1220173.0</v>
      </c>
      <c r="D83" s="17">
        <f t="shared" si="1"/>
        <v>1540221</v>
      </c>
      <c r="E83" s="4">
        <v>8.03</v>
      </c>
      <c r="F83" s="4">
        <v>141.0</v>
      </c>
    </row>
    <row r="84" ht="22.5" customHeight="1">
      <c r="C84" s="4">
        <v>1240176.0</v>
      </c>
      <c r="D84" s="17">
        <f t="shared" si="1"/>
        <v>1560224</v>
      </c>
      <c r="E84" s="4">
        <v>8.03</v>
      </c>
      <c r="F84" s="4">
        <v>140.9</v>
      </c>
    </row>
    <row r="85" ht="22.5" customHeight="1">
      <c r="C85" s="4">
        <v>1260179.0</v>
      </c>
      <c r="D85" s="17">
        <f t="shared" si="1"/>
        <v>1580227</v>
      </c>
      <c r="E85" s="4">
        <v>8.03</v>
      </c>
      <c r="F85" s="4">
        <v>140.9</v>
      </c>
    </row>
    <row r="86" ht="22.5" customHeight="1">
      <c r="C86" s="4">
        <v>1280182.0</v>
      </c>
      <c r="D86" s="17">
        <f t="shared" si="1"/>
        <v>1600230</v>
      </c>
      <c r="E86" s="4">
        <v>8.03</v>
      </c>
      <c r="F86" s="4">
        <v>140.9</v>
      </c>
    </row>
    <row r="87" ht="22.5" customHeight="1">
      <c r="C87" s="4">
        <v>1300185.0</v>
      </c>
      <c r="D87" s="17">
        <f t="shared" si="1"/>
        <v>1620233</v>
      </c>
      <c r="E87" s="4">
        <v>8.03</v>
      </c>
      <c r="F87" s="4">
        <v>140.9</v>
      </c>
    </row>
    <row r="88" ht="22.5" customHeight="1">
      <c r="C88" s="4">
        <v>1320187.0</v>
      </c>
      <c r="D88" s="17">
        <f t="shared" si="1"/>
        <v>1640235</v>
      </c>
      <c r="E88" s="4">
        <v>8.03</v>
      </c>
      <c r="F88" s="4">
        <v>140.9</v>
      </c>
    </row>
    <row r="89" ht="22.5" customHeight="1">
      <c r="C89" s="4">
        <v>1340190.0</v>
      </c>
      <c r="D89" s="17">
        <f t="shared" si="1"/>
        <v>1660238</v>
      </c>
      <c r="E89" s="4">
        <v>8.03</v>
      </c>
      <c r="F89" s="4">
        <v>140.9</v>
      </c>
    </row>
    <row r="90" ht="22.5" customHeight="1">
      <c r="C90" s="4">
        <v>1360193.0</v>
      </c>
      <c r="D90" s="17">
        <f t="shared" si="1"/>
        <v>1680241</v>
      </c>
      <c r="E90" s="4">
        <v>8.03</v>
      </c>
      <c r="F90" s="4">
        <v>140.9</v>
      </c>
    </row>
    <row r="91" ht="22.5" customHeight="1">
      <c r="C91" s="4">
        <v>1380196.0</v>
      </c>
      <c r="D91" s="17">
        <f t="shared" si="1"/>
        <v>1700244</v>
      </c>
      <c r="E91" s="4">
        <v>8.03</v>
      </c>
      <c r="F91" s="4">
        <v>140.9</v>
      </c>
    </row>
    <row r="92" ht="22.5" customHeight="1">
      <c r="C92" s="4">
        <v>1400199.0</v>
      </c>
      <c r="D92" s="17">
        <f t="shared" si="1"/>
        <v>1720247</v>
      </c>
      <c r="E92" s="4">
        <v>8.02</v>
      </c>
      <c r="F92" s="4">
        <v>140.9</v>
      </c>
    </row>
    <row r="93" ht="22.5" customHeight="1">
      <c r="C93" s="4">
        <v>1420201.0</v>
      </c>
      <c r="D93" s="17">
        <f t="shared" si="1"/>
        <v>1740249</v>
      </c>
      <c r="E93" s="4">
        <v>8.03</v>
      </c>
      <c r="F93" s="4">
        <v>140.9</v>
      </c>
    </row>
    <row r="94" ht="22.5" customHeight="1">
      <c r="C94" s="4">
        <v>1440204.0</v>
      </c>
      <c r="D94" s="17">
        <f t="shared" si="1"/>
        <v>1760252</v>
      </c>
      <c r="E94" s="4">
        <v>8.03</v>
      </c>
      <c r="F94" s="4">
        <v>140.9</v>
      </c>
    </row>
    <row r="95" ht="22.5" customHeight="1">
      <c r="C95" s="4">
        <v>1460207.0</v>
      </c>
      <c r="D95" s="17">
        <f t="shared" si="1"/>
        <v>1780255</v>
      </c>
      <c r="E95" s="4">
        <v>8.02</v>
      </c>
      <c r="F95" s="4">
        <v>140.8</v>
      </c>
    </row>
    <row r="96" ht="22.5" customHeight="1">
      <c r="C96" s="4">
        <v>1480211.0</v>
      </c>
      <c r="D96" s="17">
        <f t="shared" si="1"/>
        <v>1800259</v>
      </c>
      <c r="E96" s="4">
        <v>8.02</v>
      </c>
      <c r="F96" s="4">
        <v>140.9</v>
      </c>
    </row>
    <row r="97" ht="22.5" customHeight="1">
      <c r="C97" s="4">
        <v>1500214.0</v>
      </c>
      <c r="D97" s="17">
        <f t="shared" si="1"/>
        <v>1820262</v>
      </c>
      <c r="E97" s="4">
        <v>8.02</v>
      </c>
      <c r="F97" s="4">
        <v>140.8</v>
      </c>
    </row>
    <row r="98" ht="22.5" customHeight="1">
      <c r="C98" s="4">
        <v>1520217.0</v>
      </c>
      <c r="D98" s="17">
        <f t="shared" si="1"/>
        <v>1840265</v>
      </c>
      <c r="E98" s="4">
        <v>8.02</v>
      </c>
      <c r="F98" s="4">
        <v>140.8</v>
      </c>
    </row>
    <row r="99" ht="22.5" customHeight="1">
      <c r="C99" s="4">
        <v>1540219.0</v>
      </c>
      <c r="D99" s="17">
        <f t="shared" si="1"/>
        <v>1860267</v>
      </c>
      <c r="E99" s="4">
        <v>8.02</v>
      </c>
      <c r="F99" s="4">
        <v>140.8</v>
      </c>
    </row>
    <row r="100" ht="22.5" customHeight="1">
      <c r="C100" s="4">
        <v>1560222.0</v>
      </c>
      <c r="D100" s="17">
        <f t="shared" si="1"/>
        <v>1880270</v>
      </c>
      <c r="E100" s="4">
        <v>8.02</v>
      </c>
      <c r="F100" s="4">
        <v>140.8</v>
      </c>
    </row>
    <row r="101" ht="22.5" customHeight="1">
      <c r="C101" s="4">
        <v>1580225.0</v>
      </c>
      <c r="D101" s="17">
        <f t="shared" si="1"/>
        <v>1900273</v>
      </c>
      <c r="E101" s="4">
        <v>8.02</v>
      </c>
      <c r="F101" s="4">
        <v>140.7</v>
      </c>
    </row>
    <row r="102" ht="22.5" customHeight="1">
      <c r="C102" s="4">
        <v>1600228.0</v>
      </c>
      <c r="D102" s="17">
        <f t="shared" si="1"/>
        <v>1920276</v>
      </c>
      <c r="E102" s="4">
        <v>8.02</v>
      </c>
      <c r="F102" s="4">
        <v>140.7</v>
      </c>
    </row>
    <row r="103" ht="22.5" customHeight="1">
      <c r="C103" s="4">
        <v>1620231.0</v>
      </c>
      <c r="D103" s="17">
        <f t="shared" si="1"/>
        <v>1940279</v>
      </c>
      <c r="E103" s="4">
        <v>8.02</v>
      </c>
      <c r="F103" s="4">
        <v>140.7</v>
      </c>
    </row>
    <row r="104" ht="22.5" customHeight="1">
      <c r="C104" s="4">
        <v>1640233.0</v>
      </c>
      <c r="D104" s="17">
        <f t="shared" si="1"/>
        <v>1960281</v>
      </c>
      <c r="E104" s="4">
        <v>8.02</v>
      </c>
      <c r="F104" s="4">
        <v>140.7</v>
      </c>
    </row>
    <row r="105" ht="22.5" customHeight="1">
      <c r="C105" s="4">
        <v>1660236.0</v>
      </c>
      <c r="D105" s="17">
        <f t="shared" si="1"/>
        <v>1980284</v>
      </c>
      <c r="E105" s="4">
        <v>8.02</v>
      </c>
      <c r="F105" s="4">
        <v>140.7</v>
      </c>
    </row>
    <row r="106" ht="22.5" customHeight="1">
      <c r="C106" s="4">
        <v>1680239.0</v>
      </c>
      <c r="D106" s="17">
        <f t="shared" si="1"/>
        <v>2000287</v>
      </c>
      <c r="E106" s="4">
        <v>8.02</v>
      </c>
      <c r="F106" s="4">
        <v>140.7</v>
      </c>
    </row>
    <row r="107" ht="22.5" customHeight="1">
      <c r="C107" s="4">
        <v>1700242.0</v>
      </c>
      <c r="D107" s="17">
        <f t="shared" si="1"/>
        <v>2020290</v>
      </c>
      <c r="E107" s="4">
        <v>8.02</v>
      </c>
      <c r="F107" s="4">
        <v>140.7</v>
      </c>
    </row>
    <row r="108" ht="22.5" customHeight="1">
      <c r="C108" s="4">
        <v>1720245.0</v>
      </c>
      <c r="D108" s="17">
        <f t="shared" si="1"/>
        <v>2040293</v>
      </c>
      <c r="E108" s="4">
        <v>8.02</v>
      </c>
      <c r="F108" s="4">
        <v>140.7</v>
      </c>
    </row>
    <row r="109" ht="22.5" customHeight="1">
      <c r="C109" s="4">
        <v>1740248.0</v>
      </c>
      <c r="D109" s="17">
        <f t="shared" si="1"/>
        <v>2060296</v>
      </c>
      <c r="E109" s="4">
        <v>8.02</v>
      </c>
      <c r="F109" s="4">
        <v>140.7</v>
      </c>
    </row>
    <row r="110" ht="22.5" customHeight="1">
      <c r="C110" s="4">
        <v>1760250.0</v>
      </c>
      <c r="D110" s="17">
        <f t="shared" si="1"/>
        <v>2080298</v>
      </c>
      <c r="E110" s="4">
        <v>8.02</v>
      </c>
      <c r="F110" s="4">
        <v>140.8</v>
      </c>
    </row>
    <row r="111" ht="22.5" customHeight="1">
      <c r="C111" s="4">
        <v>1780253.0</v>
      </c>
      <c r="D111" s="17">
        <f t="shared" si="1"/>
        <v>2100301</v>
      </c>
      <c r="E111" s="4">
        <v>8.02</v>
      </c>
      <c r="F111" s="4">
        <v>140.7</v>
      </c>
    </row>
    <row r="112" ht="22.5" customHeight="1">
      <c r="C112" s="4">
        <v>1800256.0</v>
      </c>
      <c r="D112" s="17">
        <f t="shared" si="1"/>
        <v>2120304</v>
      </c>
      <c r="E112" s="4">
        <v>8.02</v>
      </c>
      <c r="F112" s="4">
        <v>140.7</v>
      </c>
    </row>
    <row r="113" ht="22.5" customHeight="1">
      <c r="C113" s="4">
        <v>1820259.0</v>
      </c>
      <c r="D113" s="17">
        <f t="shared" si="1"/>
        <v>2140307</v>
      </c>
      <c r="E113" s="4">
        <v>8.02</v>
      </c>
      <c r="F113" s="4">
        <v>140.6</v>
      </c>
    </row>
    <row r="114" ht="22.5" customHeight="1">
      <c r="C114" s="4">
        <v>1840262.0</v>
      </c>
      <c r="D114" s="17">
        <f t="shared" si="1"/>
        <v>2160310</v>
      </c>
      <c r="E114" s="4">
        <v>8.02</v>
      </c>
      <c r="F114" s="4">
        <v>140.7</v>
      </c>
    </row>
    <row r="115" ht="22.5" customHeight="1">
      <c r="C115" s="4">
        <v>1860264.0</v>
      </c>
      <c r="D115" s="17">
        <f t="shared" si="1"/>
        <v>2180312</v>
      </c>
      <c r="E115" s="4">
        <v>8.02</v>
      </c>
      <c r="F115" s="4">
        <v>140.7</v>
      </c>
    </row>
    <row r="116" ht="22.5" customHeight="1">
      <c r="C116" s="4">
        <v>1880267.0</v>
      </c>
      <c r="D116" s="17">
        <f t="shared" si="1"/>
        <v>2200315</v>
      </c>
      <c r="E116" s="4">
        <v>8.02</v>
      </c>
      <c r="F116" s="4">
        <v>140.7</v>
      </c>
    </row>
    <row r="117" ht="22.5" customHeight="1">
      <c r="C117" s="4">
        <v>1900270.0</v>
      </c>
      <c r="D117" s="17">
        <f t="shared" si="1"/>
        <v>2220318</v>
      </c>
      <c r="E117" s="4">
        <v>8.01</v>
      </c>
      <c r="F117" s="4">
        <v>140.6</v>
      </c>
    </row>
    <row r="118" ht="22.5" customHeight="1">
      <c r="C118" s="4">
        <v>1920273.0</v>
      </c>
      <c r="D118" s="17">
        <f t="shared" si="1"/>
        <v>2240321</v>
      </c>
      <c r="E118" s="4">
        <v>8.01</v>
      </c>
      <c r="F118" s="4">
        <v>140.5</v>
      </c>
    </row>
    <row r="119" ht="22.5" customHeight="1">
      <c r="C119" s="4">
        <v>1940276.0</v>
      </c>
      <c r="D119" s="17">
        <f t="shared" si="1"/>
        <v>2260324</v>
      </c>
      <c r="E119" s="4">
        <v>8.01</v>
      </c>
      <c r="F119" s="4">
        <v>140.6</v>
      </c>
    </row>
    <row r="120" ht="22.5" customHeight="1">
      <c r="C120" s="4">
        <v>1960279.0</v>
      </c>
      <c r="D120" s="17">
        <f t="shared" si="1"/>
        <v>2280327</v>
      </c>
      <c r="E120" s="4">
        <v>8.01</v>
      </c>
      <c r="F120" s="4">
        <v>140.5</v>
      </c>
    </row>
    <row r="121" ht="22.5" customHeight="1">
      <c r="C121" s="4">
        <v>1980281.0</v>
      </c>
      <c r="D121" s="17">
        <f t="shared" si="1"/>
        <v>2300329</v>
      </c>
      <c r="E121" s="4">
        <v>8.01</v>
      </c>
      <c r="F121" s="4">
        <v>140.5</v>
      </c>
    </row>
    <row r="122" ht="22.5" customHeight="1">
      <c r="C122" s="4">
        <v>2000284.0</v>
      </c>
      <c r="D122" s="17">
        <f t="shared" si="1"/>
        <v>2320332</v>
      </c>
      <c r="E122" s="4">
        <v>8.01</v>
      </c>
      <c r="F122" s="4">
        <v>140.6</v>
      </c>
    </row>
    <row r="123" ht="22.5" customHeight="1">
      <c r="C123" s="4">
        <v>2020287.0</v>
      </c>
      <c r="D123" s="17">
        <f t="shared" si="1"/>
        <v>2340335</v>
      </c>
      <c r="E123" s="4">
        <v>8.01</v>
      </c>
      <c r="F123" s="4">
        <v>140.5</v>
      </c>
    </row>
    <row r="124" ht="22.5" customHeight="1">
      <c r="C124" s="4">
        <v>2040290.0</v>
      </c>
      <c r="D124" s="17">
        <f t="shared" si="1"/>
        <v>2360338</v>
      </c>
      <c r="E124" s="4">
        <v>8.01</v>
      </c>
      <c r="F124" s="4">
        <v>140.5</v>
      </c>
    </row>
    <row r="125" ht="22.5" customHeight="1">
      <c r="C125" s="4">
        <v>2060293.0</v>
      </c>
      <c r="D125" s="17">
        <f t="shared" si="1"/>
        <v>2380341</v>
      </c>
      <c r="E125" s="4">
        <v>8.01</v>
      </c>
      <c r="F125" s="4">
        <v>140.6</v>
      </c>
    </row>
    <row r="126" ht="22.5" customHeight="1">
      <c r="C126" s="4">
        <v>2080295.0</v>
      </c>
      <c r="D126" s="17">
        <f t="shared" si="1"/>
        <v>2400343</v>
      </c>
      <c r="E126" s="4">
        <v>8.01</v>
      </c>
      <c r="F126" s="4">
        <v>140.5</v>
      </c>
    </row>
    <row r="127" ht="22.5" customHeight="1">
      <c r="C127" s="4">
        <v>2100298.0</v>
      </c>
      <c r="D127" s="17">
        <f t="shared" si="1"/>
        <v>2420346</v>
      </c>
      <c r="E127" s="4">
        <v>8.01</v>
      </c>
      <c r="F127" s="4">
        <v>140.7</v>
      </c>
    </row>
    <row r="128" ht="22.5" customHeight="1">
      <c r="C128" s="4">
        <v>2120301.0</v>
      </c>
      <c r="D128" s="17">
        <f t="shared" si="1"/>
        <v>2440349</v>
      </c>
      <c r="E128" s="4">
        <v>8.01</v>
      </c>
      <c r="F128" s="4">
        <v>140.6</v>
      </c>
    </row>
    <row r="129" ht="22.5" customHeight="1">
      <c r="C129" s="4">
        <v>2140304.0</v>
      </c>
      <c r="D129" s="17">
        <f t="shared" si="1"/>
        <v>2460352</v>
      </c>
      <c r="E129" s="4">
        <v>8.01</v>
      </c>
      <c r="F129" s="4">
        <v>140.5</v>
      </c>
    </row>
    <row r="130" ht="22.5" customHeight="1">
      <c r="C130" s="4">
        <v>2160307.0</v>
      </c>
      <c r="D130" s="17">
        <f t="shared" si="1"/>
        <v>2480355</v>
      </c>
      <c r="E130" s="4">
        <v>8.01</v>
      </c>
      <c r="F130" s="4">
        <v>140.5</v>
      </c>
    </row>
    <row r="131" ht="22.5" customHeight="1">
      <c r="C131" s="4">
        <v>2180310.0</v>
      </c>
      <c r="D131" s="17">
        <f t="shared" si="1"/>
        <v>2500358</v>
      </c>
      <c r="E131" s="4">
        <v>8.01</v>
      </c>
      <c r="F131" s="4">
        <v>140.5</v>
      </c>
    </row>
    <row r="132" ht="22.5" customHeight="1">
      <c r="C132" s="4">
        <v>2200312.0</v>
      </c>
      <c r="D132" s="17">
        <f t="shared" si="1"/>
        <v>2520360</v>
      </c>
      <c r="E132" s="4">
        <v>8.0</v>
      </c>
      <c r="F132" s="4">
        <v>140.5</v>
      </c>
    </row>
    <row r="133" ht="22.5" customHeight="1">
      <c r="C133" s="4">
        <v>2220315.0</v>
      </c>
      <c r="D133" s="17">
        <f t="shared" si="1"/>
        <v>2540363</v>
      </c>
      <c r="E133" s="4">
        <v>8.01</v>
      </c>
      <c r="F133" s="4">
        <v>140.5</v>
      </c>
    </row>
    <row r="134" ht="22.5" customHeight="1">
      <c r="C134" s="4">
        <v>2240318.0</v>
      </c>
      <c r="D134" s="17">
        <f t="shared" si="1"/>
        <v>2560366</v>
      </c>
      <c r="E134" s="4">
        <v>8.0</v>
      </c>
      <c r="F134" s="4">
        <v>140.5</v>
      </c>
    </row>
    <row r="135" ht="22.5" customHeight="1">
      <c r="C135" s="4">
        <v>2260321.0</v>
      </c>
      <c r="D135" s="17">
        <f t="shared" si="1"/>
        <v>2580369</v>
      </c>
      <c r="E135" s="4">
        <v>8.0</v>
      </c>
      <c r="F135" s="4">
        <v>140.5</v>
      </c>
    </row>
    <row r="136" ht="22.5" customHeight="1">
      <c r="C136" s="4">
        <v>2280324.0</v>
      </c>
      <c r="D136" s="17">
        <f t="shared" si="1"/>
        <v>2600372</v>
      </c>
      <c r="E136" s="4">
        <v>8.0</v>
      </c>
      <c r="F136" s="4">
        <v>140.5</v>
      </c>
    </row>
    <row r="137" ht="22.5" customHeight="1">
      <c r="C137" s="4">
        <v>2300326.0</v>
      </c>
      <c r="D137" s="17">
        <f t="shared" si="1"/>
        <v>2620374</v>
      </c>
      <c r="E137" s="4">
        <v>8.0</v>
      </c>
      <c r="F137" s="4">
        <v>140.5</v>
      </c>
    </row>
    <row r="138" ht="22.5" customHeight="1">
      <c r="C138" s="4">
        <v>2320329.0</v>
      </c>
      <c r="D138" s="17">
        <f t="shared" si="1"/>
        <v>2640377</v>
      </c>
      <c r="E138" s="4">
        <v>8.0</v>
      </c>
      <c r="F138" s="4">
        <v>140.4</v>
      </c>
    </row>
    <row r="139" ht="22.5" customHeight="1">
      <c r="C139" s="4">
        <v>2340332.0</v>
      </c>
      <c r="D139" s="17">
        <f t="shared" si="1"/>
        <v>2660380</v>
      </c>
      <c r="E139" s="4">
        <v>8.0</v>
      </c>
      <c r="F139" s="4">
        <v>140.4</v>
      </c>
    </row>
    <row r="140" ht="22.5" customHeight="1">
      <c r="C140" s="4">
        <v>2360335.0</v>
      </c>
      <c r="D140" s="17">
        <f t="shared" si="1"/>
        <v>2680383</v>
      </c>
      <c r="E140" s="4">
        <v>8.0</v>
      </c>
      <c r="F140" s="4">
        <v>140.4</v>
      </c>
    </row>
    <row r="141" ht="22.5" customHeight="1">
      <c r="C141" s="4">
        <v>2380338.0</v>
      </c>
      <c r="D141" s="17">
        <f t="shared" si="1"/>
        <v>2700386</v>
      </c>
      <c r="E141" s="4">
        <v>8.0</v>
      </c>
      <c r="F141" s="4">
        <v>140.5</v>
      </c>
    </row>
    <row r="142" ht="22.5" customHeight="1">
      <c r="C142" s="4">
        <v>2400340.0</v>
      </c>
      <c r="D142" s="17">
        <f t="shared" si="1"/>
        <v>2720388</v>
      </c>
      <c r="E142" s="4">
        <v>8.0</v>
      </c>
      <c r="F142" s="4">
        <v>140.4</v>
      </c>
    </row>
    <row r="143" ht="22.5" customHeight="1">
      <c r="C143" s="4">
        <v>2420343.0</v>
      </c>
      <c r="D143" s="17">
        <f t="shared" si="1"/>
        <v>2740391</v>
      </c>
      <c r="E143" s="4">
        <v>8.0</v>
      </c>
      <c r="F143" s="4">
        <v>140.4</v>
      </c>
    </row>
    <row r="144" ht="22.5" customHeight="1">
      <c r="C144" s="4">
        <v>2440347.0</v>
      </c>
      <c r="D144" s="17">
        <f t="shared" si="1"/>
        <v>2760395</v>
      </c>
      <c r="E144" s="4">
        <v>8.0</v>
      </c>
      <c r="F144" s="4">
        <v>140.4</v>
      </c>
    </row>
    <row r="145" ht="22.5" customHeight="1">
      <c r="C145" s="4">
        <v>2460350.0</v>
      </c>
      <c r="D145" s="17">
        <f t="shared" si="1"/>
        <v>2780398</v>
      </c>
      <c r="E145" s="4">
        <v>8.0</v>
      </c>
      <c r="F145" s="4">
        <v>140.4</v>
      </c>
    </row>
    <row r="146" ht="22.5" customHeight="1">
      <c r="C146" s="4">
        <v>2480353.0</v>
      </c>
      <c r="D146" s="17">
        <f t="shared" si="1"/>
        <v>2800401</v>
      </c>
      <c r="E146" s="4">
        <v>8.0</v>
      </c>
      <c r="F146" s="4">
        <v>140.4</v>
      </c>
    </row>
    <row r="147" ht="22.5" customHeight="1">
      <c r="C147" s="4">
        <v>2500356.0</v>
      </c>
      <c r="D147" s="17">
        <f t="shared" si="1"/>
        <v>2820404</v>
      </c>
      <c r="E147" s="4">
        <v>8.0</v>
      </c>
      <c r="F147" s="4">
        <v>140.4</v>
      </c>
    </row>
    <row r="148" ht="22.5" customHeight="1">
      <c r="C148" s="4">
        <v>2520358.0</v>
      </c>
      <c r="D148" s="17">
        <f t="shared" si="1"/>
        <v>2840406</v>
      </c>
      <c r="E148" s="4">
        <v>8.0</v>
      </c>
      <c r="F148" s="4">
        <v>140.4</v>
      </c>
    </row>
    <row r="149" ht="22.5" customHeight="1">
      <c r="C149" s="4">
        <v>2540361.0</v>
      </c>
      <c r="D149" s="17">
        <f t="shared" si="1"/>
        <v>2860409</v>
      </c>
      <c r="E149" s="4">
        <v>8.0</v>
      </c>
      <c r="F149" s="4">
        <v>140.3</v>
      </c>
    </row>
    <row r="150" ht="22.5" customHeight="1">
      <c r="C150" s="4">
        <v>2560364.0</v>
      </c>
      <c r="D150" s="17">
        <f t="shared" si="1"/>
        <v>2880412</v>
      </c>
      <c r="E150" s="4">
        <v>8.0</v>
      </c>
      <c r="F150" s="4">
        <v>140.4</v>
      </c>
    </row>
    <row r="151" ht="22.5" customHeight="1">
      <c r="C151" s="4">
        <v>2580367.0</v>
      </c>
      <c r="D151" s="17">
        <f t="shared" si="1"/>
        <v>2900415</v>
      </c>
      <c r="E151" s="4">
        <v>8.0</v>
      </c>
      <c r="F151" s="4">
        <v>140.4</v>
      </c>
    </row>
    <row r="152" ht="22.5" customHeight="1">
      <c r="C152" s="4">
        <v>2600370.0</v>
      </c>
      <c r="D152" s="17">
        <f t="shared" si="1"/>
        <v>2920418</v>
      </c>
      <c r="E152" s="4">
        <v>8.0</v>
      </c>
      <c r="F152" s="4">
        <v>140.4</v>
      </c>
    </row>
    <row r="153" ht="22.5" customHeight="1">
      <c r="C153" s="4">
        <v>2620372.0</v>
      </c>
      <c r="D153" s="17">
        <f t="shared" si="1"/>
        <v>2940420</v>
      </c>
      <c r="E153" s="4">
        <v>8.0</v>
      </c>
      <c r="F153" s="4">
        <v>140.4</v>
      </c>
    </row>
    <row r="154" ht="22.5" customHeight="1">
      <c r="C154" s="4">
        <v>2640375.0</v>
      </c>
      <c r="D154" s="17">
        <f t="shared" si="1"/>
        <v>2960423</v>
      </c>
      <c r="E154" s="4">
        <v>8.0</v>
      </c>
      <c r="F154" s="4">
        <v>140.3</v>
      </c>
    </row>
    <row r="155" ht="22.5" customHeight="1">
      <c r="C155" s="4">
        <v>2660378.0</v>
      </c>
      <c r="D155" s="17">
        <f t="shared" si="1"/>
        <v>2980426</v>
      </c>
      <c r="E155" s="4">
        <v>8.0</v>
      </c>
      <c r="F155" s="4">
        <v>140.3</v>
      </c>
    </row>
    <row r="156" ht="22.5" customHeight="1">
      <c r="C156" s="4">
        <v>2680381.0</v>
      </c>
      <c r="D156" s="17">
        <f t="shared" si="1"/>
        <v>3000429</v>
      </c>
      <c r="E156" s="4">
        <v>8.0</v>
      </c>
      <c r="F156" s="4">
        <v>140.3</v>
      </c>
    </row>
    <row r="157" ht="22.5" customHeight="1">
      <c r="C157" s="4">
        <v>2700384.0</v>
      </c>
      <c r="D157" s="17">
        <f t="shared" si="1"/>
        <v>3020432</v>
      </c>
      <c r="E157" s="4">
        <v>8.0</v>
      </c>
      <c r="F157" s="4">
        <v>140.3</v>
      </c>
    </row>
    <row r="158" ht="22.5" customHeight="1">
      <c r="C158" s="4">
        <v>2720387.0</v>
      </c>
      <c r="D158" s="17">
        <f t="shared" si="1"/>
        <v>3040435</v>
      </c>
      <c r="E158" s="4">
        <v>8.0</v>
      </c>
      <c r="F158" s="4">
        <v>140.3</v>
      </c>
    </row>
    <row r="159" ht="22.5" customHeight="1">
      <c r="C159" s="4">
        <v>2740389.0</v>
      </c>
      <c r="D159" s="17">
        <f t="shared" si="1"/>
        <v>3060437</v>
      </c>
      <c r="E159" s="4">
        <v>8.0</v>
      </c>
      <c r="F159" s="4">
        <v>140.3</v>
      </c>
    </row>
    <row r="160" ht="22.5" customHeight="1">
      <c r="C160" s="4">
        <v>2760392.0</v>
      </c>
      <c r="D160" s="17">
        <f t="shared" si="1"/>
        <v>3080440</v>
      </c>
      <c r="E160" s="4">
        <v>8.0</v>
      </c>
      <c r="F160" s="4">
        <v>140.4</v>
      </c>
    </row>
    <row r="161" ht="22.5" customHeight="1">
      <c r="C161" s="4">
        <v>2780395.0</v>
      </c>
      <c r="D161" s="17">
        <f t="shared" si="1"/>
        <v>3100443</v>
      </c>
      <c r="E161" s="4">
        <v>8.0</v>
      </c>
      <c r="F161" s="4">
        <v>140.3</v>
      </c>
    </row>
    <row r="162" ht="22.5" customHeight="1">
      <c r="C162" s="4">
        <v>2800398.0</v>
      </c>
      <c r="D162" s="17">
        <f t="shared" si="1"/>
        <v>3120446</v>
      </c>
      <c r="E162" s="4">
        <v>8.0</v>
      </c>
      <c r="F162" s="4">
        <v>140.3</v>
      </c>
    </row>
    <row r="163" ht="22.5" customHeight="1">
      <c r="C163" s="4">
        <v>2820401.0</v>
      </c>
      <c r="D163" s="17">
        <f t="shared" si="1"/>
        <v>3140449</v>
      </c>
      <c r="E163" s="4">
        <v>8.0</v>
      </c>
      <c r="F163" s="4">
        <v>140.3</v>
      </c>
    </row>
    <row r="164" ht="22.5" customHeight="1">
      <c r="C164" s="4">
        <v>2840403.0</v>
      </c>
      <c r="D164" s="17">
        <f t="shared" si="1"/>
        <v>3160451</v>
      </c>
      <c r="E164" s="4">
        <v>8.0</v>
      </c>
      <c r="F164" s="4">
        <v>140.3</v>
      </c>
    </row>
    <row r="165" ht="22.5" customHeight="1">
      <c r="C165" s="4">
        <v>2860406.0</v>
      </c>
      <c r="D165" s="17">
        <f t="shared" si="1"/>
        <v>3180454</v>
      </c>
      <c r="E165" s="4">
        <v>8.0</v>
      </c>
      <c r="F165" s="4">
        <v>140.3</v>
      </c>
    </row>
    <row r="166" ht="22.5" customHeight="1">
      <c r="C166" s="4">
        <v>2880409.0</v>
      </c>
      <c r="D166" s="17">
        <f t="shared" si="1"/>
        <v>3200457</v>
      </c>
      <c r="E166" s="4">
        <v>7.99</v>
      </c>
      <c r="F166" s="4">
        <v>140.3</v>
      </c>
    </row>
    <row r="167" ht="22.5" customHeight="1">
      <c r="C167" s="4">
        <v>2900412.0</v>
      </c>
      <c r="D167" s="17">
        <f t="shared" si="1"/>
        <v>3220460</v>
      </c>
      <c r="E167" s="4">
        <v>8.0</v>
      </c>
      <c r="F167" s="4">
        <v>140.3</v>
      </c>
    </row>
    <row r="168" ht="22.5" customHeight="1">
      <c r="C168" s="4">
        <v>2920415.0</v>
      </c>
      <c r="D168" s="17">
        <f t="shared" si="1"/>
        <v>3240463</v>
      </c>
      <c r="E168" s="4">
        <v>7.99</v>
      </c>
      <c r="F168" s="4">
        <v>140.3</v>
      </c>
    </row>
    <row r="169" ht="22.5" customHeight="1">
      <c r="C169" s="4">
        <v>2940418.0</v>
      </c>
      <c r="D169" s="17">
        <f t="shared" si="1"/>
        <v>3260466</v>
      </c>
      <c r="E169" s="4">
        <v>8.0</v>
      </c>
      <c r="F169" s="4">
        <v>140.3</v>
      </c>
    </row>
    <row r="170" ht="22.5" customHeight="1">
      <c r="C170" s="4">
        <v>2960420.0</v>
      </c>
      <c r="D170" s="17">
        <f t="shared" si="1"/>
        <v>3280468</v>
      </c>
      <c r="E170" s="4">
        <v>7.99</v>
      </c>
      <c r="F170" s="4">
        <v>140.2</v>
      </c>
    </row>
    <row r="171" ht="22.5" customHeight="1">
      <c r="C171" s="4">
        <v>2980423.0</v>
      </c>
      <c r="D171" s="17">
        <f t="shared" si="1"/>
        <v>3300471</v>
      </c>
      <c r="E171" s="4">
        <v>7.99</v>
      </c>
      <c r="F171" s="4">
        <v>140.3</v>
      </c>
    </row>
    <row r="172" ht="22.5" customHeight="1">
      <c r="C172" s="4">
        <v>3000426.0</v>
      </c>
      <c r="D172" s="17">
        <f t="shared" si="1"/>
        <v>3320474</v>
      </c>
      <c r="E172" s="4">
        <v>7.99</v>
      </c>
      <c r="F172" s="4">
        <v>140.2</v>
      </c>
    </row>
    <row r="173" ht="22.5" customHeight="1">
      <c r="C173" s="4">
        <v>3020429.0</v>
      </c>
      <c r="D173" s="17">
        <f t="shared" si="1"/>
        <v>3340477</v>
      </c>
      <c r="E173" s="4">
        <v>7.99</v>
      </c>
      <c r="F173" s="4">
        <v>140.2</v>
      </c>
    </row>
    <row r="174" ht="22.5" customHeight="1">
      <c r="C174" s="4">
        <v>3040432.0</v>
      </c>
      <c r="D174" s="17">
        <f t="shared" si="1"/>
        <v>3360480</v>
      </c>
      <c r="E174" s="4">
        <v>7.99</v>
      </c>
      <c r="F174" s="4">
        <v>140.3</v>
      </c>
    </row>
    <row r="175" ht="22.5" customHeight="1">
      <c r="C175" s="4">
        <v>3060434.0</v>
      </c>
      <c r="D175" s="17">
        <f t="shared" si="1"/>
        <v>3380482</v>
      </c>
      <c r="E175" s="4">
        <v>7.99</v>
      </c>
      <c r="F175" s="4">
        <v>140.3</v>
      </c>
    </row>
    <row r="176" ht="22.5" customHeight="1">
      <c r="C176" s="4">
        <v>3080437.0</v>
      </c>
      <c r="D176" s="17">
        <f t="shared" si="1"/>
        <v>3400485</v>
      </c>
      <c r="E176" s="4">
        <v>7.99</v>
      </c>
      <c r="F176" s="4">
        <v>140.3</v>
      </c>
    </row>
    <row r="177" ht="22.5" customHeight="1">
      <c r="C177" s="4">
        <v>3100440.0</v>
      </c>
      <c r="D177" s="17">
        <f t="shared" si="1"/>
        <v>3420488</v>
      </c>
      <c r="E177" s="4">
        <v>7.99</v>
      </c>
      <c r="F177" s="4">
        <v>140.2</v>
      </c>
    </row>
    <row r="178" ht="22.5" customHeight="1">
      <c r="C178" s="4">
        <v>3120443.0</v>
      </c>
      <c r="D178" s="17">
        <f t="shared" si="1"/>
        <v>3440491</v>
      </c>
      <c r="E178" s="4">
        <v>7.99</v>
      </c>
      <c r="F178" s="4">
        <v>140.2</v>
      </c>
    </row>
    <row r="179" ht="22.5" customHeight="1">
      <c r="C179" s="4">
        <v>3140446.0</v>
      </c>
      <c r="D179" s="17">
        <f t="shared" si="1"/>
        <v>3460494</v>
      </c>
      <c r="E179" s="4">
        <v>7.99</v>
      </c>
      <c r="F179" s="4">
        <v>140.2</v>
      </c>
    </row>
    <row r="180" ht="22.5" customHeight="1">
      <c r="C180" s="4">
        <v>3160449.0</v>
      </c>
      <c r="D180" s="17">
        <f t="shared" si="1"/>
        <v>3480497</v>
      </c>
      <c r="E180" s="4">
        <v>7.99</v>
      </c>
      <c r="F180" s="4">
        <v>140.2</v>
      </c>
    </row>
    <row r="181" ht="22.5" customHeight="1">
      <c r="C181" s="4">
        <v>3180451.0</v>
      </c>
      <c r="D181" s="17">
        <f t="shared" si="1"/>
        <v>3500499</v>
      </c>
      <c r="E181" s="4">
        <v>7.99</v>
      </c>
      <c r="F181" s="4">
        <v>140.2</v>
      </c>
    </row>
    <row r="182" ht="22.5" customHeight="1">
      <c r="C182" s="4">
        <v>3200454.0</v>
      </c>
      <c r="D182" s="17">
        <f t="shared" si="1"/>
        <v>3520502</v>
      </c>
      <c r="E182" s="4">
        <v>7.99</v>
      </c>
      <c r="F182" s="4">
        <v>140.2</v>
      </c>
    </row>
    <row r="183" ht="22.5" customHeight="1">
      <c r="C183" s="4">
        <v>3220457.0</v>
      </c>
      <c r="D183" s="17">
        <f t="shared" si="1"/>
        <v>3540505</v>
      </c>
      <c r="E183" s="4">
        <v>7.99</v>
      </c>
      <c r="F183" s="4">
        <v>140.1</v>
      </c>
    </row>
    <row r="184" ht="22.5" customHeight="1">
      <c r="C184" s="4">
        <v>3240460.0</v>
      </c>
      <c r="D184" s="17">
        <f t="shared" si="1"/>
        <v>3560508</v>
      </c>
      <c r="E184" s="4">
        <v>7.99</v>
      </c>
      <c r="F184" s="4">
        <v>140.2</v>
      </c>
    </row>
    <row r="185" ht="22.5" customHeight="1">
      <c r="C185" s="4">
        <v>3260463.0</v>
      </c>
      <c r="D185" s="17">
        <f t="shared" si="1"/>
        <v>3580511</v>
      </c>
      <c r="E185" s="4">
        <v>7.99</v>
      </c>
      <c r="F185" s="4">
        <v>140.2</v>
      </c>
    </row>
    <row r="186" ht="22.5" customHeight="1">
      <c r="C186" s="4">
        <v>3280465.0</v>
      </c>
      <c r="D186" s="17">
        <f t="shared" si="1"/>
        <v>3600513</v>
      </c>
      <c r="E186" s="4">
        <v>7.99</v>
      </c>
      <c r="F186" s="4">
        <v>140.2</v>
      </c>
    </row>
    <row r="187" ht="22.5" customHeight="1">
      <c r="C187" s="4">
        <v>3300468.0</v>
      </c>
      <c r="D187" s="17">
        <f t="shared" si="1"/>
        <v>3620516</v>
      </c>
      <c r="E187" s="4">
        <v>7.99</v>
      </c>
      <c r="F187" s="4">
        <v>140.2</v>
      </c>
    </row>
    <row r="188" ht="22.5" customHeight="1">
      <c r="C188" s="4">
        <v>3320471.0</v>
      </c>
      <c r="D188" s="17">
        <f t="shared" si="1"/>
        <v>3640519</v>
      </c>
      <c r="E188" s="4">
        <v>7.99</v>
      </c>
      <c r="F188" s="4">
        <v>140.2</v>
      </c>
    </row>
    <row r="189" ht="22.5" customHeight="1">
      <c r="C189" s="4">
        <v>3340475.0</v>
      </c>
      <c r="D189" s="17">
        <f t="shared" si="1"/>
        <v>3660523</v>
      </c>
      <c r="E189" s="4">
        <v>7.99</v>
      </c>
      <c r="F189" s="4">
        <v>140.2</v>
      </c>
    </row>
    <row r="190" ht="22.5" customHeight="1">
      <c r="C190" s="4">
        <v>3360478.0</v>
      </c>
      <c r="D190" s="17">
        <f t="shared" si="1"/>
        <v>3680526</v>
      </c>
      <c r="E190" s="4">
        <v>7.99</v>
      </c>
      <c r="F190" s="4">
        <v>140.2</v>
      </c>
    </row>
    <row r="191" ht="22.5" customHeight="1">
      <c r="C191" s="4">
        <v>3380481.0</v>
      </c>
      <c r="D191" s="17">
        <f t="shared" si="1"/>
        <v>3700529</v>
      </c>
      <c r="E191" s="4">
        <v>7.98</v>
      </c>
      <c r="F191" s="4">
        <v>140.2</v>
      </c>
    </row>
    <row r="192" ht="22.5" customHeight="1">
      <c r="C192" s="4">
        <v>3400483.0</v>
      </c>
      <c r="D192" s="17">
        <f t="shared" si="1"/>
        <v>3720531</v>
      </c>
      <c r="E192" s="4">
        <v>7.99</v>
      </c>
      <c r="F192" s="4">
        <v>140.1</v>
      </c>
    </row>
    <row r="193" ht="22.5" customHeight="1">
      <c r="C193" s="4">
        <v>3420486.0</v>
      </c>
      <c r="D193" s="17">
        <f t="shared" si="1"/>
        <v>3740534</v>
      </c>
      <c r="E193" s="4">
        <v>7.99</v>
      </c>
      <c r="F193" s="4">
        <v>140.2</v>
      </c>
    </row>
    <row r="194" ht="22.5" customHeight="1">
      <c r="C194" s="4">
        <v>3440489.0</v>
      </c>
      <c r="D194" s="17">
        <f t="shared" si="1"/>
        <v>3760537</v>
      </c>
      <c r="E194" s="4">
        <v>7.99</v>
      </c>
      <c r="F194" s="4">
        <v>140.1</v>
      </c>
    </row>
    <row r="195" ht="22.5" customHeight="1">
      <c r="C195" s="4">
        <v>3460492.0</v>
      </c>
      <c r="D195" s="17">
        <f t="shared" si="1"/>
        <v>3780540</v>
      </c>
      <c r="E195" s="4">
        <v>7.98</v>
      </c>
      <c r="F195" s="4">
        <v>140.2</v>
      </c>
    </row>
    <row r="196" ht="22.5" customHeight="1">
      <c r="C196" s="4">
        <v>3480495.0</v>
      </c>
      <c r="D196" s="17">
        <f t="shared" si="1"/>
        <v>3800543</v>
      </c>
      <c r="E196" s="4">
        <v>7.98</v>
      </c>
      <c r="F196" s="4">
        <v>140.1</v>
      </c>
    </row>
    <row r="197" ht="22.5" customHeight="1">
      <c r="C197" s="4">
        <v>3500497.0</v>
      </c>
      <c r="D197" s="17">
        <f t="shared" si="1"/>
        <v>3820545</v>
      </c>
      <c r="E197" s="4">
        <v>7.98</v>
      </c>
      <c r="F197" s="4">
        <v>140.1</v>
      </c>
    </row>
    <row r="198" ht="22.5" customHeight="1">
      <c r="C198" s="4">
        <v>3520500.0</v>
      </c>
      <c r="D198" s="17">
        <f t="shared" si="1"/>
        <v>3840548</v>
      </c>
      <c r="E198" s="4">
        <v>7.98</v>
      </c>
      <c r="F198" s="4">
        <v>140.1</v>
      </c>
    </row>
    <row r="199" ht="22.5" customHeight="1">
      <c r="C199" s="4">
        <v>3540503.0</v>
      </c>
      <c r="D199" s="17">
        <f t="shared" si="1"/>
        <v>3860551</v>
      </c>
      <c r="E199" s="4">
        <v>7.98</v>
      </c>
      <c r="F199" s="4">
        <v>140.1</v>
      </c>
    </row>
    <row r="200" ht="22.5" customHeight="1">
      <c r="C200" s="4">
        <v>3560506.0</v>
      </c>
      <c r="D200" s="17">
        <f t="shared" si="1"/>
        <v>3880554</v>
      </c>
      <c r="E200" s="4">
        <v>7.98</v>
      </c>
      <c r="F200" s="4">
        <v>140.1</v>
      </c>
    </row>
    <row r="201" ht="22.5" customHeight="1">
      <c r="C201" s="4">
        <v>3580509.0</v>
      </c>
      <c r="D201" s="17">
        <f t="shared" si="1"/>
        <v>3900557</v>
      </c>
      <c r="E201" s="4">
        <v>7.98</v>
      </c>
      <c r="F201" s="4">
        <v>140.1</v>
      </c>
    </row>
    <row r="202" ht="22.5" customHeight="1">
      <c r="C202" s="4">
        <v>3600512.0</v>
      </c>
      <c r="D202" s="17">
        <f t="shared" si="1"/>
        <v>3920560</v>
      </c>
      <c r="E202" s="4">
        <v>7.98</v>
      </c>
      <c r="F202" s="4">
        <v>140.1</v>
      </c>
    </row>
    <row r="203" ht="22.5" customHeight="1">
      <c r="C203" s="4">
        <v>3620514.0</v>
      </c>
      <c r="D203" s="17">
        <f t="shared" si="1"/>
        <v>3940562</v>
      </c>
      <c r="E203" s="4">
        <v>7.98</v>
      </c>
      <c r="F203" s="4">
        <v>140.1</v>
      </c>
    </row>
    <row r="204" ht="22.5" customHeight="1">
      <c r="C204" s="4">
        <v>3640517.0</v>
      </c>
      <c r="D204" s="17">
        <f t="shared" si="1"/>
        <v>3960565</v>
      </c>
      <c r="E204" s="4">
        <v>7.98</v>
      </c>
      <c r="F204" s="4">
        <v>140.1</v>
      </c>
    </row>
    <row r="205" ht="22.5" customHeight="1">
      <c r="C205" s="4">
        <v>3660520.0</v>
      </c>
      <c r="D205" s="17">
        <f t="shared" si="1"/>
        <v>3980568</v>
      </c>
      <c r="E205" s="4">
        <v>7.98</v>
      </c>
      <c r="F205" s="4">
        <v>140.1</v>
      </c>
    </row>
    <row r="206" ht="22.5" customHeight="1">
      <c r="C206" s="4">
        <v>3680523.0</v>
      </c>
      <c r="D206" s="17">
        <f t="shared" si="1"/>
        <v>4000571</v>
      </c>
      <c r="E206" s="4">
        <v>7.98</v>
      </c>
      <c r="F206" s="4">
        <v>140.1</v>
      </c>
    </row>
    <row r="207" ht="22.5" customHeight="1">
      <c r="C207" s="4">
        <v>3700526.0</v>
      </c>
      <c r="D207" s="17">
        <f t="shared" si="1"/>
        <v>4020574</v>
      </c>
      <c r="E207" s="4">
        <v>7.98</v>
      </c>
      <c r="F207" s="4">
        <v>140.0</v>
      </c>
    </row>
    <row r="208" ht="22.5" customHeight="1">
      <c r="C208" s="4">
        <v>3720528.0</v>
      </c>
      <c r="D208" s="17">
        <f t="shared" si="1"/>
        <v>4040576</v>
      </c>
      <c r="E208" s="4">
        <v>7.98</v>
      </c>
      <c r="F208" s="4">
        <v>140.0</v>
      </c>
    </row>
    <row r="209" ht="22.5" customHeight="1">
      <c r="C209" s="4">
        <v>3740531.0</v>
      </c>
      <c r="D209" s="17">
        <f t="shared" si="1"/>
        <v>4060579</v>
      </c>
      <c r="E209" s="4">
        <v>7.98</v>
      </c>
      <c r="F209" s="4">
        <v>140.1</v>
      </c>
    </row>
    <row r="210" ht="22.5" customHeight="1">
      <c r="C210" s="4">
        <v>3760534.0</v>
      </c>
      <c r="D210" s="17">
        <f t="shared" si="1"/>
        <v>4080582</v>
      </c>
      <c r="E210" s="4">
        <v>7.98</v>
      </c>
      <c r="F210" s="4">
        <v>140.0</v>
      </c>
    </row>
    <row r="211" ht="22.5" customHeight="1">
      <c r="C211" s="4">
        <v>3780537.0</v>
      </c>
      <c r="D211" s="17">
        <f t="shared" si="1"/>
        <v>4100585</v>
      </c>
      <c r="E211" s="4">
        <v>7.98</v>
      </c>
      <c r="F211" s="4">
        <v>140.0</v>
      </c>
    </row>
    <row r="212" ht="22.5" customHeight="1">
      <c r="C212" s="4">
        <v>3800540.0</v>
      </c>
      <c r="D212" s="17">
        <f t="shared" si="1"/>
        <v>4120588</v>
      </c>
      <c r="E212" s="4">
        <v>7.98</v>
      </c>
      <c r="F212" s="4">
        <v>140.1</v>
      </c>
    </row>
    <row r="213" ht="22.5" customHeight="1">
      <c r="C213" s="4">
        <v>3820542.0</v>
      </c>
      <c r="D213" s="17">
        <f t="shared" si="1"/>
        <v>4140590</v>
      </c>
      <c r="E213" s="4">
        <v>7.98</v>
      </c>
      <c r="F213" s="4">
        <v>140.0</v>
      </c>
    </row>
    <row r="214" ht="22.5" customHeight="1">
      <c r="C214" s="4">
        <v>3840545.0</v>
      </c>
      <c r="D214" s="17">
        <f t="shared" si="1"/>
        <v>4160593</v>
      </c>
      <c r="E214" s="4">
        <v>7.98</v>
      </c>
      <c r="F214" s="4">
        <v>140.1</v>
      </c>
    </row>
    <row r="215" ht="22.5" customHeight="1">
      <c r="C215" s="4">
        <v>3860548.0</v>
      </c>
      <c r="D215" s="17">
        <f t="shared" si="1"/>
        <v>4180596</v>
      </c>
      <c r="E215" s="4">
        <v>7.98</v>
      </c>
      <c r="F215" s="4">
        <v>140.1</v>
      </c>
    </row>
    <row r="216" ht="22.5" customHeight="1">
      <c r="C216" s="4">
        <v>3880551.0</v>
      </c>
      <c r="D216" s="17">
        <f t="shared" si="1"/>
        <v>4200599</v>
      </c>
      <c r="E216" s="4">
        <v>7.98</v>
      </c>
      <c r="F216" s="4">
        <v>140.0</v>
      </c>
    </row>
    <row r="217" ht="22.5" customHeight="1">
      <c r="C217" s="4">
        <v>3900554.0</v>
      </c>
      <c r="D217" s="17">
        <f t="shared" si="1"/>
        <v>4220602</v>
      </c>
      <c r="E217" s="4">
        <v>7.98</v>
      </c>
      <c r="F217" s="4">
        <v>140.2</v>
      </c>
    </row>
    <row r="218" ht="22.5" customHeight="1">
      <c r="C218" s="4">
        <v>3920557.0</v>
      </c>
      <c r="D218" s="17">
        <f t="shared" si="1"/>
        <v>4240605</v>
      </c>
      <c r="E218" s="4">
        <v>7.98</v>
      </c>
      <c r="F218" s="4">
        <v>140.1</v>
      </c>
    </row>
    <row r="219" ht="22.5" customHeight="1">
      <c r="C219" s="4">
        <v>3940559.0</v>
      </c>
      <c r="D219" s="17">
        <f t="shared" si="1"/>
        <v>4260607</v>
      </c>
      <c r="E219" s="4">
        <v>7.98</v>
      </c>
      <c r="F219" s="4">
        <v>140.0</v>
      </c>
    </row>
    <row r="220" ht="22.5" customHeight="1">
      <c r="C220" s="4">
        <v>3960562.0</v>
      </c>
      <c r="D220" s="17">
        <f t="shared" si="1"/>
        <v>4280610</v>
      </c>
      <c r="E220" s="4">
        <v>7.98</v>
      </c>
      <c r="F220" s="4">
        <v>140.1</v>
      </c>
    </row>
    <row r="221" ht="22.5" customHeight="1">
      <c r="C221" s="4">
        <v>3980565.0</v>
      </c>
      <c r="D221" s="17">
        <f t="shared" si="1"/>
        <v>4300613</v>
      </c>
      <c r="E221" s="4">
        <v>7.98</v>
      </c>
      <c r="F221" s="4">
        <v>140.0</v>
      </c>
    </row>
    <row r="222" ht="22.5" customHeight="1">
      <c r="C222" s="4">
        <v>4000568.0</v>
      </c>
      <c r="D222" s="17">
        <f t="shared" si="1"/>
        <v>4320616</v>
      </c>
      <c r="E222" s="4">
        <v>7.98</v>
      </c>
      <c r="F222" s="4">
        <v>140.0</v>
      </c>
    </row>
    <row r="223" ht="22.5" customHeight="1">
      <c r="C223" s="4">
        <v>4020571.0</v>
      </c>
      <c r="D223" s="17">
        <f t="shared" si="1"/>
        <v>4340619</v>
      </c>
      <c r="E223" s="4">
        <v>7.98</v>
      </c>
      <c r="F223" s="4">
        <v>140.0</v>
      </c>
    </row>
    <row r="224" ht="22.5" customHeight="1">
      <c r="C224" s="4">
        <v>4040573.0</v>
      </c>
      <c r="D224" s="17">
        <f t="shared" si="1"/>
        <v>4360621</v>
      </c>
      <c r="E224" s="4">
        <v>7.98</v>
      </c>
      <c r="F224" s="4">
        <v>140.0</v>
      </c>
    </row>
    <row r="225" ht="22.5" customHeight="1">
      <c r="C225" s="4">
        <v>4060576.0</v>
      </c>
      <c r="D225" s="17">
        <f t="shared" si="1"/>
        <v>4380624</v>
      </c>
      <c r="E225" s="4">
        <v>7.98</v>
      </c>
      <c r="F225" s="4">
        <v>140.0</v>
      </c>
    </row>
    <row r="226" ht="22.5" customHeight="1">
      <c r="C226" s="4">
        <v>4080579.0</v>
      </c>
      <c r="D226" s="17">
        <f t="shared" si="1"/>
        <v>4400627</v>
      </c>
      <c r="E226" s="4">
        <v>7.98</v>
      </c>
      <c r="F226" s="4">
        <v>140.0</v>
      </c>
    </row>
    <row r="227" ht="22.5" customHeight="1">
      <c r="C227" s="4">
        <v>4100582.0</v>
      </c>
      <c r="D227" s="17">
        <f t="shared" si="1"/>
        <v>4420630</v>
      </c>
      <c r="E227" s="4">
        <v>7.98</v>
      </c>
      <c r="F227" s="4">
        <v>140.1</v>
      </c>
    </row>
    <row r="228" ht="22.5" customHeight="1">
      <c r="C228" s="4">
        <v>4120585.0</v>
      </c>
      <c r="D228" s="17">
        <f t="shared" si="1"/>
        <v>4440633</v>
      </c>
      <c r="E228" s="4">
        <v>7.98</v>
      </c>
      <c r="F228" s="4">
        <v>139.9</v>
      </c>
    </row>
    <row r="229" ht="22.5" customHeight="1">
      <c r="C229" s="4">
        <v>4140588.0</v>
      </c>
      <c r="D229" s="17">
        <f t="shared" si="1"/>
        <v>4460636</v>
      </c>
      <c r="E229" s="4">
        <v>7.98</v>
      </c>
      <c r="F229" s="4">
        <v>139.9</v>
      </c>
    </row>
    <row r="230" ht="22.5" customHeight="1">
      <c r="C230" s="4">
        <v>4160591.0</v>
      </c>
      <c r="D230" s="17">
        <f t="shared" si="1"/>
        <v>4480639</v>
      </c>
      <c r="E230" s="4">
        <v>7.98</v>
      </c>
      <c r="F230" s="4">
        <v>140.0</v>
      </c>
    </row>
    <row r="231" ht="22.5" customHeight="1">
      <c r="C231" s="4">
        <v>4180594.0</v>
      </c>
      <c r="D231" s="17">
        <f t="shared" si="1"/>
        <v>4500642</v>
      </c>
      <c r="E231" s="4">
        <v>7.98</v>
      </c>
      <c r="F231" s="4">
        <v>140.0</v>
      </c>
    </row>
    <row r="232" ht="22.5" customHeight="1">
      <c r="C232" s="4">
        <v>4200597.0</v>
      </c>
      <c r="D232" s="17">
        <f t="shared" si="1"/>
        <v>4520645</v>
      </c>
      <c r="E232" s="4">
        <v>7.98</v>
      </c>
      <c r="F232" s="4">
        <v>140.0</v>
      </c>
    </row>
    <row r="233" ht="22.5" customHeight="1">
      <c r="C233" s="4">
        <v>4220600.0</v>
      </c>
      <c r="D233" s="17">
        <f t="shared" si="1"/>
        <v>4540648</v>
      </c>
      <c r="E233" s="4">
        <v>7.98</v>
      </c>
      <c r="F233" s="4">
        <v>140.0</v>
      </c>
    </row>
    <row r="234" ht="22.5" customHeight="1">
      <c r="C234" s="4">
        <v>4240603.0</v>
      </c>
      <c r="D234" s="17">
        <f t="shared" si="1"/>
        <v>4560651</v>
      </c>
      <c r="E234" s="4">
        <v>7.98</v>
      </c>
      <c r="F234" s="4">
        <v>140.0</v>
      </c>
    </row>
    <row r="235" ht="22.5" customHeight="1">
      <c r="C235" s="4">
        <v>4260605.0</v>
      </c>
      <c r="D235" s="17">
        <f t="shared" si="1"/>
        <v>4580653</v>
      </c>
      <c r="E235" s="4">
        <v>7.98</v>
      </c>
      <c r="F235" s="4">
        <v>140.0</v>
      </c>
    </row>
    <row r="236" ht="22.5" customHeight="1">
      <c r="C236" s="4">
        <v>4280608.0</v>
      </c>
      <c r="D236" s="17">
        <f t="shared" si="1"/>
        <v>4600656</v>
      </c>
      <c r="E236" s="4">
        <v>7.98</v>
      </c>
      <c r="F236" s="4">
        <v>139.9</v>
      </c>
    </row>
    <row r="237" ht="22.5" customHeight="1">
      <c r="C237" s="4">
        <v>4300611.0</v>
      </c>
      <c r="D237" s="17">
        <f t="shared" si="1"/>
        <v>4620659</v>
      </c>
      <c r="E237" s="4">
        <v>7.98</v>
      </c>
      <c r="F237" s="4">
        <v>140.0</v>
      </c>
    </row>
    <row r="238" ht="22.5" customHeight="1">
      <c r="C238" s="4">
        <v>4320614.0</v>
      </c>
      <c r="D238" s="17">
        <f t="shared" si="1"/>
        <v>4640662</v>
      </c>
      <c r="E238" s="4">
        <v>7.98</v>
      </c>
      <c r="F238" s="4">
        <v>139.9</v>
      </c>
    </row>
    <row r="239" ht="22.5" customHeight="1">
      <c r="C239" s="4">
        <v>4340617.0</v>
      </c>
      <c r="D239" s="17">
        <f t="shared" si="1"/>
        <v>4660665</v>
      </c>
      <c r="E239" s="4">
        <v>7.98</v>
      </c>
      <c r="F239" s="4">
        <v>140.0</v>
      </c>
    </row>
    <row r="240" ht="22.5" customHeight="1">
      <c r="C240" s="4">
        <v>4360620.0</v>
      </c>
      <c r="D240" s="17">
        <f t="shared" si="1"/>
        <v>4680668</v>
      </c>
      <c r="E240" s="4">
        <v>7.98</v>
      </c>
      <c r="F240" s="4">
        <v>139.9</v>
      </c>
    </row>
    <row r="241" ht="22.5" customHeight="1">
      <c r="C241" s="4">
        <v>4380622.0</v>
      </c>
      <c r="D241" s="17">
        <f t="shared" si="1"/>
        <v>4700670</v>
      </c>
      <c r="E241" s="4">
        <v>7.98</v>
      </c>
      <c r="F241" s="4">
        <v>139.9</v>
      </c>
    </row>
    <row r="242" ht="22.5" customHeight="1">
      <c r="C242" s="4">
        <v>4400625.0</v>
      </c>
      <c r="D242" s="17">
        <f t="shared" si="1"/>
        <v>4720673</v>
      </c>
      <c r="E242" s="4">
        <v>7.97</v>
      </c>
      <c r="F242" s="4">
        <v>139.9</v>
      </c>
    </row>
    <row r="243" ht="22.5" customHeight="1">
      <c r="C243" s="4">
        <v>4420628.0</v>
      </c>
      <c r="D243" s="17">
        <f t="shared" si="1"/>
        <v>4740676</v>
      </c>
      <c r="E243" s="4">
        <v>7.98</v>
      </c>
      <c r="F243" s="4">
        <v>139.9</v>
      </c>
    </row>
    <row r="244" ht="22.5" customHeight="1">
      <c r="C244" s="4">
        <v>4440631.0</v>
      </c>
      <c r="D244" s="17">
        <f t="shared" si="1"/>
        <v>4760679</v>
      </c>
      <c r="E244" s="4">
        <v>7.98</v>
      </c>
      <c r="F244" s="4">
        <v>139.9</v>
      </c>
    </row>
    <row r="245" ht="22.5" customHeight="1">
      <c r="C245" s="4">
        <v>4460634.0</v>
      </c>
      <c r="D245" s="17">
        <f t="shared" si="1"/>
        <v>4780682</v>
      </c>
      <c r="E245" s="4">
        <v>7.97</v>
      </c>
      <c r="F245" s="4">
        <v>139.9</v>
      </c>
    </row>
    <row r="246" ht="22.5" customHeight="1">
      <c r="C246" s="4">
        <v>4480636.0</v>
      </c>
      <c r="D246" s="17">
        <f t="shared" si="1"/>
        <v>4800684</v>
      </c>
      <c r="E246" s="4">
        <v>7.98</v>
      </c>
      <c r="F246" s="4">
        <v>139.9</v>
      </c>
    </row>
    <row r="247" ht="22.5" customHeight="1">
      <c r="C247" s="4">
        <v>4500639.0</v>
      </c>
      <c r="D247" s="17">
        <f t="shared" si="1"/>
        <v>4820687</v>
      </c>
      <c r="E247" s="4">
        <v>7.97</v>
      </c>
      <c r="F247" s="4">
        <v>139.9</v>
      </c>
    </row>
    <row r="248" ht="22.5" customHeight="1">
      <c r="C248" s="4">
        <v>4520642.0</v>
      </c>
      <c r="D248" s="17">
        <f t="shared" si="1"/>
        <v>4840690</v>
      </c>
      <c r="E248" s="4">
        <v>7.98</v>
      </c>
      <c r="F248" s="4">
        <v>139.9</v>
      </c>
    </row>
    <row r="249" ht="22.5" customHeight="1">
      <c r="C249" s="4">
        <v>4540645.0</v>
      </c>
      <c r="D249" s="17">
        <f t="shared" si="1"/>
        <v>4860693</v>
      </c>
      <c r="E249" s="4">
        <v>7.98</v>
      </c>
      <c r="F249" s="4">
        <v>139.9</v>
      </c>
    </row>
    <row r="250" ht="22.5" customHeight="1">
      <c r="C250" s="4">
        <v>4560648.0</v>
      </c>
      <c r="D250" s="17">
        <f t="shared" si="1"/>
        <v>4880696</v>
      </c>
      <c r="E250" s="4">
        <v>7.97</v>
      </c>
      <c r="F250" s="4">
        <v>139.9</v>
      </c>
    </row>
    <row r="251" ht="22.5" customHeight="1">
      <c r="C251" s="4">
        <v>4580651.0</v>
      </c>
      <c r="D251" s="17">
        <f t="shared" si="1"/>
        <v>4900699</v>
      </c>
      <c r="E251" s="4">
        <v>7.97</v>
      </c>
      <c r="F251" s="4">
        <v>140.0</v>
      </c>
    </row>
    <row r="252" ht="22.5" customHeight="1">
      <c r="C252" s="4">
        <v>4600653.0</v>
      </c>
      <c r="D252" s="17">
        <f t="shared" si="1"/>
        <v>4920701</v>
      </c>
      <c r="E252" s="4">
        <v>7.97</v>
      </c>
      <c r="F252" s="4">
        <v>139.9</v>
      </c>
    </row>
    <row r="253" ht="22.5" customHeight="1">
      <c r="C253" s="4">
        <v>4620656.0</v>
      </c>
      <c r="D253" s="17">
        <f t="shared" si="1"/>
        <v>4940704</v>
      </c>
      <c r="E253" s="4">
        <v>7.97</v>
      </c>
      <c r="F253" s="4">
        <v>139.9</v>
      </c>
    </row>
    <row r="254" ht="22.5" customHeight="1">
      <c r="C254" s="4">
        <v>4640659.0</v>
      </c>
      <c r="D254" s="17">
        <f t="shared" si="1"/>
        <v>4960707</v>
      </c>
      <c r="E254" s="4">
        <v>7.97</v>
      </c>
      <c r="F254" s="4">
        <v>139.9</v>
      </c>
    </row>
    <row r="255" ht="22.5" customHeight="1">
      <c r="C255" s="4">
        <v>4660662.0</v>
      </c>
      <c r="D255" s="17">
        <f t="shared" si="1"/>
        <v>4980710</v>
      </c>
      <c r="E255" s="4">
        <v>7.97</v>
      </c>
      <c r="F255" s="4">
        <v>139.9</v>
      </c>
    </row>
    <row r="256" ht="22.5" customHeight="1">
      <c r="C256" s="4">
        <v>4680665.0</v>
      </c>
      <c r="D256" s="17">
        <f t="shared" si="1"/>
        <v>5000713</v>
      </c>
      <c r="E256" s="4">
        <v>7.97</v>
      </c>
      <c r="F256" s="4">
        <v>139.9</v>
      </c>
    </row>
    <row r="257" ht="22.5" customHeight="1">
      <c r="C257" s="4">
        <v>4700667.0</v>
      </c>
      <c r="D257" s="17">
        <f t="shared" si="1"/>
        <v>5020715</v>
      </c>
      <c r="E257" s="4">
        <v>7.97</v>
      </c>
      <c r="F257" s="4">
        <v>139.9</v>
      </c>
    </row>
    <row r="258" ht="22.5" customHeight="1">
      <c r="C258" s="4">
        <v>4720670.0</v>
      </c>
      <c r="D258" s="17">
        <f t="shared" si="1"/>
        <v>5040718</v>
      </c>
      <c r="E258" s="4">
        <v>7.97</v>
      </c>
      <c r="F258" s="4">
        <v>139.9</v>
      </c>
    </row>
    <row r="259" ht="22.5" customHeight="1">
      <c r="C259" s="4">
        <v>4740673.0</v>
      </c>
      <c r="D259" s="17">
        <f t="shared" si="1"/>
        <v>5060721</v>
      </c>
      <c r="E259" s="4">
        <v>7.97</v>
      </c>
      <c r="F259" s="4">
        <v>139.9</v>
      </c>
    </row>
    <row r="260" ht="22.5" customHeight="1">
      <c r="C260" s="4">
        <v>4760676.0</v>
      </c>
      <c r="D260" s="17">
        <f t="shared" si="1"/>
        <v>5080724</v>
      </c>
      <c r="E260" s="4">
        <v>7.97</v>
      </c>
      <c r="F260" s="4">
        <v>139.9</v>
      </c>
    </row>
    <row r="261" ht="22.5" customHeight="1">
      <c r="C261" s="4">
        <v>4780679.0</v>
      </c>
      <c r="D261" s="17">
        <f t="shared" si="1"/>
        <v>5100727</v>
      </c>
      <c r="E261" s="4">
        <v>7.97</v>
      </c>
      <c r="F261" s="4">
        <v>139.9</v>
      </c>
    </row>
    <row r="262" ht="22.5" customHeight="1">
      <c r="C262" s="4">
        <v>4800681.0</v>
      </c>
      <c r="D262" s="17">
        <f t="shared" si="1"/>
        <v>5120729</v>
      </c>
      <c r="E262" s="4">
        <v>7.97</v>
      </c>
      <c r="F262" s="4">
        <v>139.9</v>
      </c>
    </row>
    <row r="263" ht="22.5" customHeight="1">
      <c r="C263" s="4">
        <v>4820684.0</v>
      </c>
      <c r="D263" s="17">
        <f t="shared" si="1"/>
        <v>5140732</v>
      </c>
      <c r="E263" s="4">
        <v>7.97</v>
      </c>
      <c r="F263" s="4">
        <v>139.8</v>
      </c>
    </row>
    <row r="264" ht="22.5" customHeight="1">
      <c r="C264" s="4">
        <v>4840687.0</v>
      </c>
      <c r="D264" s="17">
        <f t="shared" si="1"/>
        <v>5160735</v>
      </c>
      <c r="E264" s="4">
        <v>7.97</v>
      </c>
      <c r="F264" s="4">
        <v>139.9</v>
      </c>
    </row>
    <row r="265" ht="22.5" customHeight="1">
      <c r="C265" s="4">
        <v>4860690.0</v>
      </c>
      <c r="D265" s="17">
        <f t="shared" si="1"/>
        <v>5180738</v>
      </c>
      <c r="E265" s="4">
        <v>7.97</v>
      </c>
      <c r="F265" s="4">
        <v>139.9</v>
      </c>
    </row>
    <row r="266" ht="22.5" customHeight="1">
      <c r="C266" s="4">
        <v>4880693.0</v>
      </c>
      <c r="D266" s="17">
        <f t="shared" si="1"/>
        <v>5200741</v>
      </c>
      <c r="E266" s="4">
        <v>7.97</v>
      </c>
      <c r="F266" s="4">
        <v>139.8</v>
      </c>
    </row>
    <row r="267" ht="22.5" customHeight="1">
      <c r="C267" s="4">
        <v>4900696.0</v>
      </c>
      <c r="D267" s="17">
        <f t="shared" si="1"/>
        <v>5220744</v>
      </c>
      <c r="E267" s="4">
        <v>7.97</v>
      </c>
      <c r="F267" s="4">
        <v>139.8</v>
      </c>
    </row>
    <row r="268" ht="22.5" customHeight="1">
      <c r="C268" s="4">
        <v>4920698.0</v>
      </c>
      <c r="D268" s="17">
        <f t="shared" si="1"/>
        <v>5240746</v>
      </c>
      <c r="E268" s="4">
        <v>7.97</v>
      </c>
      <c r="F268" s="4">
        <v>139.8</v>
      </c>
    </row>
    <row r="269" ht="22.5" customHeight="1">
      <c r="C269" s="4">
        <v>4940701.0</v>
      </c>
      <c r="D269" s="17">
        <f t="shared" si="1"/>
        <v>5260749</v>
      </c>
      <c r="E269" s="4">
        <v>7.97</v>
      </c>
      <c r="F269" s="4">
        <v>139.9</v>
      </c>
    </row>
    <row r="270" ht="22.5" customHeight="1">
      <c r="C270" s="4">
        <v>4960705.0</v>
      </c>
      <c r="D270" s="17">
        <f t="shared" si="1"/>
        <v>5280753</v>
      </c>
      <c r="E270" s="4">
        <v>7.97</v>
      </c>
      <c r="F270" s="4">
        <v>139.8</v>
      </c>
    </row>
    <row r="271" ht="22.5" customHeight="1">
      <c r="C271" s="4">
        <v>4980708.0</v>
      </c>
      <c r="D271" s="17">
        <f t="shared" si="1"/>
        <v>5300756</v>
      </c>
      <c r="E271" s="4">
        <v>7.97</v>
      </c>
      <c r="F271" s="4">
        <v>139.8</v>
      </c>
    </row>
    <row r="272" ht="22.5" customHeight="1">
      <c r="C272" s="4">
        <v>5000711.0</v>
      </c>
      <c r="D272" s="17">
        <f t="shared" si="1"/>
        <v>5320759</v>
      </c>
      <c r="E272" s="4">
        <v>7.97</v>
      </c>
      <c r="F272" s="4">
        <v>139.8</v>
      </c>
    </row>
    <row r="273" ht="22.5" customHeight="1">
      <c r="C273" s="4">
        <v>5020713.0</v>
      </c>
      <c r="D273" s="17">
        <f t="shared" si="1"/>
        <v>5340761</v>
      </c>
      <c r="E273" s="4">
        <v>7.97</v>
      </c>
      <c r="F273" s="4">
        <v>139.8</v>
      </c>
    </row>
    <row r="274" ht="22.5" customHeight="1">
      <c r="C274" s="4">
        <v>5040716.0</v>
      </c>
      <c r="D274" s="17">
        <f t="shared" si="1"/>
        <v>5360764</v>
      </c>
      <c r="E274" s="4">
        <v>7.97</v>
      </c>
      <c r="F274" s="4">
        <v>139.8</v>
      </c>
    </row>
    <row r="275" ht="22.5" customHeight="1">
      <c r="C275" s="4">
        <v>5060719.0</v>
      </c>
      <c r="D275" s="17">
        <f t="shared" si="1"/>
        <v>5380767</v>
      </c>
      <c r="E275" s="4">
        <v>7.97</v>
      </c>
      <c r="F275" s="4">
        <v>139.9</v>
      </c>
    </row>
    <row r="276" ht="22.5" customHeight="1">
      <c r="C276" s="4">
        <v>5080722.0</v>
      </c>
      <c r="D276" s="17">
        <f t="shared" si="1"/>
        <v>5400770</v>
      </c>
      <c r="E276" s="4">
        <v>7.97</v>
      </c>
      <c r="F276" s="4">
        <v>139.8</v>
      </c>
    </row>
    <row r="277" ht="22.5" customHeight="1">
      <c r="C277" s="4">
        <v>5100725.0</v>
      </c>
      <c r="D277" s="17">
        <f t="shared" si="1"/>
        <v>5420773</v>
      </c>
      <c r="E277" s="4">
        <v>7.97</v>
      </c>
      <c r="F277" s="4">
        <v>139.8</v>
      </c>
    </row>
    <row r="278" ht="22.5" customHeight="1">
      <c r="C278" s="4">
        <v>5120728.0</v>
      </c>
      <c r="D278" s="17">
        <f t="shared" si="1"/>
        <v>5440776</v>
      </c>
      <c r="E278" s="4">
        <v>7.97</v>
      </c>
      <c r="F278" s="4">
        <v>139.8</v>
      </c>
    </row>
    <row r="279" ht="22.5" customHeight="1">
      <c r="C279" s="4">
        <v>5140730.0</v>
      </c>
      <c r="D279" s="17">
        <f t="shared" si="1"/>
        <v>5460778</v>
      </c>
      <c r="E279" s="4">
        <v>7.97</v>
      </c>
      <c r="F279" s="4">
        <v>139.8</v>
      </c>
    </row>
    <row r="280" ht="22.5" customHeight="1">
      <c r="C280" s="4">
        <v>5160733.0</v>
      </c>
      <c r="D280" s="17">
        <f t="shared" si="1"/>
        <v>5480781</v>
      </c>
      <c r="E280" s="4">
        <v>7.97</v>
      </c>
      <c r="F280" s="4">
        <v>139.9</v>
      </c>
    </row>
    <row r="281" ht="22.5" customHeight="1">
      <c r="C281" s="4">
        <v>5180736.0</v>
      </c>
      <c r="D281" s="17">
        <f t="shared" si="1"/>
        <v>5500784</v>
      </c>
      <c r="E281" s="4">
        <v>7.97</v>
      </c>
      <c r="F281" s="4">
        <v>139.8</v>
      </c>
    </row>
    <row r="282" ht="22.5" customHeight="1">
      <c r="C282" s="4">
        <v>5200739.0</v>
      </c>
      <c r="D282" s="17">
        <f t="shared" si="1"/>
        <v>5520787</v>
      </c>
      <c r="E282" s="4">
        <v>7.97</v>
      </c>
      <c r="F282" s="4">
        <v>139.8</v>
      </c>
    </row>
    <row r="283" ht="22.5" customHeight="1">
      <c r="C283" s="4">
        <v>5220742.0</v>
      </c>
      <c r="D283" s="17">
        <f t="shared" si="1"/>
        <v>5540790</v>
      </c>
      <c r="E283" s="4">
        <v>7.97</v>
      </c>
      <c r="F283" s="4">
        <v>139.8</v>
      </c>
    </row>
    <row r="284" ht="22.5" customHeight="1">
      <c r="C284" s="4">
        <v>5240744.0</v>
      </c>
      <c r="D284" s="17">
        <f t="shared" si="1"/>
        <v>5560792</v>
      </c>
      <c r="E284" s="4">
        <v>7.97</v>
      </c>
      <c r="F284" s="4">
        <v>139.8</v>
      </c>
    </row>
    <row r="285" ht="22.5" customHeight="1">
      <c r="C285" s="4">
        <v>5260747.0</v>
      </c>
      <c r="D285" s="17">
        <f t="shared" si="1"/>
        <v>5580795</v>
      </c>
      <c r="E285" s="4">
        <v>7.96</v>
      </c>
      <c r="F285" s="4">
        <v>139.8</v>
      </c>
    </row>
    <row r="286" ht="22.5" customHeight="1">
      <c r="C286" s="4">
        <v>5280750.0</v>
      </c>
      <c r="D286" s="17">
        <f t="shared" si="1"/>
        <v>5600798</v>
      </c>
      <c r="E286" s="4">
        <v>7.97</v>
      </c>
      <c r="F286" s="4">
        <v>139.8</v>
      </c>
    </row>
    <row r="287" ht="22.5" customHeight="1">
      <c r="C287" s="4">
        <v>5300753.0</v>
      </c>
      <c r="D287" s="17">
        <f t="shared" si="1"/>
        <v>5620801</v>
      </c>
      <c r="E287" s="4">
        <v>7.96</v>
      </c>
      <c r="F287" s="4">
        <v>139.8</v>
      </c>
    </row>
    <row r="288" ht="22.5" customHeight="1">
      <c r="C288" s="4">
        <v>5320756.0</v>
      </c>
      <c r="D288" s="17">
        <f t="shared" si="1"/>
        <v>5640804</v>
      </c>
      <c r="E288" s="4">
        <v>7.96</v>
      </c>
      <c r="F288" s="4">
        <v>139.8</v>
      </c>
    </row>
    <row r="289" ht="22.5" customHeight="1">
      <c r="C289" s="4">
        <v>5340759.0</v>
      </c>
      <c r="D289" s="17">
        <f t="shared" si="1"/>
        <v>5660807</v>
      </c>
      <c r="E289" s="4">
        <v>7.97</v>
      </c>
      <c r="F289" s="4">
        <v>139.8</v>
      </c>
    </row>
    <row r="290" ht="22.5" customHeight="1">
      <c r="C290" s="4">
        <v>5360761.0</v>
      </c>
      <c r="D290" s="17">
        <f t="shared" si="1"/>
        <v>5680809</v>
      </c>
      <c r="E290" s="4">
        <v>7.97</v>
      </c>
      <c r="F290" s="4">
        <v>139.8</v>
      </c>
    </row>
    <row r="291" ht="22.5" customHeight="1">
      <c r="C291" s="4">
        <v>5380764.0</v>
      </c>
      <c r="D291" s="17">
        <f t="shared" si="1"/>
        <v>5700812</v>
      </c>
      <c r="E291" s="4">
        <v>7.96</v>
      </c>
      <c r="F291" s="4">
        <v>139.8</v>
      </c>
    </row>
    <row r="292" ht="22.5" customHeight="1">
      <c r="C292" s="4">
        <v>5400767.0</v>
      </c>
      <c r="D292" s="17">
        <f t="shared" si="1"/>
        <v>5720815</v>
      </c>
      <c r="E292" s="4">
        <v>7.96</v>
      </c>
      <c r="F292" s="4">
        <v>139.8</v>
      </c>
    </row>
    <row r="293" ht="22.5" customHeight="1">
      <c r="C293" s="4">
        <v>5420770.0</v>
      </c>
      <c r="D293" s="17">
        <f t="shared" si="1"/>
        <v>5740818</v>
      </c>
      <c r="E293" s="4">
        <v>7.97</v>
      </c>
      <c r="F293" s="4">
        <v>139.8</v>
      </c>
    </row>
    <row r="294" ht="22.5" customHeight="1">
      <c r="C294" s="4">
        <v>5440773.0</v>
      </c>
      <c r="D294" s="17">
        <f t="shared" si="1"/>
        <v>5760821</v>
      </c>
      <c r="E294" s="4">
        <v>7.96</v>
      </c>
      <c r="F294" s="4">
        <v>139.8</v>
      </c>
    </row>
    <row r="295" ht="22.5" customHeight="1">
      <c r="C295" s="4">
        <v>5460775.0</v>
      </c>
      <c r="D295" s="17">
        <f t="shared" si="1"/>
        <v>5780823</v>
      </c>
      <c r="E295" s="4">
        <v>7.96</v>
      </c>
      <c r="F295" s="4">
        <v>139.7</v>
      </c>
    </row>
    <row r="296" ht="22.5" customHeight="1">
      <c r="C296" s="4">
        <v>5480778.0</v>
      </c>
      <c r="D296" s="17">
        <f t="shared" si="1"/>
        <v>5800826</v>
      </c>
      <c r="E296" s="4">
        <v>7.97</v>
      </c>
      <c r="F296" s="4">
        <v>139.8</v>
      </c>
    </row>
    <row r="297" ht="22.5" customHeight="1">
      <c r="C297" s="4">
        <v>5500781.0</v>
      </c>
      <c r="D297" s="17">
        <f t="shared" si="1"/>
        <v>5820829</v>
      </c>
      <c r="E297" s="4">
        <v>7.96</v>
      </c>
      <c r="F297" s="4">
        <v>139.7</v>
      </c>
    </row>
    <row r="298" ht="22.5" customHeight="1">
      <c r="C298" s="4">
        <v>5520784.0</v>
      </c>
      <c r="D298" s="17">
        <f t="shared" si="1"/>
        <v>5840832</v>
      </c>
      <c r="E298" s="4">
        <v>7.96</v>
      </c>
      <c r="F298" s="4">
        <v>139.8</v>
      </c>
    </row>
    <row r="299" ht="22.5" customHeight="1">
      <c r="C299" s="4">
        <v>5540787.0</v>
      </c>
      <c r="D299" s="17">
        <f t="shared" si="1"/>
        <v>5860835</v>
      </c>
      <c r="E299" s="4">
        <v>7.96</v>
      </c>
      <c r="F299" s="4">
        <v>139.7</v>
      </c>
    </row>
    <row r="300" ht="22.5" customHeight="1">
      <c r="C300" s="4">
        <v>5560790.0</v>
      </c>
      <c r="D300" s="17">
        <f t="shared" si="1"/>
        <v>5880838</v>
      </c>
      <c r="E300" s="4">
        <v>7.96</v>
      </c>
      <c r="F300" s="4">
        <v>139.7</v>
      </c>
    </row>
    <row r="301" ht="22.5" customHeight="1">
      <c r="C301" s="4">
        <v>5580792.0</v>
      </c>
      <c r="D301" s="17">
        <f t="shared" si="1"/>
        <v>5900840</v>
      </c>
      <c r="E301" s="4">
        <v>7.96</v>
      </c>
      <c r="F301" s="4">
        <v>139.7</v>
      </c>
    </row>
    <row r="302" ht="22.5" customHeight="1">
      <c r="C302" s="4">
        <v>5600795.0</v>
      </c>
      <c r="D302" s="17">
        <f t="shared" si="1"/>
        <v>5920843</v>
      </c>
      <c r="E302" s="4">
        <v>7.96</v>
      </c>
      <c r="F302" s="4">
        <v>139.7</v>
      </c>
    </row>
    <row r="303" ht="22.5" customHeight="1">
      <c r="C303" s="4">
        <v>5620798.0</v>
      </c>
      <c r="D303" s="17">
        <f t="shared" si="1"/>
        <v>5940846</v>
      </c>
      <c r="E303" s="4">
        <v>7.97</v>
      </c>
      <c r="F303" s="4">
        <v>139.8</v>
      </c>
    </row>
    <row r="304" ht="22.5" customHeight="1">
      <c r="C304" s="4">
        <v>5640801.0</v>
      </c>
      <c r="D304" s="17">
        <f t="shared" si="1"/>
        <v>5960849</v>
      </c>
      <c r="E304" s="4">
        <v>7.96</v>
      </c>
      <c r="F304" s="4">
        <v>139.7</v>
      </c>
    </row>
    <row r="305" ht="22.5" customHeight="1">
      <c r="C305" s="4">
        <v>5660804.0</v>
      </c>
      <c r="D305" s="17">
        <f t="shared" si="1"/>
        <v>5980852</v>
      </c>
      <c r="E305" s="4">
        <v>7.97</v>
      </c>
      <c r="F305" s="4">
        <v>139.8</v>
      </c>
    </row>
    <row r="306" ht="22.5" customHeight="1">
      <c r="C306" s="4">
        <v>5680806.0</v>
      </c>
      <c r="D306" s="17">
        <f t="shared" si="1"/>
        <v>6000854</v>
      </c>
      <c r="E306" s="4">
        <v>7.96</v>
      </c>
      <c r="F306" s="4">
        <v>139.8</v>
      </c>
    </row>
    <row r="307" ht="22.5" customHeight="1">
      <c r="C307" s="4">
        <v>5700809.0</v>
      </c>
      <c r="D307" s="17">
        <f t="shared" si="1"/>
        <v>6020857</v>
      </c>
      <c r="E307" s="4">
        <v>7.96</v>
      </c>
      <c r="F307" s="4">
        <v>139.7</v>
      </c>
    </row>
    <row r="308" ht="22.5" customHeight="1">
      <c r="C308" s="4">
        <v>5720813.0</v>
      </c>
      <c r="D308" s="17">
        <f t="shared" si="1"/>
        <v>6040861</v>
      </c>
      <c r="E308" s="4">
        <v>7.96</v>
      </c>
      <c r="F308" s="4">
        <v>139.7</v>
      </c>
    </row>
    <row r="309" ht="22.5" customHeight="1">
      <c r="C309" s="4">
        <v>5740816.0</v>
      </c>
      <c r="D309" s="17">
        <f t="shared" si="1"/>
        <v>6060864</v>
      </c>
      <c r="E309" s="4">
        <v>7.96</v>
      </c>
      <c r="F309" s="4">
        <v>139.7</v>
      </c>
    </row>
    <row r="310" ht="22.5" customHeight="1">
      <c r="C310" s="4">
        <v>5760819.0</v>
      </c>
      <c r="D310" s="17">
        <f t="shared" si="1"/>
        <v>6080867</v>
      </c>
      <c r="E310" s="4">
        <v>7.96</v>
      </c>
      <c r="F310" s="4">
        <v>139.8</v>
      </c>
    </row>
    <row r="311" ht="22.5" customHeight="1">
      <c r="C311" s="4">
        <v>5780822.0</v>
      </c>
      <c r="D311" s="17">
        <f t="shared" si="1"/>
        <v>6100870</v>
      </c>
      <c r="E311" s="4">
        <v>7.96</v>
      </c>
      <c r="F311" s="4">
        <v>139.7</v>
      </c>
    </row>
    <row r="312" ht="22.5" customHeight="1">
      <c r="C312" s="4">
        <v>5800824.0</v>
      </c>
      <c r="D312" s="17">
        <f t="shared" si="1"/>
        <v>6120872</v>
      </c>
      <c r="E312" s="4">
        <v>7.96</v>
      </c>
      <c r="F312" s="4">
        <v>139.7</v>
      </c>
    </row>
    <row r="313" ht="22.5" customHeight="1">
      <c r="C313" s="4">
        <v>5820827.0</v>
      </c>
      <c r="D313" s="17">
        <f t="shared" si="1"/>
        <v>6140875</v>
      </c>
      <c r="E313" s="4">
        <v>7.96</v>
      </c>
      <c r="F313" s="4">
        <v>139.7</v>
      </c>
    </row>
    <row r="314" ht="22.5" customHeight="1">
      <c r="C314" s="4">
        <v>5840830.0</v>
      </c>
      <c r="D314" s="17">
        <f t="shared" si="1"/>
        <v>6160878</v>
      </c>
      <c r="E314" s="4">
        <v>7.96</v>
      </c>
      <c r="F314" s="4">
        <v>139.7</v>
      </c>
    </row>
    <row r="315" ht="22.5" customHeight="1">
      <c r="C315" s="4">
        <v>5860833.0</v>
      </c>
      <c r="D315" s="17">
        <f t="shared" si="1"/>
        <v>6180881</v>
      </c>
      <c r="E315" s="4">
        <v>7.96</v>
      </c>
      <c r="F315" s="4">
        <v>139.7</v>
      </c>
    </row>
    <row r="316" ht="22.5" customHeight="1">
      <c r="C316" s="4">
        <v>5880836.0</v>
      </c>
      <c r="D316" s="17">
        <f t="shared" si="1"/>
        <v>6200884</v>
      </c>
      <c r="E316" s="4">
        <v>7.96</v>
      </c>
      <c r="F316" s="4">
        <v>139.7</v>
      </c>
    </row>
    <row r="317" ht="22.5" customHeight="1">
      <c r="C317" s="4">
        <v>5900838.0</v>
      </c>
      <c r="D317" s="17">
        <f t="shared" si="1"/>
        <v>6220886</v>
      </c>
      <c r="E317" s="4">
        <v>7.96</v>
      </c>
      <c r="F317" s="4">
        <v>139.6</v>
      </c>
    </row>
    <row r="318" ht="22.5" customHeight="1">
      <c r="C318" s="4">
        <v>5920841.0</v>
      </c>
      <c r="D318" s="17">
        <f t="shared" si="1"/>
        <v>6240889</v>
      </c>
      <c r="E318" s="4">
        <v>7.96</v>
      </c>
      <c r="F318" s="4">
        <v>139.7</v>
      </c>
    </row>
    <row r="319" ht="22.5" customHeight="1">
      <c r="C319" s="4">
        <v>5940844.0</v>
      </c>
      <c r="D319" s="17">
        <f t="shared" si="1"/>
        <v>6260892</v>
      </c>
      <c r="E319" s="4">
        <v>7.96</v>
      </c>
      <c r="F319" s="4">
        <v>139.7</v>
      </c>
    </row>
    <row r="320" ht="22.5" customHeight="1">
      <c r="C320" s="4">
        <v>5960847.0</v>
      </c>
      <c r="D320" s="17">
        <f t="shared" si="1"/>
        <v>6280895</v>
      </c>
      <c r="E320" s="4">
        <v>7.96</v>
      </c>
      <c r="F320" s="4">
        <v>139.7</v>
      </c>
    </row>
    <row r="321" ht="22.5" customHeight="1">
      <c r="C321" s="4">
        <v>5980850.0</v>
      </c>
      <c r="D321" s="17">
        <f t="shared" si="1"/>
        <v>6300898</v>
      </c>
      <c r="E321" s="4">
        <v>7.96</v>
      </c>
      <c r="F321" s="4">
        <v>139.6</v>
      </c>
    </row>
    <row r="322" ht="22.5" customHeight="1">
      <c r="C322" s="4">
        <v>6000852.0</v>
      </c>
      <c r="D322" s="17">
        <f t="shared" si="1"/>
        <v>6320900</v>
      </c>
      <c r="E322" s="4">
        <v>7.96</v>
      </c>
      <c r="F322" s="4">
        <v>139.8</v>
      </c>
    </row>
    <row r="323" ht="22.5" customHeight="1">
      <c r="C323" s="4">
        <v>6020855.0</v>
      </c>
      <c r="D323" s="17">
        <f t="shared" si="1"/>
        <v>6340903</v>
      </c>
      <c r="E323" s="4">
        <v>7.96</v>
      </c>
      <c r="F323" s="4">
        <v>139.7</v>
      </c>
    </row>
    <row r="324" ht="22.5" customHeight="1">
      <c r="C324" s="4">
        <v>6040858.0</v>
      </c>
      <c r="D324" s="17">
        <f t="shared" si="1"/>
        <v>6360906</v>
      </c>
      <c r="E324" s="4">
        <v>7.96</v>
      </c>
      <c r="F324" s="4">
        <v>139.7</v>
      </c>
    </row>
    <row r="325" ht="22.5" customHeight="1">
      <c r="C325" s="4">
        <v>6060861.0</v>
      </c>
      <c r="D325" s="17">
        <f t="shared" si="1"/>
        <v>6380909</v>
      </c>
      <c r="E325" s="4">
        <v>7.96</v>
      </c>
      <c r="F325" s="4">
        <v>139.7</v>
      </c>
    </row>
    <row r="326" ht="22.5" customHeight="1">
      <c r="C326" s="4">
        <v>6080864.0</v>
      </c>
      <c r="D326" s="17">
        <f t="shared" si="1"/>
        <v>6400912</v>
      </c>
      <c r="E326" s="4">
        <v>7.96</v>
      </c>
      <c r="F326" s="4">
        <v>139.7</v>
      </c>
    </row>
    <row r="327" ht="22.5" customHeight="1">
      <c r="C327" s="4">
        <v>6100867.0</v>
      </c>
      <c r="D327" s="17">
        <f t="shared" si="1"/>
        <v>6420915</v>
      </c>
      <c r="E327" s="4">
        <v>7.96</v>
      </c>
      <c r="F327" s="4">
        <v>139.7</v>
      </c>
    </row>
    <row r="328" ht="22.5" customHeight="1">
      <c r="C328" s="4">
        <v>6120869.0</v>
      </c>
      <c r="D328" s="17">
        <f t="shared" si="1"/>
        <v>6440917</v>
      </c>
      <c r="E328" s="4">
        <v>7.96</v>
      </c>
      <c r="F328" s="4">
        <v>139.7</v>
      </c>
    </row>
    <row r="329" ht="22.5" customHeight="1">
      <c r="C329" s="4">
        <v>6140872.0</v>
      </c>
      <c r="D329" s="17">
        <f t="shared" si="1"/>
        <v>6460920</v>
      </c>
      <c r="E329" s="4">
        <v>7.96</v>
      </c>
      <c r="F329" s="4">
        <v>139.6</v>
      </c>
    </row>
    <row r="330" ht="22.5" customHeight="1">
      <c r="C330" s="4">
        <v>6160875.0</v>
      </c>
      <c r="D330" s="17">
        <f t="shared" si="1"/>
        <v>6480923</v>
      </c>
      <c r="E330" s="4">
        <v>7.96</v>
      </c>
      <c r="F330" s="4">
        <v>139.6</v>
      </c>
    </row>
    <row r="331" ht="22.5" customHeight="1">
      <c r="C331" s="4">
        <v>6180878.0</v>
      </c>
      <c r="D331" s="17">
        <f t="shared" si="1"/>
        <v>6500926</v>
      </c>
      <c r="E331" s="4">
        <v>7.96</v>
      </c>
      <c r="F331" s="4">
        <v>139.6</v>
      </c>
    </row>
    <row r="332" ht="22.5" customHeight="1">
      <c r="C332" s="4">
        <v>6200881.0</v>
      </c>
      <c r="D332" s="17">
        <f t="shared" si="1"/>
        <v>6520929</v>
      </c>
      <c r="E332" s="4">
        <v>7.96</v>
      </c>
      <c r="F332" s="4">
        <v>139.7</v>
      </c>
    </row>
    <row r="333" ht="22.5" customHeight="1">
      <c r="C333" s="4">
        <v>6220883.0</v>
      </c>
      <c r="D333" s="17">
        <f t="shared" si="1"/>
        <v>6540931</v>
      </c>
      <c r="E333" s="4">
        <v>7.96</v>
      </c>
      <c r="F333" s="4">
        <v>139.6</v>
      </c>
    </row>
    <row r="334" ht="22.5" customHeight="1">
      <c r="C334" s="4">
        <v>6240886.0</v>
      </c>
      <c r="D334" s="17">
        <f t="shared" si="1"/>
        <v>6560934</v>
      </c>
      <c r="E334" s="4">
        <v>7.96</v>
      </c>
      <c r="F334" s="4">
        <v>139.6</v>
      </c>
    </row>
    <row r="335" ht="22.5" customHeight="1">
      <c r="C335" s="4">
        <v>6260889.0</v>
      </c>
      <c r="D335" s="17">
        <f t="shared" si="1"/>
        <v>6580937</v>
      </c>
      <c r="E335" s="4">
        <v>7.96</v>
      </c>
      <c r="F335" s="4">
        <v>139.7</v>
      </c>
    </row>
    <row r="336" ht="22.5" customHeight="1">
      <c r="C336" s="4">
        <v>6280892.0</v>
      </c>
      <c r="D336" s="17">
        <f t="shared" si="1"/>
        <v>6600940</v>
      </c>
      <c r="E336" s="4">
        <v>7.96</v>
      </c>
      <c r="F336" s="4">
        <v>139.6</v>
      </c>
    </row>
    <row r="337" ht="22.5" customHeight="1">
      <c r="C337" s="4">
        <v>6300895.0</v>
      </c>
      <c r="D337" s="17">
        <f t="shared" si="1"/>
        <v>6620943</v>
      </c>
      <c r="E337" s="4">
        <v>7.96</v>
      </c>
      <c r="F337" s="4">
        <v>139.7</v>
      </c>
    </row>
    <row r="338" ht="22.5" customHeight="1">
      <c r="C338" s="4">
        <v>6320898.0</v>
      </c>
      <c r="D338" s="17">
        <f t="shared" si="1"/>
        <v>6640946</v>
      </c>
      <c r="E338" s="4">
        <v>7.96</v>
      </c>
      <c r="F338" s="4">
        <v>139.6</v>
      </c>
    </row>
    <row r="339" ht="22.5" customHeight="1">
      <c r="C339" s="4">
        <v>6340900.0</v>
      </c>
      <c r="D339" s="17">
        <f t="shared" si="1"/>
        <v>6660948</v>
      </c>
      <c r="E339" s="4">
        <v>7.96</v>
      </c>
      <c r="F339" s="4">
        <v>139.5</v>
      </c>
    </row>
    <row r="340" ht="22.5" customHeight="1">
      <c r="C340" s="4">
        <v>6360903.0</v>
      </c>
      <c r="D340" s="17">
        <f t="shared" si="1"/>
        <v>6680951</v>
      </c>
      <c r="E340" s="4">
        <v>7.96</v>
      </c>
      <c r="F340" s="4">
        <v>139.6</v>
      </c>
    </row>
    <row r="341" ht="22.5" customHeight="1">
      <c r="C341" s="4">
        <v>6380906.0</v>
      </c>
      <c r="D341" s="17">
        <f t="shared" si="1"/>
        <v>6700954</v>
      </c>
      <c r="E341" s="4">
        <v>7.96</v>
      </c>
      <c r="F341" s="4">
        <v>139.6</v>
      </c>
    </row>
    <row r="342" ht="22.5" customHeight="1">
      <c r="C342" s="4">
        <v>6400909.0</v>
      </c>
      <c r="D342" s="17">
        <f t="shared" si="1"/>
        <v>6720957</v>
      </c>
      <c r="E342" s="4">
        <v>7.96</v>
      </c>
      <c r="F342" s="4">
        <v>139.7</v>
      </c>
    </row>
    <row r="343" ht="22.5" customHeight="1">
      <c r="C343" s="4">
        <v>6420912.0</v>
      </c>
      <c r="D343" s="17">
        <f t="shared" si="1"/>
        <v>6740960</v>
      </c>
      <c r="E343" s="4">
        <v>7.96</v>
      </c>
      <c r="F343" s="4">
        <v>139.6</v>
      </c>
    </row>
    <row r="344" ht="22.5" customHeight="1">
      <c r="C344" s="4">
        <v>6440914.0</v>
      </c>
      <c r="D344" s="17">
        <f t="shared" si="1"/>
        <v>6760962</v>
      </c>
      <c r="E344" s="4">
        <v>7.96</v>
      </c>
      <c r="F344" s="4">
        <v>139.6</v>
      </c>
    </row>
    <row r="345" ht="22.5" customHeight="1">
      <c r="C345" s="4">
        <v>6460917.0</v>
      </c>
      <c r="D345" s="17">
        <f t="shared" si="1"/>
        <v>6780965</v>
      </c>
      <c r="E345" s="4">
        <v>7.96</v>
      </c>
      <c r="F345" s="4">
        <v>139.7</v>
      </c>
    </row>
    <row r="346" ht="22.5" customHeight="1">
      <c r="C346" s="4">
        <v>6480921.0</v>
      </c>
      <c r="D346" s="17">
        <f t="shared" si="1"/>
        <v>6800969</v>
      </c>
      <c r="E346" s="4">
        <v>7.96</v>
      </c>
      <c r="F346" s="4">
        <v>139.7</v>
      </c>
    </row>
    <row r="347" ht="22.5" customHeight="1">
      <c r="C347" s="4">
        <v>6500924.0</v>
      </c>
      <c r="D347" s="17">
        <f t="shared" si="1"/>
        <v>6820972</v>
      </c>
      <c r="E347" s="4">
        <v>7.96</v>
      </c>
      <c r="F347" s="4">
        <v>139.6</v>
      </c>
    </row>
    <row r="348" ht="22.5" customHeight="1">
      <c r="C348" s="4">
        <v>6520927.0</v>
      </c>
      <c r="D348" s="17">
        <f t="shared" si="1"/>
        <v>6840975</v>
      </c>
      <c r="E348" s="4">
        <v>7.96</v>
      </c>
      <c r="F348" s="4">
        <v>139.6</v>
      </c>
    </row>
    <row r="349" ht="22.5" customHeight="1">
      <c r="C349" s="4">
        <v>6540930.0</v>
      </c>
      <c r="D349" s="17">
        <f t="shared" si="1"/>
        <v>6860978</v>
      </c>
      <c r="E349" s="4">
        <v>7.96</v>
      </c>
      <c r="F349" s="4">
        <v>139.6</v>
      </c>
    </row>
    <row r="350" ht="22.5" customHeight="1">
      <c r="C350" s="4">
        <v>6560932.0</v>
      </c>
      <c r="D350" s="17">
        <f t="shared" si="1"/>
        <v>6880980</v>
      </c>
      <c r="E350" s="4">
        <v>7.96</v>
      </c>
      <c r="F350" s="4">
        <v>139.6</v>
      </c>
    </row>
    <row r="351" ht="22.5" customHeight="1">
      <c r="C351" s="4">
        <v>6580935.0</v>
      </c>
      <c r="D351" s="17">
        <f t="shared" si="1"/>
        <v>6900983</v>
      </c>
      <c r="E351" s="4">
        <v>7.96</v>
      </c>
      <c r="F351" s="4">
        <v>139.6</v>
      </c>
    </row>
    <row r="352" ht="22.5" customHeight="1">
      <c r="C352" s="4">
        <v>6600938.0</v>
      </c>
      <c r="D352" s="17">
        <f t="shared" si="1"/>
        <v>6920986</v>
      </c>
      <c r="E352" s="4">
        <v>7.96</v>
      </c>
      <c r="F352" s="4">
        <v>139.6</v>
      </c>
    </row>
    <row r="353" ht="22.5" customHeight="1">
      <c r="C353" s="4">
        <v>6620941.0</v>
      </c>
      <c r="D353" s="17">
        <f t="shared" si="1"/>
        <v>6940989</v>
      </c>
      <c r="E353" s="4">
        <v>7.96</v>
      </c>
      <c r="F353" s="4">
        <v>139.6</v>
      </c>
    </row>
    <row r="354" ht="22.5" customHeight="1">
      <c r="C354" s="4">
        <v>6640944.0</v>
      </c>
      <c r="D354" s="17">
        <f t="shared" si="1"/>
        <v>6960992</v>
      </c>
      <c r="E354" s="4">
        <v>7.96</v>
      </c>
      <c r="F354" s="4">
        <v>139.6</v>
      </c>
    </row>
    <row r="355" ht="22.5" customHeight="1">
      <c r="C355" s="4">
        <v>6660946.0</v>
      </c>
      <c r="D355" s="17">
        <f t="shared" si="1"/>
        <v>6980994</v>
      </c>
      <c r="E355" s="4">
        <v>7.96</v>
      </c>
      <c r="F355" s="4">
        <v>139.6</v>
      </c>
    </row>
    <row r="356" ht="22.5" customHeight="1">
      <c r="C356" s="4">
        <v>6680949.0</v>
      </c>
      <c r="D356" s="17">
        <f t="shared" si="1"/>
        <v>7000997</v>
      </c>
      <c r="E356" s="4">
        <v>7.96</v>
      </c>
      <c r="F356" s="4">
        <v>139.6</v>
      </c>
    </row>
    <row r="357" ht="22.5" customHeight="1">
      <c r="C357" s="4">
        <v>6700952.0</v>
      </c>
      <c r="D357" s="17">
        <f t="shared" si="1"/>
        <v>7021000</v>
      </c>
      <c r="E357" s="4">
        <v>7.96</v>
      </c>
      <c r="F357" s="4">
        <v>139.6</v>
      </c>
    </row>
    <row r="358" ht="22.5" customHeight="1">
      <c r="C358" s="4">
        <v>6720955.0</v>
      </c>
      <c r="D358" s="17">
        <f t="shared" si="1"/>
        <v>7041003</v>
      </c>
      <c r="E358" s="4">
        <v>7.96</v>
      </c>
      <c r="F358" s="4">
        <v>139.6</v>
      </c>
    </row>
    <row r="359" ht="22.5" customHeight="1">
      <c r="C359" s="4">
        <v>6740958.0</v>
      </c>
      <c r="D359" s="17">
        <f t="shared" si="1"/>
        <v>7061006</v>
      </c>
      <c r="E359" s="4">
        <v>7.96</v>
      </c>
      <c r="F359" s="4">
        <v>139.6</v>
      </c>
    </row>
    <row r="360" ht="22.5" customHeight="1">
      <c r="C360" s="4">
        <v>6760961.0</v>
      </c>
      <c r="D360" s="17">
        <f t="shared" si="1"/>
        <v>7081009</v>
      </c>
      <c r="E360" s="4">
        <v>7.96</v>
      </c>
      <c r="F360" s="4">
        <v>139.6</v>
      </c>
    </row>
    <row r="361" ht="22.5" customHeight="1">
      <c r="C361" s="4">
        <v>6780963.0</v>
      </c>
      <c r="D361" s="17">
        <f t="shared" si="1"/>
        <v>7101011</v>
      </c>
      <c r="E361" s="4">
        <v>7.96</v>
      </c>
      <c r="F361" s="4">
        <v>139.5</v>
      </c>
    </row>
    <row r="362" ht="22.5" customHeight="1">
      <c r="C362" s="4">
        <v>6800966.0</v>
      </c>
      <c r="D362" s="17">
        <f t="shared" si="1"/>
        <v>7121014</v>
      </c>
      <c r="E362" s="4">
        <v>7.96</v>
      </c>
      <c r="F362" s="4">
        <v>139.6</v>
      </c>
    </row>
    <row r="363" ht="22.5" customHeight="1">
      <c r="C363" s="4">
        <v>6820969.0</v>
      </c>
      <c r="D363" s="17">
        <f t="shared" si="1"/>
        <v>7141017</v>
      </c>
      <c r="E363" s="4">
        <v>7.96</v>
      </c>
      <c r="F363" s="4">
        <v>139.6</v>
      </c>
    </row>
    <row r="364" ht="22.5" customHeight="1">
      <c r="C364" s="4">
        <v>6840972.0</v>
      </c>
      <c r="D364" s="17">
        <f t="shared" si="1"/>
        <v>7161020</v>
      </c>
      <c r="E364" s="4">
        <v>7.96</v>
      </c>
      <c r="F364" s="4">
        <v>139.5</v>
      </c>
    </row>
    <row r="365" ht="22.5" customHeight="1">
      <c r="C365" s="4">
        <v>6860975.0</v>
      </c>
      <c r="D365" s="17">
        <f t="shared" si="1"/>
        <v>7181023</v>
      </c>
      <c r="E365" s="4">
        <v>7.96</v>
      </c>
      <c r="F365" s="4">
        <v>139.6</v>
      </c>
    </row>
    <row r="366" ht="22.5" customHeight="1">
      <c r="C366" s="4">
        <v>6880977.0</v>
      </c>
      <c r="D366" s="17">
        <f t="shared" si="1"/>
        <v>7201025</v>
      </c>
      <c r="E366" s="4">
        <v>7.96</v>
      </c>
      <c r="F366" s="4">
        <v>139.6</v>
      </c>
    </row>
    <row r="367" ht="22.5" customHeight="1">
      <c r="C367" s="4">
        <v>6900980.0</v>
      </c>
      <c r="D367" s="17">
        <f t="shared" si="1"/>
        <v>7221028</v>
      </c>
      <c r="E367" s="4">
        <v>7.96</v>
      </c>
      <c r="F367" s="4">
        <v>139.6</v>
      </c>
    </row>
    <row r="368" ht="22.5" customHeight="1">
      <c r="C368" s="4">
        <v>6920983.0</v>
      </c>
      <c r="D368" s="17">
        <f t="shared" si="1"/>
        <v>7241031</v>
      </c>
      <c r="E368" s="4">
        <v>7.96</v>
      </c>
      <c r="F368" s="4">
        <v>139.5</v>
      </c>
    </row>
    <row r="369" ht="22.5" customHeight="1">
      <c r="C369" s="4">
        <v>6940986.0</v>
      </c>
      <c r="D369" s="17">
        <f t="shared" si="1"/>
        <v>7261034</v>
      </c>
      <c r="E369" s="4">
        <v>7.96</v>
      </c>
      <c r="F369" s="4">
        <v>139.5</v>
      </c>
    </row>
    <row r="370" ht="22.5" customHeight="1">
      <c r="C370" s="4">
        <v>6960989.0</v>
      </c>
      <c r="D370" s="17">
        <f t="shared" si="1"/>
        <v>7281037</v>
      </c>
      <c r="E370" s="4">
        <v>7.95</v>
      </c>
      <c r="F370" s="4">
        <v>139.6</v>
      </c>
    </row>
    <row r="371" ht="22.5" customHeight="1">
      <c r="C371" s="4">
        <v>6980992.0</v>
      </c>
      <c r="D371" s="17">
        <f t="shared" si="1"/>
        <v>7301040</v>
      </c>
      <c r="E371" s="4">
        <v>7.96</v>
      </c>
      <c r="F371" s="4">
        <v>139.6</v>
      </c>
    </row>
    <row r="372" ht="22.5" customHeight="1">
      <c r="C372" s="4">
        <v>7000994.0</v>
      </c>
      <c r="D372" s="17">
        <f t="shared" si="1"/>
        <v>7321042</v>
      </c>
      <c r="E372" s="4">
        <v>7.96</v>
      </c>
      <c r="F372" s="4">
        <v>139.5</v>
      </c>
    </row>
    <row r="373" ht="22.5" customHeight="1">
      <c r="C373" s="4">
        <v>7020997.0</v>
      </c>
      <c r="D373" s="17">
        <f t="shared" si="1"/>
        <v>7341045</v>
      </c>
      <c r="E373" s="4">
        <v>7.95</v>
      </c>
      <c r="F373" s="4">
        <v>139.6</v>
      </c>
    </row>
    <row r="374" ht="22.5" customHeight="1">
      <c r="C374" s="4">
        <v>7041000.0</v>
      </c>
      <c r="D374" s="17">
        <f t="shared" si="1"/>
        <v>7361048</v>
      </c>
      <c r="E374" s="4">
        <v>7.96</v>
      </c>
      <c r="F374" s="4">
        <v>139.5</v>
      </c>
    </row>
    <row r="375" ht="22.5" customHeight="1">
      <c r="C375" s="4">
        <v>7061003.0</v>
      </c>
      <c r="D375" s="17">
        <f t="shared" si="1"/>
        <v>7381051</v>
      </c>
      <c r="E375" s="4">
        <v>7.96</v>
      </c>
      <c r="F375" s="4">
        <v>139.5</v>
      </c>
    </row>
    <row r="376" ht="22.5" customHeight="1">
      <c r="C376" s="4">
        <v>7081006.0</v>
      </c>
      <c r="D376" s="17">
        <f t="shared" si="1"/>
        <v>7401054</v>
      </c>
      <c r="E376" s="4">
        <v>7.96</v>
      </c>
      <c r="F376" s="4">
        <v>139.5</v>
      </c>
    </row>
    <row r="377" ht="22.5" customHeight="1">
      <c r="C377" s="4">
        <v>7101008.0</v>
      </c>
      <c r="D377" s="17">
        <f t="shared" si="1"/>
        <v>7421056</v>
      </c>
      <c r="E377" s="4">
        <v>7.96</v>
      </c>
      <c r="F377" s="4">
        <v>139.6</v>
      </c>
    </row>
    <row r="378" ht="22.5" customHeight="1">
      <c r="C378" s="4">
        <v>7121011.0</v>
      </c>
      <c r="D378" s="17">
        <f t="shared" si="1"/>
        <v>7441059</v>
      </c>
      <c r="E378" s="4">
        <v>7.95</v>
      </c>
      <c r="F378" s="4">
        <v>139.5</v>
      </c>
    </row>
    <row r="379" ht="22.5" customHeight="1">
      <c r="C379" s="4">
        <v>7141014.0</v>
      </c>
      <c r="D379" s="17">
        <f t="shared" si="1"/>
        <v>7461062</v>
      </c>
      <c r="E379" s="4">
        <v>7.95</v>
      </c>
      <c r="F379" s="4">
        <v>139.5</v>
      </c>
    </row>
    <row r="380" ht="22.5" customHeight="1">
      <c r="C380" s="4">
        <v>7161017.0</v>
      </c>
      <c r="D380" s="17">
        <f t="shared" si="1"/>
        <v>7481065</v>
      </c>
      <c r="E380" s="4">
        <v>7.96</v>
      </c>
      <c r="F380" s="4">
        <v>139.5</v>
      </c>
    </row>
    <row r="381" ht="22.5" customHeight="1">
      <c r="C381" s="4">
        <v>7181020.0</v>
      </c>
      <c r="D381" s="17">
        <f t="shared" si="1"/>
        <v>7501068</v>
      </c>
      <c r="E381" s="4">
        <v>7.95</v>
      </c>
      <c r="F381" s="4">
        <v>139.6</v>
      </c>
    </row>
    <row r="382" ht="22.5" customHeight="1">
      <c r="C382" s="4">
        <v>7201022.0</v>
      </c>
      <c r="D382" s="17">
        <f t="shared" si="1"/>
        <v>7521070</v>
      </c>
      <c r="E382" s="4">
        <v>7.96</v>
      </c>
      <c r="F382" s="4">
        <v>139.5</v>
      </c>
    </row>
    <row r="383" ht="22.5" customHeight="1">
      <c r="C383" s="4">
        <v>7221026.0</v>
      </c>
      <c r="D383" s="17">
        <f t="shared" si="1"/>
        <v>7541074</v>
      </c>
      <c r="E383" s="4">
        <v>7.95</v>
      </c>
      <c r="F383" s="4">
        <v>139.5</v>
      </c>
    </row>
    <row r="384" ht="22.5" customHeight="1">
      <c r="C384" s="4">
        <v>7241029.0</v>
      </c>
      <c r="D384" s="17">
        <f t="shared" si="1"/>
        <v>7561077</v>
      </c>
      <c r="E384" s="4">
        <v>7.95</v>
      </c>
      <c r="F384" s="4">
        <v>139.5</v>
      </c>
    </row>
    <row r="385" ht="22.5" customHeight="1">
      <c r="C385" s="4">
        <v>7261032.0</v>
      </c>
      <c r="D385" s="17">
        <f t="shared" si="1"/>
        <v>7581080</v>
      </c>
      <c r="E385" s="4">
        <v>7.95</v>
      </c>
      <c r="F385" s="4">
        <v>139.4</v>
      </c>
    </row>
    <row r="386" ht="22.5" customHeight="1">
      <c r="C386" s="4">
        <v>7281035.0</v>
      </c>
      <c r="D386" s="17">
        <f t="shared" si="1"/>
        <v>7601083</v>
      </c>
      <c r="E386" s="4">
        <v>7.95</v>
      </c>
      <c r="F386" s="4">
        <v>139.5</v>
      </c>
    </row>
    <row r="387" ht="22.5" customHeight="1">
      <c r="C387" s="4">
        <v>7301038.0</v>
      </c>
      <c r="D387" s="17">
        <f t="shared" si="1"/>
        <v>7621086</v>
      </c>
      <c r="E387" s="4">
        <v>7.95</v>
      </c>
      <c r="F387" s="4">
        <v>139.5</v>
      </c>
    </row>
    <row r="388" ht="22.5" customHeight="1">
      <c r="C388" s="4">
        <v>7321040.0</v>
      </c>
      <c r="D388" s="17">
        <f t="shared" si="1"/>
        <v>7641088</v>
      </c>
      <c r="E388" s="4">
        <v>7.95</v>
      </c>
      <c r="F388" s="4">
        <v>139.6</v>
      </c>
    </row>
    <row r="389" ht="22.5" customHeight="1">
      <c r="C389" s="4">
        <v>7341043.0</v>
      </c>
      <c r="D389" s="17">
        <f t="shared" si="1"/>
        <v>7661091</v>
      </c>
      <c r="E389" s="4">
        <v>7.95</v>
      </c>
      <c r="F389" s="4">
        <v>139.5</v>
      </c>
    </row>
    <row r="390" ht="22.5" customHeight="1">
      <c r="C390" s="4">
        <v>7361046.0</v>
      </c>
      <c r="D390" s="17">
        <f t="shared" si="1"/>
        <v>7681094</v>
      </c>
      <c r="E390" s="4">
        <v>7.95</v>
      </c>
      <c r="F390" s="4">
        <v>139.6</v>
      </c>
    </row>
    <row r="391" ht="22.5" customHeight="1">
      <c r="C391" s="4">
        <v>7381049.0</v>
      </c>
      <c r="D391" s="17">
        <f t="shared" si="1"/>
        <v>7701097</v>
      </c>
      <c r="E391" s="4">
        <v>7.96</v>
      </c>
      <c r="F391" s="4">
        <v>139.5</v>
      </c>
    </row>
    <row r="392" ht="22.5" customHeight="1">
      <c r="C392" s="4">
        <v>7401052.0</v>
      </c>
      <c r="D392" s="17">
        <f t="shared" si="1"/>
        <v>7721100</v>
      </c>
      <c r="E392" s="4">
        <v>7.95</v>
      </c>
      <c r="F392" s="4">
        <v>139.5</v>
      </c>
    </row>
    <row r="393" ht="22.5" customHeight="1">
      <c r="C393" s="4">
        <v>7421054.0</v>
      </c>
      <c r="D393" s="17">
        <f t="shared" si="1"/>
        <v>7741102</v>
      </c>
      <c r="E393" s="4">
        <v>7.95</v>
      </c>
      <c r="F393" s="4">
        <v>139.5</v>
      </c>
    </row>
    <row r="394" ht="22.5" customHeight="1">
      <c r="C394" s="4">
        <v>7441057.0</v>
      </c>
      <c r="D394" s="17">
        <f t="shared" si="1"/>
        <v>7761105</v>
      </c>
      <c r="E394" s="4">
        <v>7.95</v>
      </c>
      <c r="F394" s="4">
        <v>139.5</v>
      </c>
    </row>
    <row r="395" ht="22.5" customHeight="1">
      <c r="C395" s="4">
        <v>7461060.0</v>
      </c>
      <c r="D395" s="17">
        <f t="shared" si="1"/>
        <v>7781108</v>
      </c>
      <c r="E395" s="4">
        <v>7.95</v>
      </c>
      <c r="F395" s="4">
        <v>139.5</v>
      </c>
    </row>
    <row r="396" ht="22.5" customHeight="1">
      <c r="C396" s="4">
        <v>7481063.0</v>
      </c>
      <c r="D396" s="17">
        <f t="shared" si="1"/>
        <v>7801111</v>
      </c>
      <c r="E396" s="4">
        <v>7.95</v>
      </c>
      <c r="F396" s="4">
        <v>139.5</v>
      </c>
    </row>
    <row r="397" ht="22.5" customHeight="1">
      <c r="C397" s="4">
        <v>7501066.0</v>
      </c>
      <c r="D397" s="17">
        <f t="shared" si="1"/>
        <v>7821114</v>
      </c>
      <c r="E397" s="4">
        <v>7.95</v>
      </c>
      <c r="F397" s="4">
        <v>139.5</v>
      </c>
    </row>
    <row r="398" ht="22.5" customHeight="1">
      <c r="C398" s="4">
        <v>7521069.0</v>
      </c>
      <c r="D398" s="17">
        <f t="shared" si="1"/>
        <v>7841117</v>
      </c>
      <c r="E398" s="4">
        <v>7.95</v>
      </c>
      <c r="F398" s="4">
        <v>139.5</v>
      </c>
    </row>
    <row r="399" ht="22.5" customHeight="1">
      <c r="C399" s="4">
        <v>7541071.0</v>
      </c>
      <c r="D399" s="17">
        <f t="shared" si="1"/>
        <v>7861119</v>
      </c>
      <c r="E399" s="4">
        <v>7.95</v>
      </c>
      <c r="F399" s="4">
        <v>139.6</v>
      </c>
    </row>
    <row r="400" ht="22.5" customHeight="1">
      <c r="C400" s="4">
        <v>7561074.0</v>
      </c>
      <c r="D400" s="17">
        <f t="shared" si="1"/>
        <v>7881122</v>
      </c>
      <c r="E400" s="4">
        <v>7.95</v>
      </c>
      <c r="F400" s="4">
        <v>139.5</v>
      </c>
    </row>
    <row r="401" ht="22.5" customHeight="1">
      <c r="C401" s="4">
        <v>7581077.0</v>
      </c>
      <c r="D401" s="17">
        <f t="shared" si="1"/>
        <v>7901125</v>
      </c>
      <c r="E401" s="4">
        <v>7.95</v>
      </c>
      <c r="F401" s="4">
        <v>139.4</v>
      </c>
    </row>
    <row r="402" ht="22.5" customHeight="1">
      <c r="C402" s="4">
        <v>7601080.0</v>
      </c>
      <c r="D402" s="17">
        <f t="shared" si="1"/>
        <v>7921128</v>
      </c>
      <c r="E402" s="4">
        <v>7.95</v>
      </c>
      <c r="F402" s="4">
        <v>139.5</v>
      </c>
    </row>
    <row r="403" ht="22.5" customHeight="1">
      <c r="C403" s="4">
        <v>7621083.0</v>
      </c>
      <c r="D403" s="17">
        <f t="shared" si="1"/>
        <v>7941131</v>
      </c>
      <c r="E403" s="4">
        <v>7.95</v>
      </c>
      <c r="F403" s="4">
        <v>139.5</v>
      </c>
    </row>
    <row r="404" ht="22.5" customHeight="1">
      <c r="C404" s="4">
        <v>7641085.0</v>
      </c>
      <c r="D404" s="17">
        <f t="shared" si="1"/>
        <v>7961133</v>
      </c>
      <c r="E404" s="4">
        <v>7.95</v>
      </c>
      <c r="F404" s="4">
        <v>139.4</v>
      </c>
    </row>
    <row r="405" ht="22.5" customHeight="1">
      <c r="C405" s="4">
        <v>7661088.0</v>
      </c>
      <c r="D405" s="17">
        <f t="shared" si="1"/>
        <v>7981136</v>
      </c>
      <c r="E405" s="4">
        <v>7.95</v>
      </c>
      <c r="F405" s="4">
        <v>139.5</v>
      </c>
    </row>
    <row r="406" ht="22.5" customHeight="1">
      <c r="C406" s="4">
        <v>7681091.0</v>
      </c>
      <c r="D406" s="17">
        <f t="shared" si="1"/>
        <v>8001139</v>
      </c>
      <c r="E406" s="4">
        <v>7.95</v>
      </c>
      <c r="F406" s="4">
        <v>139.5</v>
      </c>
    </row>
    <row r="407" ht="22.5" customHeight="1">
      <c r="C407" s="4">
        <v>7701094.0</v>
      </c>
      <c r="D407" s="17">
        <f t="shared" si="1"/>
        <v>8021142</v>
      </c>
      <c r="E407" s="4">
        <v>7.95</v>
      </c>
      <c r="F407" s="4">
        <v>139.5</v>
      </c>
    </row>
    <row r="408" ht="22.5" customHeight="1">
      <c r="C408" s="4">
        <v>7721097.0</v>
      </c>
      <c r="D408" s="17">
        <f t="shared" si="1"/>
        <v>8041145</v>
      </c>
      <c r="E408" s="4">
        <v>7.95</v>
      </c>
      <c r="F408" s="4">
        <v>139.5</v>
      </c>
    </row>
    <row r="409" ht="22.5" customHeight="1">
      <c r="C409" s="4">
        <v>7741100.0</v>
      </c>
      <c r="D409" s="17">
        <f t="shared" si="1"/>
        <v>8061148</v>
      </c>
      <c r="E409" s="4">
        <v>7.95</v>
      </c>
      <c r="F409" s="4">
        <v>139.4</v>
      </c>
    </row>
    <row r="410" ht="22.5" customHeight="1">
      <c r="C410" s="4">
        <v>7761102.0</v>
      </c>
      <c r="D410" s="17">
        <f t="shared" si="1"/>
        <v>8081150</v>
      </c>
      <c r="E410" s="4">
        <v>7.95</v>
      </c>
      <c r="F410" s="4">
        <v>139.4</v>
      </c>
    </row>
    <row r="411" ht="22.5" customHeight="1">
      <c r="C411" s="4">
        <v>7781105.0</v>
      </c>
      <c r="D411" s="17">
        <f t="shared" si="1"/>
        <v>8101153</v>
      </c>
      <c r="E411" s="4">
        <v>7.95</v>
      </c>
      <c r="F411" s="4">
        <v>139.5</v>
      </c>
    </row>
    <row r="412" ht="22.5" customHeight="1">
      <c r="C412" s="4">
        <v>7801108.0</v>
      </c>
      <c r="D412" s="17">
        <f t="shared" si="1"/>
        <v>8121156</v>
      </c>
      <c r="E412" s="4">
        <v>7.95</v>
      </c>
      <c r="F412" s="4">
        <v>139.4</v>
      </c>
    </row>
    <row r="413" ht="22.5" customHeight="1">
      <c r="C413" s="4">
        <v>7821111.0</v>
      </c>
      <c r="D413" s="17">
        <f t="shared" si="1"/>
        <v>8141159</v>
      </c>
      <c r="E413" s="4">
        <v>7.95</v>
      </c>
      <c r="F413" s="4">
        <v>139.4</v>
      </c>
    </row>
    <row r="414" ht="22.5" customHeight="1">
      <c r="C414" s="4">
        <v>7841114.0</v>
      </c>
      <c r="D414" s="17">
        <f t="shared" si="1"/>
        <v>8161162</v>
      </c>
      <c r="E414" s="4">
        <v>7.95</v>
      </c>
      <c r="F414" s="4">
        <v>139.4</v>
      </c>
    </row>
    <row r="415" ht="22.5" customHeight="1">
      <c r="C415" s="4">
        <v>7861116.0</v>
      </c>
      <c r="D415" s="17">
        <f t="shared" si="1"/>
        <v>8181164</v>
      </c>
      <c r="E415" s="4">
        <v>7.95</v>
      </c>
      <c r="F415" s="4">
        <v>139.5</v>
      </c>
    </row>
    <row r="416" ht="22.5" customHeight="1">
      <c r="C416" s="4">
        <v>7881119.0</v>
      </c>
      <c r="D416" s="17">
        <f t="shared" si="1"/>
        <v>8201167</v>
      </c>
      <c r="E416" s="4">
        <v>7.95</v>
      </c>
      <c r="F416" s="4">
        <v>139.4</v>
      </c>
    </row>
    <row r="417" ht="22.5" customHeight="1">
      <c r="C417" s="4">
        <v>7901122.0</v>
      </c>
      <c r="D417" s="17">
        <f t="shared" si="1"/>
        <v>8221170</v>
      </c>
      <c r="E417" s="4">
        <v>7.95</v>
      </c>
      <c r="F417" s="4">
        <v>139.4</v>
      </c>
    </row>
    <row r="418" ht="22.5" customHeight="1">
      <c r="C418" s="4">
        <v>7921125.0</v>
      </c>
      <c r="D418" s="17">
        <f t="shared" si="1"/>
        <v>8241173</v>
      </c>
      <c r="E418" s="4">
        <v>7.95</v>
      </c>
      <c r="F418" s="4">
        <v>139.5</v>
      </c>
    </row>
    <row r="419" ht="22.5" customHeight="1">
      <c r="C419" s="4">
        <v>7941128.0</v>
      </c>
      <c r="D419" s="17">
        <f t="shared" si="1"/>
        <v>8261176</v>
      </c>
      <c r="E419" s="4">
        <v>7.95</v>
      </c>
      <c r="F419" s="4">
        <v>139.5</v>
      </c>
    </row>
    <row r="420" ht="22.5" customHeight="1">
      <c r="C420" s="4">
        <v>7961131.0</v>
      </c>
      <c r="D420" s="17">
        <f t="shared" si="1"/>
        <v>8281179</v>
      </c>
      <c r="E420" s="4">
        <v>7.95</v>
      </c>
      <c r="F420" s="4">
        <v>139.4</v>
      </c>
    </row>
    <row r="421" ht="22.5" customHeight="1">
      <c r="C421" s="4">
        <v>7981134.0</v>
      </c>
      <c r="D421" s="17">
        <f t="shared" si="1"/>
        <v>8301182</v>
      </c>
      <c r="E421" s="4">
        <v>7.95</v>
      </c>
      <c r="F421" s="4">
        <v>139.4</v>
      </c>
    </row>
    <row r="422" ht="22.5" customHeight="1">
      <c r="C422" s="4">
        <v>8001137.0</v>
      </c>
      <c r="D422" s="17">
        <f t="shared" si="1"/>
        <v>8321185</v>
      </c>
      <c r="E422" s="4">
        <v>7.95</v>
      </c>
      <c r="F422" s="4">
        <v>139.4</v>
      </c>
    </row>
    <row r="423" ht="22.5" customHeight="1">
      <c r="C423" s="4">
        <v>8021140.0</v>
      </c>
      <c r="D423" s="17">
        <f t="shared" si="1"/>
        <v>8341188</v>
      </c>
      <c r="E423" s="4">
        <v>7.95</v>
      </c>
      <c r="F423" s="4">
        <v>139.4</v>
      </c>
    </row>
    <row r="424" ht="22.5" customHeight="1">
      <c r="C424" s="4">
        <v>8041143.0</v>
      </c>
      <c r="D424" s="17">
        <f t="shared" si="1"/>
        <v>8361191</v>
      </c>
      <c r="E424" s="4">
        <v>7.95</v>
      </c>
      <c r="F424" s="4">
        <v>139.4</v>
      </c>
    </row>
    <row r="425" ht="22.5" customHeight="1">
      <c r="C425" s="4">
        <v>8061146.0</v>
      </c>
      <c r="D425" s="17">
        <f t="shared" si="1"/>
        <v>8381194</v>
      </c>
      <c r="E425" s="4">
        <v>7.95</v>
      </c>
      <c r="F425" s="4">
        <v>139.5</v>
      </c>
    </row>
    <row r="426" ht="22.5" customHeight="1">
      <c r="C426" s="4">
        <v>8081148.0</v>
      </c>
      <c r="D426" s="17">
        <f t="shared" si="1"/>
        <v>8401196</v>
      </c>
      <c r="E426" s="4">
        <v>7.95</v>
      </c>
      <c r="F426" s="4">
        <v>139.4</v>
      </c>
    </row>
    <row r="427" ht="22.5" customHeight="1">
      <c r="C427" s="4">
        <v>8101151.0</v>
      </c>
      <c r="D427" s="17">
        <f t="shared" si="1"/>
        <v>8421199</v>
      </c>
      <c r="E427" s="4">
        <v>7.95</v>
      </c>
      <c r="F427" s="4">
        <v>139.3</v>
      </c>
    </row>
    <row r="428" ht="22.5" customHeight="1">
      <c r="C428" s="4">
        <v>8121154.0</v>
      </c>
      <c r="D428" s="17">
        <f t="shared" si="1"/>
        <v>8441202</v>
      </c>
      <c r="E428" s="4">
        <v>7.95</v>
      </c>
      <c r="F428" s="4">
        <v>139.4</v>
      </c>
    </row>
    <row r="429" ht="22.5" customHeight="1">
      <c r="C429" s="4">
        <v>8141157.0</v>
      </c>
      <c r="D429" s="17">
        <f t="shared" si="1"/>
        <v>8461205</v>
      </c>
      <c r="E429" s="4">
        <v>7.95</v>
      </c>
      <c r="F429" s="4">
        <v>139.4</v>
      </c>
    </row>
    <row r="430" ht="22.5" customHeight="1">
      <c r="C430" s="4">
        <v>8161160.0</v>
      </c>
      <c r="D430" s="17">
        <f t="shared" si="1"/>
        <v>8481208</v>
      </c>
      <c r="E430" s="4">
        <v>7.95</v>
      </c>
      <c r="F430" s="4">
        <v>139.4</v>
      </c>
    </row>
    <row r="431" ht="22.5" customHeight="1">
      <c r="C431" s="4">
        <v>8181163.0</v>
      </c>
      <c r="D431" s="17">
        <f t="shared" si="1"/>
        <v>8501211</v>
      </c>
      <c r="E431" s="4">
        <v>7.94</v>
      </c>
      <c r="F431" s="4">
        <v>139.4</v>
      </c>
    </row>
    <row r="432" ht="22.5" customHeight="1">
      <c r="C432" s="4">
        <v>8201165.0</v>
      </c>
      <c r="D432" s="17">
        <f t="shared" si="1"/>
        <v>8521213</v>
      </c>
      <c r="E432" s="4">
        <v>7.94</v>
      </c>
      <c r="F432" s="4">
        <v>139.4</v>
      </c>
    </row>
    <row r="433" ht="22.5" customHeight="1">
      <c r="C433" s="4">
        <v>8221168.0</v>
      </c>
      <c r="D433" s="17">
        <f t="shared" si="1"/>
        <v>8541216</v>
      </c>
      <c r="E433" s="4">
        <v>7.94</v>
      </c>
      <c r="F433" s="4">
        <v>139.4</v>
      </c>
    </row>
    <row r="434" ht="22.5" customHeight="1">
      <c r="C434" s="4">
        <v>8241171.0</v>
      </c>
      <c r="D434" s="17">
        <f t="shared" si="1"/>
        <v>8561219</v>
      </c>
      <c r="E434" s="4">
        <v>7.94</v>
      </c>
      <c r="F434" s="4">
        <v>139.4</v>
      </c>
    </row>
    <row r="435" ht="22.5" customHeight="1">
      <c r="C435" s="4">
        <v>8261174.0</v>
      </c>
      <c r="D435" s="17">
        <f t="shared" si="1"/>
        <v>8581222</v>
      </c>
      <c r="E435" s="4">
        <v>7.94</v>
      </c>
      <c r="F435" s="4">
        <v>139.4</v>
      </c>
    </row>
    <row r="436" ht="22.5" customHeight="1">
      <c r="C436" s="4">
        <v>8281177.0</v>
      </c>
      <c r="D436" s="17">
        <f t="shared" si="1"/>
        <v>8601225</v>
      </c>
      <c r="E436" s="4">
        <v>7.94</v>
      </c>
      <c r="F436" s="4">
        <v>139.4</v>
      </c>
    </row>
    <row r="437" ht="22.5" customHeight="1">
      <c r="C437" s="4">
        <v>8301179.0</v>
      </c>
      <c r="D437" s="17">
        <f t="shared" si="1"/>
        <v>8621227</v>
      </c>
      <c r="E437" s="4">
        <v>7.94</v>
      </c>
      <c r="F437" s="4">
        <v>139.4</v>
      </c>
    </row>
    <row r="438" ht="22.5" customHeight="1">
      <c r="C438" s="4">
        <v>8321182.0</v>
      </c>
      <c r="D438" s="17">
        <f t="shared" si="1"/>
        <v>8641230</v>
      </c>
      <c r="E438" s="4">
        <v>7.94</v>
      </c>
      <c r="F438" s="4">
        <v>139.4</v>
      </c>
    </row>
    <row r="439" ht="22.5" customHeight="1">
      <c r="C439" s="4">
        <v>8341185.0</v>
      </c>
      <c r="D439" s="17">
        <f t="shared" si="1"/>
        <v>8661233</v>
      </c>
      <c r="E439" s="4">
        <v>7.94</v>
      </c>
      <c r="F439" s="4">
        <v>139.4</v>
      </c>
    </row>
    <row r="440" ht="22.5" customHeight="1">
      <c r="C440" s="4">
        <v>8361188.0</v>
      </c>
      <c r="D440" s="17">
        <f t="shared" si="1"/>
        <v>8681236</v>
      </c>
      <c r="E440" s="4">
        <v>7.94</v>
      </c>
      <c r="F440" s="4">
        <v>139.3</v>
      </c>
    </row>
    <row r="441" ht="22.5" customHeight="1">
      <c r="C441" s="4">
        <v>8381191.0</v>
      </c>
      <c r="D441" s="17">
        <f t="shared" si="1"/>
        <v>8701239</v>
      </c>
      <c r="E441" s="4">
        <v>7.94</v>
      </c>
      <c r="F441" s="4">
        <v>139.4</v>
      </c>
    </row>
    <row r="442" ht="22.5" customHeight="1">
      <c r="C442" s="4">
        <v>8401193.0</v>
      </c>
      <c r="D442" s="17">
        <f t="shared" si="1"/>
        <v>8721241</v>
      </c>
      <c r="E442" s="4">
        <v>7.94</v>
      </c>
      <c r="F442" s="4">
        <v>139.4</v>
      </c>
    </row>
    <row r="443" ht="22.5" customHeight="1">
      <c r="C443" s="4">
        <v>8421196.0</v>
      </c>
      <c r="D443" s="17">
        <f t="shared" si="1"/>
        <v>8741244</v>
      </c>
      <c r="E443" s="4">
        <v>7.94</v>
      </c>
      <c r="F443" s="4">
        <v>139.5</v>
      </c>
    </row>
    <row r="444" ht="22.5" customHeight="1">
      <c r="C444" s="4">
        <v>8441199.0</v>
      </c>
      <c r="D444" s="17">
        <f t="shared" si="1"/>
        <v>8761247</v>
      </c>
      <c r="E444" s="4">
        <v>7.94</v>
      </c>
      <c r="F444" s="4">
        <v>139.3</v>
      </c>
    </row>
    <row r="445" ht="22.5" customHeight="1">
      <c r="C445" s="4">
        <v>8461202.0</v>
      </c>
      <c r="D445" s="17">
        <f t="shared" si="1"/>
        <v>8781250</v>
      </c>
      <c r="E445" s="4">
        <v>7.94</v>
      </c>
      <c r="F445" s="4">
        <v>139.4</v>
      </c>
    </row>
    <row r="446" ht="22.5" customHeight="1">
      <c r="C446" s="4">
        <v>8481205.0</v>
      </c>
      <c r="D446" s="17">
        <f t="shared" si="1"/>
        <v>8801253</v>
      </c>
      <c r="E446" s="4">
        <v>7.94</v>
      </c>
      <c r="F446" s="4">
        <v>139.3</v>
      </c>
    </row>
    <row r="447" ht="22.5" customHeight="1">
      <c r="C447" s="4">
        <v>8501208.0</v>
      </c>
      <c r="D447" s="17">
        <f t="shared" si="1"/>
        <v>8821256</v>
      </c>
      <c r="E447" s="4">
        <v>7.94</v>
      </c>
      <c r="F447" s="4">
        <v>139.3</v>
      </c>
    </row>
    <row r="448" ht="22.5" customHeight="1">
      <c r="C448" s="4">
        <v>8521210.0</v>
      </c>
      <c r="D448" s="17">
        <f t="shared" si="1"/>
        <v>8841258</v>
      </c>
      <c r="E448" s="4">
        <v>7.94</v>
      </c>
      <c r="F448" s="4">
        <v>139.3</v>
      </c>
    </row>
    <row r="449" ht="22.5" customHeight="1">
      <c r="C449" s="4">
        <v>8541213.0</v>
      </c>
      <c r="D449" s="17">
        <f t="shared" si="1"/>
        <v>8861261</v>
      </c>
      <c r="E449" s="4">
        <v>7.94</v>
      </c>
      <c r="F449" s="4">
        <v>139.4</v>
      </c>
    </row>
    <row r="450" ht="22.5" customHeight="1">
      <c r="C450" s="4">
        <v>8561216.0</v>
      </c>
      <c r="D450" s="17">
        <f t="shared" si="1"/>
        <v>8881264</v>
      </c>
      <c r="E450" s="4">
        <v>7.94</v>
      </c>
      <c r="F450" s="4">
        <v>139.4</v>
      </c>
    </row>
    <row r="451" ht="22.5" customHeight="1">
      <c r="C451" s="4">
        <v>8581219.0</v>
      </c>
      <c r="D451" s="17">
        <f t="shared" si="1"/>
        <v>8901267</v>
      </c>
      <c r="E451" s="4">
        <v>7.94</v>
      </c>
      <c r="F451" s="4">
        <v>139.3</v>
      </c>
    </row>
    <row r="452" ht="22.5" customHeight="1">
      <c r="C452" s="4">
        <v>8601222.0</v>
      </c>
      <c r="D452" s="17">
        <f t="shared" si="1"/>
        <v>8921270</v>
      </c>
      <c r="E452" s="4">
        <v>7.94</v>
      </c>
      <c r="F452" s="4">
        <v>139.3</v>
      </c>
    </row>
    <row r="453" ht="22.5" customHeight="1">
      <c r="C453" s="4">
        <v>8621224.0</v>
      </c>
      <c r="D453" s="17">
        <f t="shared" si="1"/>
        <v>8941272</v>
      </c>
      <c r="E453" s="4">
        <v>7.94</v>
      </c>
      <c r="F453" s="4">
        <v>139.3</v>
      </c>
    </row>
    <row r="454" ht="22.5" customHeight="1">
      <c r="C454" s="4">
        <v>8641227.0</v>
      </c>
      <c r="D454" s="17">
        <f t="shared" si="1"/>
        <v>8961275</v>
      </c>
      <c r="E454" s="4">
        <v>7.94</v>
      </c>
      <c r="F454" s="4">
        <v>139.3</v>
      </c>
    </row>
    <row r="455" ht="22.5" customHeight="1">
      <c r="C455" s="4">
        <v>8661230.0</v>
      </c>
      <c r="D455" s="17">
        <f t="shared" si="1"/>
        <v>8981278</v>
      </c>
      <c r="E455" s="4">
        <v>7.94</v>
      </c>
      <c r="F455" s="4">
        <v>139.4</v>
      </c>
    </row>
    <row r="456" ht="22.5" customHeight="1">
      <c r="C456" s="4">
        <v>8681233.0</v>
      </c>
      <c r="D456" s="17">
        <f t="shared" si="1"/>
        <v>9001281</v>
      </c>
      <c r="E456" s="4">
        <v>7.94</v>
      </c>
      <c r="F456" s="4">
        <v>139.3</v>
      </c>
    </row>
    <row r="457" ht="22.5" customHeight="1">
      <c r="C457" s="4">
        <v>8701237.0</v>
      </c>
      <c r="D457" s="17">
        <f t="shared" si="1"/>
        <v>9021285</v>
      </c>
      <c r="E457" s="4">
        <v>7.94</v>
      </c>
      <c r="F457" s="4">
        <v>139.4</v>
      </c>
    </row>
    <row r="458" ht="22.5" customHeight="1">
      <c r="C458" s="4">
        <v>8721240.0</v>
      </c>
      <c r="D458" s="17">
        <f t="shared" si="1"/>
        <v>9041288</v>
      </c>
      <c r="E458" s="4">
        <v>7.94</v>
      </c>
      <c r="F458" s="4">
        <v>139.3</v>
      </c>
    </row>
    <row r="459" ht="22.5" customHeight="1">
      <c r="C459" s="4">
        <v>8741242.0</v>
      </c>
      <c r="D459" s="17">
        <f t="shared" si="1"/>
        <v>9061290</v>
      </c>
      <c r="E459" s="4">
        <v>7.94</v>
      </c>
      <c r="F459" s="4">
        <v>139.3</v>
      </c>
    </row>
    <row r="460" ht="22.5" customHeight="1">
      <c r="C460" s="4">
        <v>8761245.0</v>
      </c>
      <c r="D460" s="17">
        <f t="shared" si="1"/>
        <v>9081293</v>
      </c>
      <c r="E460" s="4">
        <v>7.94</v>
      </c>
      <c r="F460" s="4">
        <v>139.4</v>
      </c>
    </row>
    <row r="461" ht="22.5" customHeight="1">
      <c r="C461" s="4">
        <v>8781248.0</v>
      </c>
      <c r="D461" s="17">
        <f t="shared" si="1"/>
        <v>9101296</v>
      </c>
      <c r="E461" s="4">
        <v>7.94</v>
      </c>
      <c r="F461" s="4">
        <v>139.3</v>
      </c>
    </row>
    <row r="462" ht="22.5" customHeight="1">
      <c r="C462" s="4">
        <v>8801251.0</v>
      </c>
      <c r="D462" s="17">
        <f t="shared" si="1"/>
        <v>9121299</v>
      </c>
      <c r="E462" s="4">
        <v>7.94</v>
      </c>
      <c r="F462" s="4">
        <v>139.3</v>
      </c>
    </row>
    <row r="463" ht="22.5" customHeight="1">
      <c r="C463" s="4">
        <v>8821254.0</v>
      </c>
      <c r="D463" s="17">
        <f t="shared" si="1"/>
        <v>9141302</v>
      </c>
      <c r="E463" s="4">
        <v>7.94</v>
      </c>
      <c r="F463" s="4">
        <v>139.3</v>
      </c>
    </row>
    <row r="464" ht="22.5" customHeight="1">
      <c r="C464" s="4">
        <v>8841256.0</v>
      </c>
      <c r="D464" s="17">
        <f t="shared" si="1"/>
        <v>9161304</v>
      </c>
      <c r="E464" s="4">
        <v>7.94</v>
      </c>
      <c r="F464" s="4">
        <v>139.3</v>
      </c>
    </row>
    <row r="465" ht="22.5" customHeight="1">
      <c r="C465" s="4">
        <v>8861259.0</v>
      </c>
      <c r="D465" s="17">
        <f t="shared" si="1"/>
        <v>9181307</v>
      </c>
      <c r="E465" s="4">
        <v>7.94</v>
      </c>
      <c r="F465" s="4">
        <v>139.4</v>
      </c>
    </row>
    <row r="466" ht="22.5" customHeight="1">
      <c r="C466" s="4">
        <v>8881262.0</v>
      </c>
      <c r="D466" s="17">
        <f t="shared" si="1"/>
        <v>9201310</v>
      </c>
      <c r="E466" s="4">
        <v>7.94</v>
      </c>
      <c r="F466" s="4">
        <v>139.3</v>
      </c>
    </row>
    <row r="467" ht="22.5" customHeight="1">
      <c r="C467" s="4">
        <v>8901265.0</v>
      </c>
      <c r="D467" s="17">
        <f t="shared" si="1"/>
        <v>9221313</v>
      </c>
      <c r="E467" s="4">
        <v>7.94</v>
      </c>
      <c r="F467" s="4">
        <v>139.3</v>
      </c>
    </row>
    <row r="468" ht="22.5" customHeight="1">
      <c r="C468" s="4">
        <v>8921268.0</v>
      </c>
      <c r="D468" s="17">
        <f t="shared" si="1"/>
        <v>9241316</v>
      </c>
      <c r="E468" s="4">
        <v>7.94</v>
      </c>
      <c r="F468" s="4">
        <v>139.3</v>
      </c>
    </row>
    <row r="469" ht="22.5" customHeight="1">
      <c r="C469" s="4">
        <v>8941271.0</v>
      </c>
      <c r="D469" s="17">
        <f t="shared" si="1"/>
        <v>9261319</v>
      </c>
      <c r="E469" s="4">
        <v>7.94</v>
      </c>
      <c r="F469" s="4">
        <v>139.3</v>
      </c>
    </row>
    <row r="470" ht="22.5" customHeight="1">
      <c r="C470" s="4">
        <v>8961273.0</v>
      </c>
      <c r="D470" s="17">
        <f t="shared" si="1"/>
        <v>9281321</v>
      </c>
      <c r="E470" s="4">
        <v>7.94</v>
      </c>
      <c r="F470" s="4">
        <v>139.3</v>
      </c>
    </row>
    <row r="471" ht="22.5" customHeight="1">
      <c r="C471" s="4">
        <v>8981276.0</v>
      </c>
      <c r="D471" s="17">
        <f t="shared" si="1"/>
        <v>9301324</v>
      </c>
      <c r="E471" s="4">
        <v>7.94</v>
      </c>
      <c r="F471" s="4">
        <v>139.3</v>
      </c>
    </row>
    <row r="472" ht="22.5" customHeight="1">
      <c r="C472" s="4">
        <v>9001279.0</v>
      </c>
      <c r="D472" s="17">
        <f t="shared" si="1"/>
        <v>9321327</v>
      </c>
      <c r="E472" s="4">
        <v>7.94</v>
      </c>
      <c r="F472" s="4">
        <v>139.3</v>
      </c>
    </row>
    <row r="473" ht="22.5" customHeight="1">
      <c r="C473" s="4">
        <v>9021282.0</v>
      </c>
      <c r="D473" s="17">
        <f t="shared" si="1"/>
        <v>9341330</v>
      </c>
      <c r="E473" s="4">
        <v>7.94</v>
      </c>
      <c r="F473" s="4">
        <v>139.2</v>
      </c>
    </row>
    <row r="474" ht="22.5" customHeight="1">
      <c r="C474" s="4">
        <v>9041285.0</v>
      </c>
      <c r="D474" s="17">
        <f t="shared" si="1"/>
        <v>9361333</v>
      </c>
      <c r="E474" s="4">
        <v>7.94</v>
      </c>
      <c r="F474" s="4">
        <v>139.2</v>
      </c>
    </row>
    <row r="475" ht="22.5" customHeight="1">
      <c r="C475" s="4">
        <v>9061287.0</v>
      </c>
      <c r="D475" s="17">
        <f t="shared" si="1"/>
        <v>9381335</v>
      </c>
      <c r="E475" s="4">
        <v>7.94</v>
      </c>
      <c r="F475" s="4">
        <v>139.2</v>
      </c>
    </row>
    <row r="476" ht="22.5" customHeight="1">
      <c r="C476" s="4">
        <v>9081290.0</v>
      </c>
      <c r="D476" s="17">
        <f t="shared" si="1"/>
        <v>9401338</v>
      </c>
      <c r="E476" s="4">
        <v>7.94</v>
      </c>
      <c r="F476" s="4">
        <v>139.3</v>
      </c>
    </row>
    <row r="477" ht="22.5" customHeight="1">
      <c r="C477" s="4">
        <v>9101293.0</v>
      </c>
      <c r="D477" s="17">
        <f t="shared" si="1"/>
        <v>9421341</v>
      </c>
      <c r="E477" s="4">
        <v>7.94</v>
      </c>
      <c r="F477" s="4">
        <v>139.2</v>
      </c>
    </row>
    <row r="478" ht="22.5" customHeight="1">
      <c r="C478" s="4">
        <v>9121296.0</v>
      </c>
      <c r="D478" s="17">
        <f t="shared" si="1"/>
        <v>9441344</v>
      </c>
      <c r="E478" s="4">
        <v>7.94</v>
      </c>
      <c r="F478" s="4">
        <v>139.2</v>
      </c>
    </row>
    <row r="479" ht="22.5" customHeight="1">
      <c r="C479" s="4">
        <v>9141299.0</v>
      </c>
      <c r="D479" s="17">
        <f t="shared" si="1"/>
        <v>9461347</v>
      </c>
      <c r="E479" s="4">
        <v>7.94</v>
      </c>
      <c r="F479" s="4">
        <v>139.2</v>
      </c>
    </row>
    <row r="480" ht="22.5" customHeight="1">
      <c r="C480" s="4">
        <v>9161302.0</v>
      </c>
      <c r="D480" s="17">
        <f t="shared" si="1"/>
        <v>9481350</v>
      </c>
      <c r="E480" s="4">
        <v>7.94</v>
      </c>
      <c r="F480" s="4">
        <v>139.2</v>
      </c>
    </row>
    <row r="481" ht="22.5" customHeight="1">
      <c r="C481" s="4">
        <v>9181304.0</v>
      </c>
      <c r="D481" s="17">
        <f t="shared" si="1"/>
        <v>9501352</v>
      </c>
      <c r="E481" s="4">
        <v>7.94</v>
      </c>
      <c r="F481" s="4">
        <v>139.2</v>
      </c>
    </row>
    <row r="482" ht="22.5" customHeight="1">
      <c r="C482" s="4">
        <v>9201307.0</v>
      </c>
      <c r="D482" s="17">
        <f t="shared" si="1"/>
        <v>9521355</v>
      </c>
      <c r="E482" s="4">
        <v>7.94</v>
      </c>
      <c r="F482" s="4">
        <v>139.3</v>
      </c>
    </row>
    <row r="483" ht="22.5" customHeight="1">
      <c r="C483" s="4">
        <v>9221310.0</v>
      </c>
      <c r="D483" s="17">
        <f t="shared" si="1"/>
        <v>9541358</v>
      </c>
      <c r="E483" s="4">
        <v>7.94</v>
      </c>
      <c r="F483" s="4">
        <v>139.2</v>
      </c>
    </row>
    <row r="484" ht="22.5" customHeight="1">
      <c r="C484" s="4">
        <v>9241313.0</v>
      </c>
      <c r="D484" s="17">
        <f t="shared" si="1"/>
        <v>9561361</v>
      </c>
      <c r="E484" s="4">
        <v>7.94</v>
      </c>
      <c r="F484" s="4">
        <v>139.2</v>
      </c>
    </row>
    <row r="485" ht="22.5" customHeight="1">
      <c r="C485" s="4">
        <v>9261316.0</v>
      </c>
      <c r="D485" s="17">
        <f t="shared" si="1"/>
        <v>9581364</v>
      </c>
      <c r="E485" s="4">
        <v>7.94</v>
      </c>
      <c r="F485" s="4">
        <v>139.2</v>
      </c>
    </row>
    <row r="486" ht="22.5" customHeight="1">
      <c r="C486" s="4">
        <v>9281318.0</v>
      </c>
      <c r="D486" s="17">
        <f t="shared" si="1"/>
        <v>9601366</v>
      </c>
      <c r="E486" s="4">
        <v>7.94</v>
      </c>
      <c r="F486" s="4">
        <v>139.2</v>
      </c>
    </row>
    <row r="487" ht="22.5" customHeight="1">
      <c r="C487" s="4">
        <v>9301321.0</v>
      </c>
      <c r="D487" s="17">
        <f t="shared" si="1"/>
        <v>9621369</v>
      </c>
      <c r="E487" s="4">
        <v>7.94</v>
      </c>
      <c r="F487" s="4">
        <v>139.2</v>
      </c>
    </row>
    <row r="488" ht="22.5" customHeight="1">
      <c r="C488" s="4">
        <v>9321324.0</v>
      </c>
      <c r="D488" s="17">
        <f t="shared" si="1"/>
        <v>9641372</v>
      </c>
      <c r="E488" s="4">
        <v>7.94</v>
      </c>
      <c r="F488" s="4">
        <v>139.2</v>
      </c>
    </row>
    <row r="489" ht="22.5" customHeight="1">
      <c r="C489" s="4">
        <v>9341327.0</v>
      </c>
      <c r="D489" s="17">
        <f t="shared" si="1"/>
        <v>9661375</v>
      </c>
      <c r="E489" s="4">
        <v>7.94</v>
      </c>
      <c r="F489" s="4">
        <v>139.2</v>
      </c>
    </row>
    <row r="490" ht="22.5" customHeight="1">
      <c r="C490" s="4">
        <v>9361330.0</v>
      </c>
      <c r="D490" s="17">
        <f t="shared" si="1"/>
        <v>9681378</v>
      </c>
      <c r="E490" s="4">
        <v>7.94</v>
      </c>
      <c r="F490" s="4">
        <v>139.2</v>
      </c>
    </row>
    <row r="491" ht="22.5" customHeight="1">
      <c r="C491" s="4">
        <v>9381332.0</v>
      </c>
      <c r="D491" s="17">
        <f t="shared" si="1"/>
        <v>9701380</v>
      </c>
      <c r="E491" s="4">
        <v>7.94</v>
      </c>
      <c r="F491" s="4">
        <v>139.2</v>
      </c>
    </row>
    <row r="492" ht="22.5" customHeight="1">
      <c r="C492" s="4">
        <v>9401335.0</v>
      </c>
      <c r="D492" s="17">
        <f t="shared" si="1"/>
        <v>9721383</v>
      </c>
      <c r="E492" s="4">
        <v>7.94</v>
      </c>
      <c r="F492" s="4">
        <v>139.2</v>
      </c>
    </row>
    <row r="493" ht="22.5" customHeight="1">
      <c r="C493" s="4">
        <v>9421339.0</v>
      </c>
      <c r="D493" s="17">
        <f t="shared" si="1"/>
        <v>9741387</v>
      </c>
      <c r="E493" s="4">
        <v>7.94</v>
      </c>
      <c r="F493" s="4">
        <v>139.2</v>
      </c>
    </row>
    <row r="494" ht="22.5" customHeight="1">
      <c r="C494" s="4">
        <v>9441342.0</v>
      </c>
      <c r="D494" s="17">
        <f t="shared" si="1"/>
        <v>9761390</v>
      </c>
      <c r="E494" s="4">
        <v>7.94</v>
      </c>
      <c r="F494" s="4">
        <v>139.2</v>
      </c>
    </row>
    <row r="495" ht="22.5" customHeight="1">
      <c r="C495" s="4">
        <v>9461345.0</v>
      </c>
      <c r="D495" s="17">
        <f t="shared" si="1"/>
        <v>9781393</v>
      </c>
      <c r="E495" s="4">
        <v>7.94</v>
      </c>
      <c r="F495" s="4">
        <v>139.2</v>
      </c>
    </row>
    <row r="496" ht="22.5" customHeight="1">
      <c r="C496" s="4">
        <v>9481348.0</v>
      </c>
      <c r="D496" s="17">
        <f t="shared" si="1"/>
        <v>9801396</v>
      </c>
      <c r="E496" s="4">
        <v>7.94</v>
      </c>
      <c r="F496" s="4">
        <v>139.2</v>
      </c>
    </row>
    <row r="497" ht="22.5" customHeight="1">
      <c r="C497" s="4">
        <v>9501350.0</v>
      </c>
      <c r="D497" s="17">
        <f t="shared" si="1"/>
        <v>9821398</v>
      </c>
      <c r="E497" s="4">
        <v>7.94</v>
      </c>
      <c r="F497" s="4">
        <v>139.2</v>
      </c>
    </row>
    <row r="498" ht="22.5" customHeight="1">
      <c r="C498" s="4">
        <v>9521353.0</v>
      </c>
      <c r="D498" s="17">
        <f t="shared" si="1"/>
        <v>9841401</v>
      </c>
      <c r="E498" s="4">
        <v>7.94</v>
      </c>
      <c r="F498" s="4">
        <v>139.2</v>
      </c>
    </row>
    <row r="499" ht="22.5" customHeight="1">
      <c r="C499" s="4">
        <v>9541356.0</v>
      </c>
      <c r="D499" s="17">
        <f t="shared" si="1"/>
        <v>9861404</v>
      </c>
      <c r="E499" s="4">
        <v>7.94</v>
      </c>
      <c r="F499" s="4">
        <v>139.2</v>
      </c>
    </row>
    <row r="500" ht="22.5" customHeight="1">
      <c r="C500" s="4">
        <v>9561359.0</v>
      </c>
      <c r="D500" s="17">
        <f t="shared" si="1"/>
        <v>9881407</v>
      </c>
      <c r="E500" s="4">
        <v>7.94</v>
      </c>
      <c r="F500" s="4">
        <v>139.2</v>
      </c>
    </row>
    <row r="501" ht="22.5" customHeight="1">
      <c r="C501" s="4">
        <v>9581362.0</v>
      </c>
      <c r="D501" s="17">
        <f t="shared" si="1"/>
        <v>9901410</v>
      </c>
      <c r="E501" s="4">
        <v>7.94</v>
      </c>
      <c r="F501" s="4">
        <v>139.2</v>
      </c>
    </row>
    <row r="502" ht="22.5" customHeight="1">
      <c r="C502" s="4">
        <v>9601364.0</v>
      </c>
      <c r="D502" s="17">
        <f t="shared" si="1"/>
        <v>9921412</v>
      </c>
      <c r="E502" s="4">
        <v>7.93</v>
      </c>
      <c r="F502" s="4">
        <v>139.1</v>
      </c>
    </row>
    <row r="503" ht="22.5" customHeight="1">
      <c r="C503" s="4">
        <v>9621367.0</v>
      </c>
      <c r="D503" s="17">
        <f t="shared" si="1"/>
        <v>9941415</v>
      </c>
      <c r="E503" s="4">
        <v>7.93</v>
      </c>
      <c r="F503" s="4">
        <v>139.2</v>
      </c>
    </row>
    <row r="504" ht="22.5" customHeight="1">
      <c r="C504" s="4">
        <v>9641370.0</v>
      </c>
      <c r="D504" s="17">
        <f t="shared" si="1"/>
        <v>9961418</v>
      </c>
      <c r="E504" s="4">
        <v>7.94</v>
      </c>
      <c r="F504" s="4">
        <v>139.2</v>
      </c>
    </row>
    <row r="505" ht="22.5" customHeight="1">
      <c r="C505" s="4">
        <v>9661373.0</v>
      </c>
      <c r="D505" s="17">
        <f t="shared" si="1"/>
        <v>9981421</v>
      </c>
      <c r="E505" s="4">
        <v>7.94</v>
      </c>
      <c r="F505" s="4">
        <v>139.1</v>
      </c>
    </row>
    <row r="506" ht="22.5" customHeight="1">
      <c r="C506" s="4">
        <v>9681376.0</v>
      </c>
      <c r="D506" s="17">
        <f t="shared" si="1"/>
        <v>10001424</v>
      </c>
      <c r="E506" s="4">
        <v>7.94</v>
      </c>
      <c r="F506" s="4">
        <v>139.2</v>
      </c>
    </row>
    <row r="507" ht="22.5" customHeight="1">
      <c r="C507" s="4">
        <v>9701379.0</v>
      </c>
      <c r="D507" s="17">
        <f t="shared" si="1"/>
        <v>10021427</v>
      </c>
      <c r="E507" s="4">
        <v>7.94</v>
      </c>
      <c r="F507" s="4">
        <v>139.2</v>
      </c>
    </row>
    <row r="508" ht="22.5" customHeight="1">
      <c r="C508" s="4">
        <v>9721381.0</v>
      </c>
      <c r="D508" s="17">
        <f t="shared" si="1"/>
        <v>10041429</v>
      </c>
      <c r="E508" s="4">
        <v>7.94</v>
      </c>
      <c r="F508" s="4">
        <v>139.2</v>
      </c>
    </row>
    <row r="509" ht="22.5" customHeight="1">
      <c r="C509" s="4">
        <v>9741384.0</v>
      </c>
      <c r="D509" s="17">
        <f t="shared" si="1"/>
        <v>10061432</v>
      </c>
      <c r="E509" s="4">
        <v>7.93</v>
      </c>
      <c r="F509" s="4">
        <v>139.2</v>
      </c>
    </row>
    <row r="510" ht="22.5" customHeight="1">
      <c r="C510" s="4">
        <v>9761387.0</v>
      </c>
      <c r="D510" s="17">
        <f t="shared" si="1"/>
        <v>10081435</v>
      </c>
      <c r="E510" s="4">
        <v>7.93</v>
      </c>
      <c r="F510" s="4">
        <v>139.2</v>
      </c>
    </row>
    <row r="511" ht="22.5" customHeight="1">
      <c r="C511" s="4">
        <v>9781390.0</v>
      </c>
      <c r="D511" s="17">
        <f t="shared" si="1"/>
        <v>10101438</v>
      </c>
      <c r="E511" s="4">
        <v>7.93</v>
      </c>
      <c r="F511" s="4">
        <v>139.1</v>
      </c>
    </row>
    <row r="512" ht="22.5" customHeight="1">
      <c r="C512" s="4">
        <v>9801393.0</v>
      </c>
      <c r="D512" s="17">
        <f t="shared" si="1"/>
        <v>10121441</v>
      </c>
      <c r="E512" s="4">
        <v>7.93</v>
      </c>
      <c r="F512" s="4">
        <v>139.1</v>
      </c>
    </row>
    <row r="513" ht="22.5" customHeight="1">
      <c r="C513" s="4">
        <v>9821395.0</v>
      </c>
      <c r="D513" s="17">
        <f t="shared" si="1"/>
        <v>10141443</v>
      </c>
      <c r="E513" s="4">
        <v>7.93</v>
      </c>
      <c r="F513" s="4">
        <v>139.1</v>
      </c>
    </row>
    <row r="514" ht="22.5" customHeight="1">
      <c r="C514" s="4">
        <v>9841398.0</v>
      </c>
      <c r="D514" s="17">
        <f t="shared" si="1"/>
        <v>10161446</v>
      </c>
      <c r="E514" s="4">
        <v>7.93</v>
      </c>
      <c r="F514" s="4">
        <v>139.1</v>
      </c>
    </row>
    <row r="515" ht="22.5" customHeight="1">
      <c r="C515" s="4">
        <v>9861401.0</v>
      </c>
      <c r="D515" s="17">
        <f t="shared" si="1"/>
        <v>10181449</v>
      </c>
      <c r="E515" s="4">
        <v>7.93</v>
      </c>
      <c r="F515" s="4">
        <v>139.1</v>
      </c>
    </row>
    <row r="516" ht="22.5" customHeight="1">
      <c r="C516" s="4">
        <v>9881404.0</v>
      </c>
      <c r="D516" s="17">
        <f t="shared" si="1"/>
        <v>10201452</v>
      </c>
      <c r="E516" s="4">
        <v>7.93</v>
      </c>
      <c r="F516" s="4">
        <v>139.1</v>
      </c>
    </row>
    <row r="517" ht="22.5" customHeight="1">
      <c r="C517" s="4">
        <v>9901407.0</v>
      </c>
      <c r="D517" s="17">
        <f t="shared" si="1"/>
        <v>10221455</v>
      </c>
      <c r="E517" s="4">
        <v>7.93</v>
      </c>
      <c r="F517" s="4">
        <v>139.1</v>
      </c>
    </row>
    <row r="518" ht="22.5" customHeight="1">
      <c r="C518" s="4">
        <v>9921410.0</v>
      </c>
      <c r="D518" s="17">
        <f t="shared" si="1"/>
        <v>10241458</v>
      </c>
      <c r="E518" s="4">
        <v>7.93</v>
      </c>
      <c r="F518" s="4">
        <v>139.1</v>
      </c>
    </row>
    <row r="519" ht="22.5" customHeight="1">
      <c r="C519" s="4">
        <v>9941412.0</v>
      </c>
      <c r="D519" s="17">
        <f t="shared" si="1"/>
        <v>10261460</v>
      </c>
      <c r="E519" s="4">
        <v>7.93</v>
      </c>
      <c r="F519" s="4">
        <v>139.1</v>
      </c>
    </row>
    <row r="520" ht="22.5" customHeight="1">
      <c r="C520" s="4">
        <v>9961415.0</v>
      </c>
      <c r="D520" s="17">
        <f t="shared" si="1"/>
        <v>10281463</v>
      </c>
      <c r="E520" s="4">
        <v>7.93</v>
      </c>
      <c r="F520" s="4">
        <v>139.1</v>
      </c>
    </row>
    <row r="521" ht="22.5" customHeight="1">
      <c r="C521" s="4">
        <v>9981418.0</v>
      </c>
      <c r="D521" s="17">
        <f t="shared" si="1"/>
        <v>10301466</v>
      </c>
      <c r="E521" s="4">
        <v>7.93</v>
      </c>
      <c r="F521" s="4">
        <v>139.1</v>
      </c>
    </row>
    <row r="522" ht="22.5" customHeight="1">
      <c r="C522" s="4">
        <v>1.0001421E7</v>
      </c>
      <c r="D522" s="17">
        <f t="shared" si="1"/>
        <v>10321469</v>
      </c>
      <c r="E522" s="4">
        <v>7.93</v>
      </c>
      <c r="F522" s="4">
        <v>139.1</v>
      </c>
    </row>
    <row r="523" ht="22.5" customHeight="1">
      <c r="C523" s="4">
        <v>1.0021424E7</v>
      </c>
      <c r="D523" s="17">
        <f t="shared" si="1"/>
        <v>10341472</v>
      </c>
      <c r="E523" s="4">
        <v>7.93</v>
      </c>
      <c r="F523" s="4">
        <v>139.1</v>
      </c>
    </row>
    <row r="524" ht="22.5" customHeight="1">
      <c r="C524" s="4">
        <v>1.0041427E7</v>
      </c>
      <c r="D524" s="17">
        <f t="shared" si="1"/>
        <v>10361475</v>
      </c>
      <c r="E524" s="4">
        <v>7.93</v>
      </c>
      <c r="F524" s="4">
        <v>139.1</v>
      </c>
    </row>
    <row r="525" ht="22.5" customHeight="1">
      <c r="C525" s="4">
        <v>1.006143E7</v>
      </c>
      <c r="D525" s="17">
        <f t="shared" si="1"/>
        <v>10381478</v>
      </c>
      <c r="E525" s="4">
        <v>7.93</v>
      </c>
      <c r="F525" s="4">
        <v>139.0</v>
      </c>
    </row>
    <row r="526" ht="22.5" customHeight="1">
      <c r="C526" s="4">
        <v>1.0081433E7</v>
      </c>
      <c r="D526" s="17">
        <f t="shared" si="1"/>
        <v>10401481</v>
      </c>
      <c r="E526" s="4">
        <v>7.93</v>
      </c>
      <c r="F526" s="4">
        <v>139.1</v>
      </c>
    </row>
    <row r="527" ht="22.5" customHeight="1">
      <c r="C527" s="4">
        <v>1.0101436E7</v>
      </c>
      <c r="D527" s="17">
        <f t="shared" si="1"/>
        <v>10421484</v>
      </c>
      <c r="E527" s="4">
        <v>7.93</v>
      </c>
      <c r="F527" s="4">
        <v>139.1</v>
      </c>
    </row>
    <row r="528" ht="22.5" customHeight="1">
      <c r="C528" s="4">
        <v>1.0121439E7</v>
      </c>
      <c r="D528" s="17">
        <f t="shared" si="1"/>
        <v>10441487</v>
      </c>
      <c r="E528" s="4">
        <v>7.93</v>
      </c>
      <c r="F528" s="4">
        <v>139.1</v>
      </c>
    </row>
    <row r="529" ht="22.5" customHeight="1">
      <c r="C529" s="4">
        <v>1.0141442E7</v>
      </c>
      <c r="D529" s="17">
        <f t="shared" si="1"/>
        <v>10461490</v>
      </c>
      <c r="E529" s="4">
        <v>7.93</v>
      </c>
      <c r="F529" s="4">
        <v>139.1</v>
      </c>
    </row>
    <row r="530" ht="22.5" customHeight="1">
      <c r="C530" s="4">
        <v>1.0161444E7</v>
      </c>
      <c r="D530" s="17">
        <f t="shared" si="1"/>
        <v>10481492</v>
      </c>
      <c r="E530" s="4">
        <v>7.93</v>
      </c>
      <c r="F530" s="4">
        <v>139.1</v>
      </c>
    </row>
    <row r="531" ht="22.5" customHeight="1">
      <c r="C531" s="4">
        <v>1.0181447E7</v>
      </c>
      <c r="D531" s="17">
        <f t="shared" si="1"/>
        <v>10501495</v>
      </c>
      <c r="E531" s="4">
        <v>7.93</v>
      </c>
      <c r="F531" s="4">
        <v>139.0</v>
      </c>
    </row>
    <row r="532" ht="22.5" customHeight="1">
      <c r="C532" s="4">
        <v>1.020145E7</v>
      </c>
      <c r="D532" s="17">
        <f t="shared" si="1"/>
        <v>10521498</v>
      </c>
      <c r="E532" s="4">
        <v>7.93</v>
      </c>
      <c r="F532" s="4">
        <v>139.0</v>
      </c>
    </row>
    <row r="533" ht="22.5" customHeight="1">
      <c r="C533" s="4">
        <v>1.0221453E7</v>
      </c>
      <c r="D533" s="17">
        <f t="shared" si="1"/>
        <v>10541501</v>
      </c>
      <c r="E533" s="4">
        <v>7.93</v>
      </c>
      <c r="F533" s="4">
        <v>139.1</v>
      </c>
    </row>
    <row r="534" ht="22.5" customHeight="1">
      <c r="C534" s="4">
        <v>1.0241456E7</v>
      </c>
      <c r="D534" s="17">
        <f t="shared" si="1"/>
        <v>10561504</v>
      </c>
      <c r="E534" s="4">
        <v>7.93</v>
      </c>
      <c r="F534" s="4">
        <v>139.1</v>
      </c>
    </row>
    <row r="535" ht="22.5" customHeight="1">
      <c r="C535" s="4">
        <v>1.0261458E7</v>
      </c>
      <c r="D535" s="17">
        <f t="shared" si="1"/>
        <v>10581506</v>
      </c>
      <c r="E535" s="4">
        <v>7.93</v>
      </c>
      <c r="F535" s="4">
        <v>139.0</v>
      </c>
    </row>
    <row r="536" ht="22.5" customHeight="1">
      <c r="C536" s="4">
        <v>1.0281461E7</v>
      </c>
      <c r="D536" s="17">
        <f t="shared" si="1"/>
        <v>10601509</v>
      </c>
      <c r="E536" s="4">
        <v>7.93</v>
      </c>
      <c r="F536" s="4">
        <v>139.0</v>
      </c>
    </row>
    <row r="537" ht="22.5" customHeight="1">
      <c r="C537" s="4">
        <v>1.0301464E7</v>
      </c>
      <c r="D537" s="17">
        <f t="shared" si="1"/>
        <v>10621512</v>
      </c>
      <c r="E537" s="4">
        <v>7.92</v>
      </c>
      <c r="F537" s="4">
        <v>139.1</v>
      </c>
    </row>
    <row r="538" ht="22.5" customHeight="1">
      <c r="C538" s="4">
        <v>1.0321467E7</v>
      </c>
      <c r="D538" s="17">
        <f t="shared" si="1"/>
        <v>10641515</v>
      </c>
      <c r="E538" s="4">
        <v>7.92</v>
      </c>
      <c r="F538" s="4">
        <v>139.0</v>
      </c>
    </row>
    <row r="539" ht="22.5" customHeight="1">
      <c r="C539" s="4">
        <v>1.0341471E7</v>
      </c>
      <c r="D539" s="17">
        <f t="shared" si="1"/>
        <v>10661519</v>
      </c>
      <c r="E539" s="4">
        <v>7.93</v>
      </c>
      <c r="F539" s="4">
        <v>139.0</v>
      </c>
    </row>
    <row r="540" ht="22.5" customHeight="1">
      <c r="C540" s="4">
        <v>1.0361474E7</v>
      </c>
      <c r="D540" s="17">
        <f t="shared" si="1"/>
        <v>10681522</v>
      </c>
      <c r="E540" s="4">
        <v>7.92</v>
      </c>
      <c r="F540" s="4">
        <v>139.0</v>
      </c>
    </row>
    <row r="541" ht="22.5" customHeight="1">
      <c r="C541" s="4">
        <v>1.0381476E7</v>
      </c>
      <c r="D541" s="17">
        <f t="shared" si="1"/>
        <v>10701524</v>
      </c>
      <c r="E541" s="4">
        <v>7.92</v>
      </c>
      <c r="F541" s="4">
        <v>139.0</v>
      </c>
    </row>
    <row r="542" ht="22.5" customHeight="1">
      <c r="C542" s="4">
        <v>1.0401479E7</v>
      </c>
      <c r="D542" s="17">
        <f t="shared" si="1"/>
        <v>10721527</v>
      </c>
      <c r="E542" s="4">
        <v>7.92</v>
      </c>
      <c r="F542" s="4">
        <v>139.0</v>
      </c>
    </row>
    <row r="543" ht="22.5" customHeight="1">
      <c r="C543" s="4">
        <v>1.0421482E7</v>
      </c>
      <c r="D543" s="17">
        <f t="shared" si="1"/>
        <v>10741530</v>
      </c>
      <c r="E543" s="4">
        <v>7.92</v>
      </c>
      <c r="F543" s="4">
        <v>139.0</v>
      </c>
    </row>
    <row r="544" ht="22.5" customHeight="1">
      <c r="C544" s="4">
        <v>1.0441485E7</v>
      </c>
      <c r="D544" s="17">
        <f t="shared" si="1"/>
        <v>10761533</v>
      </c>
      <c r="E544" s="4">
        <v>7.92</v>
      </c>
      <c r="F544" s="4">
        <v>139.0</v>
      </c>
    </row>
    <row r="545" ht="22.5" customHeight="1">
      <c r="C545" s="4">
        <v>1.0461488E7</v>
      </c>
      <c r="D545" s="17">
        <f t="shared" si="1"/>
        <v>10781536</v>
      </c>
      <c r="E545" s="4">
        <v>7.92</v>
      </c>
      <c r="F545" s="4">
        <v>139.0</v>
      </c>
    </row>
    <row r="546" ht="22.5" customHeight="1">
      <c r="C546" s="4">
        <v>1.048149E7</v>
      </c>
      <c r="D546" s="17">
        <f t="shared" si="1"/>
        <v>10801538</v>
      </c>
      <c r="E546" s="4">
        <v>7.92</v>
      </c>
      <c r="F546" s="4">
        <v>139.0</v>
      </c>
    </row>
    <row r="547" ht="22.5" customHeight="1">
      <c r="C547" s="4">
        <v>1.0501493E7</v>
      </c>
      <c r="D547" s="17">
        <f t="shared" si="1"/>
        <v>10821541</v>
      </c>
      <c r="E547" s="4">
        <v>7.92</v>
      </c>
      <c r="F547" s="4">
        <v>139.0</v>
      </c>
    </row>
    <row r="548" ht="22.5" customHeight="1">
      <c r="C548" s="4">
        <v>1.0521496E7</v>
      </c>
      <c r="D548" s="17">
        <f t="shared" si="1"/>
        <v>10841544</v>
      </c>
      <c r="E548" s="4">
        <v>7.92</v>
      </c>
      <c r="F548" s="4">
        <v>139.0</v>
      </c>
    </row>
    <row r="549" ht="22.5" customHeight="1">
      <c r="C549" s="4">
        <v>1.0541499E7</v>
      </c>
      <c r="D549" s="17">
        <f t="shared" si="1"/>
        <v>10861547</v>
      </c>
      <c r="E549" s="4">
        <v>7.92</v>
      </c>
      <c r="F549" s="4">
        <v>139.0</v>
      </c>
    </row>
    <row r="550" ht="22.5" customHeight="1">
      <c r="C550" s="4">
        <v>1.0561502E7</v>
      </c>
      <c r="D550" s="17">
        <f t="shared" si="1"/>
        <v>10881550</v>
      </c>
      <c r="E550" s="4">
        <v>7.92</v>
      </c>
      <c r="F550" s="4">
        <v>139.0</v>
      </c>
    </row>
    <row r="551" ht="22.5" customHeight="1">
      <c r="C551" s="4">
        <v>1.0581505E7</v>
      </c>
      <c r="D551" s="17">
        <f t="shared" si="1"/>
        <v>10901553</v>
      </c>
      <c r="E551" s="4">
        <v>7.92</v>
      </c>
      <c r="F551" s="4">
        <v>139.0</v>
      </c>
    </row>
    <row r="552" ht="22.5" customHeight="1">
      <c r="C552" s="4">
        <v>1.0601507E7</v>
      </c>
      <c r="D552" s="17">
        <f t="shared" si="1"/>
        <v>10921555</v>
      </c>
      <c r="E552" s="4">
        <v>7.92</v>
      </c>
      <c r="F552" s="4">
        <v>139.0</v>
      </c>
    </row>
    <row r="553" ht="22.5" customHeight="1">
      <c r="C553" s="4">
        <v>1.062151E7</v>
      </c>
      <c r="D553" s="17">
        <f t="shared" si="1"/>
        <v>10941558</v>
      </c>
      <c r="E553" s="4">
        <v>7.92</v>
      </c>
      <c r="F553" s="4">
        <v>139.0</v>
      </c>
    </row>
    <row r="554" ht="22.5" customHeight="1">
      <c r="C554" s="4">
        <v>1.0641513E7</v>
      </c>
      <c r="D554" s="17">
        <f t="shared" si="1"/>
        <v>10961561</v>
      </c>
      <c r="E554" s="4">
        <v>7.92</v>
      </c>
      <c r="F554" s="4">
        <v>139.0</v>
      </c>
    </row>
    <row r="555" ht="22.5" customHeight="1">
      <c r="C555" s="4">
        <v>1.0661517E7</v>
      </c>
      <c r="D555" s="17">
        <f t="shared" si="1"/>
        <v>10981565</v>
      </c>
      <c r="E555" s="4">
        <v>7.92</v>
      </c>
      <c r="F555" s="4">
        <v>139.0</v>
      </c>
    </row>
    <row r="556" ht="22.5" customHeight="1">
      <c r="C556" s="4">
        <v>1.068152E7</v>
      </c>
      <c r="D556" s="17">
        <f t="shared" si="1"/>
        <v>11001568</v>
      </c>
      <c r="E556" s="4">
        <v>7.92</v>
      </c>
      <c r="F556" s="4">
        <v>139.0</v>
      </c>
    </row>
    <row r="557" ht="22.5" customHeight="1">
      <c r="C557" s="4">
        <v>1.0701522E7</v>
      </c>
      <c r="D557" s="17">
        <f t="shared" si="1"/>
        <v>11021570</v>
      </c>
      <c r="E557" s="4">
        <v>7.92</v>
      </c>
      <c r="F557" s="4">
        <v>138.9</v>
      </c>
    </row>
    <row r="558" ht="22.5" customHeight="1">
      <c r="C558" s="4">
        <v>1.0721525E7</v>
      </c>
      <c r="D558" s="17">
        <f t="shared" si="1"/>
        <v>11041573</v>
      </c>
      <c r="E558" s="4">
        <v>7.92</v>
      </c>
      <c r="F558" s="4">
        <v>139.0</v>
      </c>
    </row>
    <row r="559" ht="22.5" customHeight="1">
      <c r="C559" s="4">
        <v>1.0741528E7</v>
      </c>
      <c r="D559" s="17">
        <f t="shared" si="1"/>
        <v>11061576</v>
      </c>
      <c r="E559" s="4">
        <v>7.92</v>
      </c>
      <c r="F559" s="4">
        <v>139.0</v>
      </c>
    </row>
    <row r="560" ht="22.5" customHeight="1">
      <c r="C560" s="4">
        <v>1.0761531E7</v>
      </c>
      <c r="D560" s="17">
        <f t="shared" si="1"/>
        <v>11081579</v>
      </c>
      <c r="E560" s="4">
        <v>7.92</v>
      </c>
      <c r="F560" s="4">
        <v>139.0</v>
      </c>
    </row>
    <row r="561" ht="22.5" customHeight="1">
      <c r="C561" s="4">
        <v>1.0781534E7</v>
      </c>
      <c r="D561" s="17">
        <f t="shared" si="1"/>
        <v>11101582</v>
      </c>
      <c r="E561" s="4">
        <v>7.92</v>
      </c>
      <c r="F561" s="4">
        <v>139.0</v>
      </c>
    </row>
    <row r="562" ht="22.5" customHeight="1">
      <c r="C562" s="4">
        <v>1.0801537E7</v>
      </c>
      <c r="D562" s="17">
        <f t="shared" si="1"/>
        <v>11121585</v>
      </c>
      <c r="E562" s="4">
        <v>7.92</v>
      </c>
      <c r="F562" s="4">
        <v>138.9</v>
      </c>
    </row>
    <row r="563" ht="22.5" customHeight="1">
      <c r="C563" s="4">
        <v>1.0821539E7</v>
      </c>
      <c r="D563" s="17">
        <f t="shared" si="1"/>
        <v>11141587</v>
      </c>
      <c r="E563" s="4">
        <v>7.92</v>
      </c>
      <c r="F563" s="4">
        <v>139.0</v>
      </c>
    </row>
    <row r="564" ht="22.5" customHeight="1">
      <c r="C564" s="4">
        <v>1.0841542E7</v>
      </c>
      <c r="D564" s="17">
        <f t="shared" si="1"/>
        <v>11161590</v>
      </c>
      <c r="E564" s="4">
        <v>7.92</v>
      </c>
      <c r="F564" s="4">
        <v>138.9</v>
      </c>
    </row>
    <row r="565" ht="22.5" customHeight="1">
      <c r="C565" s="4">
        <v>1.0861545E7</v>
      </c>
      <c r="D565" s="17">
        <f t="shared" si="1"/>
        <v>11181593</v>
      </c>
      <c r="E565" s="4">
        <v>7.92</v>
      </c>
      <c r="F565" s="4">
        <v>138.9</v>
      </c>
    </row>
    <row r="566" ht="22.5" customHeight="1">
      <c r="C566" s="4">
        <v>1.0881548E7</v>
      </c>
      <c r="D566" s="17">
        <f t="shared" si="1"/>
        <v>11201596</v>
      </c>
      <c r="E566" s="4">
        <v>7.92</v>
      </c>
      <c r="F566" s="4">
        <v>138.9</v>
      </c>
    </row>
    <row r="567" ht="22.5" customHeight="1">
      <c r="C567" s="4">
        <v>1.0901551E7</v>
      </c>
      <c r="D567" s="17">
        <f t="shared" si="1"/>
        <v>11221599</v>
      </c>
      <c r="E567" s="4">
        <v>7.92</v>
      </c>
      <c r="F567" s="4">
        <v>138.9</v>
      </c>
    </row>
    <row r="568" ht="22.5" customHeight="1">
      <c r="C568" s="4">
        <v>1.0921553E7</v>
      </c>
      <c r="D568" s="17">
        <f t="shared" si="1"/>
        <v>11241601</v>
      </c>
      <c r="E568" s="4">
        <v>7.92</v>
      </c>
      <c r="F568" s="4">
        <v>138.9</v>
      </c>
    </row>
    <row r="569" ht="22.5" customHeight="1">
      <c r="C569" s="4">
        <v>1.0941557E7</v>
      </c>
      <c r="D569" s="17">
        <f t="shared" si="1"/>
        <v>11261605</v>
      </c>
      <c r="E569" s="4">
        <v>7.92</v>
      </c>
      <c r="F569" s="4">
        <v>138.9</v>
      </c>
    </row>
    <row r="570" ht="22.5" customHeight="1">
      <c r="C570" s="4">
        <v>1.096156E7</v>
      </c>
      <c r="D570" s="17">
        <f t="shared" si="1"/>
        <v>11281608</v>
      </c>
      <c r="E570" s="4">
        <v>7.92</v>
      </c>
      <c r="F570" s="4">
        <v>138.9</v>
      </c>
    </row>
    <row r="571" ht="22.5" customHeight="1">
      <c r="C571" s="4">
        <v>1.0981563E7</v>
      </c>
      <c r="D571" s="17">
        <f t="shared" si="1"/>
        <v>11301611</v>
      </c>
      <c r="E571" s="4">
        <v>7.92</v>
      </c>
      <c r="F571" s="4">
        <v>138.9</v>
      </c>
    </row>
    <row r="572" ht="22.5" customHeight="1">
      <c r="C572" s="4">
        <v>1.1001566E7</v>
      </c>
      <c r="D572" s="17">
        <f t="shared" si="1"/>
        <v>11321614</v>
      </c>
      <c r="E572" s="4">
        <v>7.92</v>
      </c>
      <c r="F572" s="4">
        <v>138.9</v>
      </c>
    </row>
    <row r="573" ht="22.5" customHeight="1">
      <c r="C573" s="4">
        <v>1.1021569E7</v>
      </c>
      <c r="D573" s="17">
        <f t="shared" si="1"/>
        <v>11341617</v>
      </c>
      <c r="E573" s="4">
        <v>7.92</v>
      </c>
      <c r="F573" s="4">
        <v>138.9</v>
      </c>
    </row>
    <row r="574" ht="22.5" customHeight="1">
      <c r="C574" s="4">
        <v>1.1041571E7</v>
      </c>
      <c r="D574" s="17">
        <f t="shared" si="1"/>
        <v>11361619</v>
      </c>
      <c r="E574" s="4">
        <v>7.92</v>
      </c>
      <c r="F574" s="4">
        <v>138.9</v>
      </c>
    </row>
    <row r="575" ht="22.5" customHeight="1">
      <c r="C575" s="4">
        <v>1.1061574E7</v>
      </c>
      <c r="D575" s="17">
        <f t="shared" si="1"/>
        <v>11381622</v>
      </c>
      <c r="E575" s="4">
        <v>7.92</v>
      </c>
      <c r="F575" s="4">
        <v>138.9</v>
      </c>
    </row>
    <row r="576" ht="22.5" customHeight="1">
      <c r="C576" s="4">
        <v>1.1081577E7</v>
      </c>
      <c r="D576" s="17">
        <f t="shared" si="1"/>
        <v>11401625</v>
      </c>
      <c r="E576" s="4">
        <v>7.92</v>
      </c>
      <c r="F576" s="4">
        <v>138.9</v>
      </c>
    </row>
    <row r="577" ht="22.5" customHeight="1">
      <c r="C577" s="4">
        <v>1.110158E7</v>
      </c>
      <c r="D577" s="17">
        <f t="shared" si="1"/>
        <v>11421628</v>
      </c>
      <c r="E577" s="4">
        <v>7.92</v>
      </c>
      <c r="F577" s="4">
        <v>138.9</v>
      </c>
    </row>
    <row r="578" ht="22.5" customHeight="1">
      <c r="C578" s="4">
        <v>1.1121583E7</v>
      </c>
      <c r="D578" s="17">
        <f t="shared" si="1"/>
        <v>11441631</v>
      </c>
      <c r="E578" s="4">
        <v>7.92</v>
      </c>
      <c r="F578" s="4">
        <v>138.9</v>
      </c>
    </row>
    <row r="579" ht="22.5" customHeight="1">
      <c r="C579" s="4">
        <v>1.1141585E7</v>
      </c>
      <c r="D579" s="17">
        <f t="shared" si="1"/>
        <v>11461633</v>
      </c>
      <c r="E579" s="4">
        <v>7.92</v>
      </c>
      <c r="F579" s="4">
        <v>138.9</v>
      </c>
    </row>
    <row r="580" ht="22.5" customHeight="1">
      <c r="C580" s="4">
        <v>1.1161588E7</v>
      </c>
      <c r="D580" s="17">
        <f t="shared" si="1"/>
        <v>11481636</v>
      </c>
      <c r="E580" s="4">
        <v>7.92</v>
      </c>
      <c r="F580" s="4">
        <v>138.9</v>
      </c>
    </row>
    <row r="581" ht="22.5" customHeight="1">
      <c r="C581" s="4">
        <v>1.1181591E7</v>
      </c>
      <c r="D581" s="17">
        <f t="shared" si="1"/>
        <v>11501639</v>
      </c>
      <c r="E581" s="4">
        <v>7.92</v>
      </c>
      <c r="F581" s="4">
        <v>138.8</v>
      </c>
    </row>
    <row r="582" ht="22.5" customHeight="1">
      <c r="C582" s="4">
        <v>1.1201594E7</v>
      </c>
      <c r="D582" s="17">
        <f t="shared" si="1"/>
        <v>11521642</v>
      </c>
      <c r="E582" s="4">
        <v>7.92</v>
      </c>
      <c r="F582" s="4">
        <v>138.8</v>
      </c>
    </row>
    <row r="583" ht="22.5" customHeight="1">
      <c r="C583" s="4">
        <v>1.1221598E7</v>
      </c>
      <c r="D583" s="17">
        <f t="shared" si="1"/>
        <v>11541646</v>
      </c>
      <c r="E583" s="4">
        <v>7.92</v>
      </c>
      <c r="F583" s="4">
        <v>138.8</v>
      </c>
    </row>
    <row r="584" ht="22.5" customHeight="1">
      <c r="C584" s="4">
        <v>1.1241601E7</v>
      </c>
      <c r="D584" s="17">
        <f t="shared" si="1"/>
        <v>11561649</v>
      </c>
      <c r="E584" s="4">
        <v>7.92</v>
      </c>
      <c r="F584" s="4">
        <v>138.8</v>
      </c>
    </row>
    <row r="585" ht="22.5" customHeight="1">
      <c r="C585" s="4">
        <v>1.1261603E7</v>
      </c>
      <c r="D585" s="17">
        <f t="shared" si="1"/>
        <v>11581651</v>
      </c>
      <c r="E585" s="4">
        <v>7.92</v>
      </c>
      <c r="F585" s="4">
        <v>138.8</v>
      </c>
    </row>
    <row r="586" ht="22.5" customHeight="1">
      <c r="C586" s="4">
        <v>1.1281606E7</v>
      </c>
      <c r="D586" s="17">
        <f t="shared" si="1"/>
        <v>11601654</v>
      </c>
      <c r="E586" s="4">
        <v>7.92</v>
      </c>
      <c r="F586" s="4">
        <v>138.8</v>
      </c>
    </row>
    <row r="587" ht="22.5" customHeight="1">
      <c r="C587" s="4">
        <v>1.1301609E7</v>
      </c>
      <c r="D587" s="17">
        <f t="shared" si="1"/>
        <v>11621657</v>
      </c>
      <c r="E587" s="4">
        <v>7.92</v>
      </c>
      <c r="F587" s="4">
        <v>138.8</v>
      </c>
    </row>
    <row r="588" ht="22.5" customHeight="1">
      <c r="C588" s="4">
        <v>1.1321612E7</v>
      </c>
      <c r="D588" s="17">
        <f t="shared" si="1"/>
        <v>11641660</v>
      </c>
      <c r="E588" s="4">
        <v>7.92</v>
      </c>
      <c r="F588" s="4">
        <v>138.9</v>
      </c>
    </row>
    <row r="589" ht="22.5" customHeight="1">
      <c r="C589" s="4">
        <v>1.1341615E7</v>
      </c>
      <c r="D589" s="17">
        <f t="shared" si="1"/>
        <v>11661663</v>
      </c>
      <c r="E589" s="4">
        <v>7.92</v>
      </c>
      <c r="F589" s="4">
        <v>138.8</v>
      </c>
    </row>
    <row r="590" ht="22.5" customHeight="1">
      <c r="C590" s="4">
        <v>1.1361617E7</v>
      </c>
      <c r="D590" s="17">
        <f t="shared" si="1"/>
        <v>11681665</v>
      </c>
      <c r="E590" s="4">
        <v>7.92</v>
      </c>
      <c r="F590" s="4">
        <v>138.8</v>
      </c>
    </row>
    <row r="591" ht="22.5" customHeight="1">
      <c r="C591" s="4">
        <v>1.138162E7</v>
      </c>
      <c r="D591" s="17">
        <f t="shared" si="1"/>
        <v>11701668</v>
      </c>
      <c r="E591" s="4">
        <v>7.92</v>
      </c>
      <c r="F591" s="4">
        <v>138.8</v>
      </c>
    </row>
    <row r="592" ht="22.5" customHeight="1">
      <c r="C592" s="4">
        <v>1.1401623E7</v>
      </c>
      <c r="D592" s="17">
        <f t="shared" si="1"/>
        <v>11721671</v>
      </c>
      <c r="E592" s="4">
        <v>7.92</v>
      </c>
      <c r="F592" s="4">
        <v>138.8</v>
      </c>
    </row>
    <row r="593" ht="22.5" customHeight="1">
      <c r="C593" s="4">
        <v>1.1421626E7</v>
      </c>
      <c r="D593" s="17">
        <f t="shared" si="1"/>
        <v>11741674</v>
      </c>
      <c r="E593" s="4">
        <v>7.91</v>
      </c>
      <c r="F593" s="4">
        <v>138.8</v>
      </c>
    </row>
    <row r="594" ht="22.5" customHeight="1">
      <c r="C594" s="4">
        <v>1.1441629E7</v>
      </c>
      <c r="D594" s="17">
        <f t="shared" si="1"/>
        <v>11761677</v>
      </c>
      <c r="E594" s="4">
        <v>7.92</v>
      </c>
      <c r="F594" s="4">
        <v>138.8</v>
      </c>
    </row>
    <row r="595" ht="22.5" customHeight="1">
      <c r="C595" s="4">
        <v>1.1461632E7</v>
      </c>
      <c r="D595" s="17">
        <f t="shared" si="1"/>
        <v>11781680</v>
      </c>
      <c r="E595" s="4">
        <v>7.91</v>
      </c>
      <c r="F595" s="4">
        <v>138.8</v>
      </c>
    </row>
    <row r="596" ht="22.5" customHeight="1">
      <c r="C596" s="4">
        <v>1.1481634E7</v>
      </c>
      <c r="D596" s="17">
        <f t="shared" si="1"/>
        <v>11801682</v>
      </c>
      <c r="E596" s="4">
        <v>7.92</v>
      </c>
      <c r="F596" s="4">
        <v>138.7</v>
      </c>
    </row>
    <row r="597" ht="22.5" customHeight="1">
      <c r="C597" s="4">
        <v>1.1501638E7</v>
      </c>
      <c r="D597" s="17">
        <f t="shared" si="1"/>
        <v>11821686</v>
      </c>
      <c r="E597" s="4">
        <v>7.91</v>
      </c>
      <c r="F597" s="4">
        <v>138.8</v>
      </c>
    </row>
    <row r="598" ht="22.5" customHeight="1">
      <c r="C598" s="4">
        <v>1.1521641E7</v>
      </c>
      <c r="D598" s="17">
        <f t="shared" si="1"/>
        <v>11841689</v>
      </c>
      <c r="E598" s="4">
        <v>7.91</v>
      </c>
      <c r="F598" s="4">
        <v>138.8</v>
      </c>
    </row>
    <row r="599" ht="22.5" customHeight="1">
      <c r="C599" s="4">
        <v>1.1541644E7</v>
      </c>
      <c r="D599" s="17">
        <f t="shared" si="1"/>
        <v>11861692</v>
      </c>
      <c r="E599" s="4">
        <v>7.91</v>
      </c>
      <c r="F599" s="4">
        <v>138.8</v>
      </c>
    </row>
    <row r="600" ht="22.5" customHeight="1">
      <c r="C600" s="4">
        <v>1.1561647E7</v>
      </c>
      <c r="D600" s="17">
        <f t="shared" si="1"/>
        <v>11881695</v>
      </c>
      <c r="E600" s="4">
        <v>7.91</v>
      </c>
      <c r="F600" s="4">
        <v>138.8</v>
      </c>
    </row>
    <row r="601" ht="22.5" customHeight="1">
      <c r="C601" s="4">
        <v>1.1581649E7</v>
      </c>
      <c r="D601" s="17">
        <f t="shared" si="1"/>
        <v>11901697</v>
      </c>
      <c r="E601" s="4">
        <v>7.91</v>
      </c>
      <c r="F601" s="4">
        <v>138.7</v>
      </c>
    </row>
    <row r="602" ht="22.5" customHeight="1">
      <c r="C602" s="4">
        <v>1.1601652E7</v>
      </c>
      <c r="D602" s="17">
        <f t="shared" si="1"/>
        <v>11921700</v>
      </c>
      <c r="E602" s="4">
        <v>7.91</v>
      </c>
      <c r="F602" s="4">
        <v>138.8</v>
      </c>
    </row>
    <row r="603" ht="22.5" customHeight="1">
      <c r="C603" s="4">
        <v>1.1621655E7</v>
      </c>
      <c r="D603" s="17">
        <f t="shared" si="1"/>
        <v>11941703</v>
      </c>
      <c r="E603" s="4">
        <v>7.91</v>
      </c>
      <c r="F603" s="4">
        <v>138.8</v>
      </c>
    </row>
    <row r="604" ht="22.5" customHeight="1">
      <c r="C604" s="4">
        <v>1.1641658E7</v>
      </c>
      <c r="D604" s="17">
        <f t="shared" si="1"/>
        <v>11961706</v>
      </c>
      <c r="E604" s="4">
        <v>7.91</v>
      </c>
      <c r="F604" s="4">
        <v>138.8</v>
      </c>
    </row>
    <row r="605" ht="22.5" customHeight="1">
      <c r="C605" s="4">
        <v>1.1661661E7</v>
      </c>
      <c r="D605" s="17">
        <f t="shared" si="1"/>
        <v>11981709</v>
      </c>
      <c r="E605" s="4">
        <v>7.91</v>
      </c>
      <c r="F605" s="4">
        <v>138.7</v>
      </c>
    </row>
    <row r="606" ht="22.5" customHeight="1">
      <c r="C606" s="4">
        <v>1.1681664E7</v>
      </c>
      <c r="D606" s="17">
        <f t="shared" si="1"/>
        <v>12001712</v>
      </c>
      <c r="E606" s="4">
        <v>7.91</v>
      </c>
      <c r="F606" s="4">
        <v>138.7</v>
      </c>
    </row>
    <row r="607" ht="22.5" customHeight="1">
      <c r="C607" s="4">
        <v>1.1701666E7</v>
      </c>
      <c r="D607" s="17">
        <f t="shared" si="1"/>
        <v>12021714</v>
      </c>
      <c r="E607" s="4">
        <v>7.91</v>
      </c>
      <c r="F607" s="4">
        <v>138.8</v>
      </c>
    </row>
    <row r="608" ht="22.5" customHeight="1">
      <c r="C608" s="4">
        <v>1.1721669E7</v>
      </c>
      <c r="D608" s="17">
        <f t="shared" si="1"/>
        <v>12041717</v>
      </c>
      <c r="E608" s="4">
        <v>7.91</v>
      </c>
      <c r="F608" s="4">
        <v>138.7</v>
      </c>
    </row>
    <row r="609" ht="22.5" customHeight="1">
      <c r="C609" s="4">
        <v>1.1741672E7</v>
      </c>
      <c r="D609" s="17">
        <f t="shared" si="1"/>
        <v>12061720</v>
      </c>
      <c r="E609" s="4">
        <v>7.91</v>
      </c>
      <c r="F609" s="4">
        <v>138.7</v>
      </c>
    </row>
    <row r="610" ht="22.5" customHeight="1">
      <c r="C610" s="4">
        <v>1.1761675E7</v>
      </c>
      <c r="D610" s="17">
        <f t="shared" si="1"/>
        <v>12081723</v>
      </c>
      <c r="E610" s="4">
        <v>7.91</v>
      </c>
      <c r="F610" s="4">
        <v>138.6</v>
      </c>
    </row>
    <row r="611" ht="22.5" customHeight="1">
      <c r="C611" s="4">
        <v>1.1781679E7</v>
      </c>
      <c r="D611" s="17">
        <f t="shared" si="1"/>
        <v>12101727</v>
      </c>
      <c r="E611" s="4">
        <v>7.91</v>
      </c>
      <c r="F611" s="4">
        <v>138.7</v>
      </c>
    </row>
    <row r="612" ht="22.5" customHeight="1">
      <c r="C612" s="4">
        <v>1.1801681E7</v>
      </c>
      <c r="D612" s="17">
        <f t="shared" si="1"/>
        <v>12121729</v>
      </c>
      <c r="E612" s="4">
        <v>7.91</v>
      </c>
      <c r="F612" s="4">
        <v>138.7</v>
      </c>
    </row>
    <row r="613" ht="22.5" customHeight="1">
      <c r="C613" s="4">
        <v>1.1821684E7</v>
      </c>
      <c r="D613" s="17">
        <f t="shared" si="1"/>
        <v>12141732</v>
      </c>
      <c r="E613" s="4">
        <v>7.91</v>
      </c>
      <c r="F613" s="4">
        <v>138.7</v>
      </c>
    </row>
    <row r="614" ht="22.5" customHeight="1">
      <c r="C614" s="4">
        <v>1.1841687E7</v>
      </c>
      <c r="D614" s="17">
        <f t="shared" si="1"/>
        <v>12161735</v>
      </c>
      <c r="E614" s="4">
        <v>7.91</v>
      </c>
      <c r="F614" s="4">
        <v>138.7</v>
      </c>
    </row>
    <row r="615" ht="22.5" customHeight="1">
      <c r="C615" s="4">
        <v>1.186169E7</v>
      </c>
      <c r="D615" s="17">
        <f t="shared" si="1"/>
        <v>12181738</v>
      </c>
      <c r="E615" s="4">
        <v>7.9</v>
      </c>
      <c r="F615" s="4">
        <v>138.7</v>
      </c>
    </row>
    <row r="616" ht="22.5" customHeight="1">
      <c r="C616" s="4">
        <v>1.1881693E7</v>
      </c>
      <c r="D616" s="17">
        <f t="shared" si="1"/>
        <v>12201741</v>
      </c>
      <c r="E616" s="4">
        <v>7.91</v>
      </c>
      <c r="F616" s="4">
        <v>138.7</v>
      </c>
    </row>
    <row r="617" ht="22.5" customHeight="1">
      <c r="C617" s="4">
        <v>1.1901696E7</v>
      </c>
      <c r="D617" s="17">
        <f t="shared" si="1"/>
        <v>12221744</v>
      </c>
      <c r="E617" s="4">
        <v>7.91</v>
      </c>
      <c r="F617" s="4">
        <v>138.6</v>
      </c>
    </row>
    <row r="618" ht="22.5" customHeight="1">
      <c r="C618" s="4">
        <v>1.1921698E7</v>
      </c>
      <c r="D618" s="17">
        <f t="shared" si="1"/>
        <v>12241746</v>
      </c>
      <c r="E618" s="4">
        <v>7.9</v>
      </c>
      <c r="F618" s="4">
        <v>138.6</v>
      </c>
    </row>
    <row r="619" ht="22.5" customHeight="1">
      <c r="C619" s="4">
        <v>1.1941701E7</v>
      </c>
      <c r="D619" s="17">
        <f t="shared" si="1"/>
        <v>12261749</v>
      </c>
      <c r="E619" s="4">
        <v>7.9</v>
      </c>
      <c r="F619" s="4">
        <v>138.6</v>
      </c>
    </row>
    <row r="620" ht="22.5" customHeight="1">
      <c r="C620" s="4">
        <v>1.1961704E7</v>
      </c>
      <c r="D620" s="17">
        <f t="shared" si="1"/>
        <v>12281752</v>
      </c>
      <c r="E620" s="4">
        <v>7.9</v>
      </c>
      <c r="F620" s="4">
        <v>138.6</v>
      </c>
    </row>
    <row r="621" ht="22.5" customHeight="1">
      <c r="C621" s="4">
        <v>1.1981707E7</v>
      </c>
      <c r="D621" s="17">
        <f t="shared" si="1"/>
        <v>12301755</v>
      </c>
      <c r="E621" s="4">
        <v>7.9</v>
      </c>
      <c r="F621" s="4">
        <v>138.6</v>
      </c>
    </row>
    <row r="622" ht="22.5" customHeight="1">
      <c r="C622" s="4">
        <v>1.200171E7</v>
      </c>
      <c r="D622" s="17">
        <f t="shared" si="1"/>
        <v>12321758</v>
      </c>
      <c r="E622" s="4">
        <v>7.9</v>
      </c>
      <c r="F622" s="4">
        <v>138.6</v>
      </c>
    </row>
    <row r="623" ht="22.5" customHeight="1">
      <c r="C623" s="4">
        <v>1.2021712E7</v>
      </c>
      <c r="D623" s="17">
        <f t="shared" si="1"/>
        <v>12341760</v>
      </c>
      <c r="E623" s="4">
        <v>7.9</v>
      </c>
      <c r="F623" s="4">
        <v>138.6</v>
      </c>
    </row>
    <row r="624" ht="22.5" customHeight="1">
      <c r="C624" s="4">
        <v>1.2041715E7</v>
      </c>
      <c r="D624" s="17">
        <f t="shared" si="1"/>
        <v>12361763</v>
      </c>
      <c r="E624" s="4">
        <v>7.9</v>
      </c>
      <c r="F624" s="4">
        <v>138.6</v>
      </c>
    </row>
    <row r="625" ht="22.5" customHeight="1">
      <c r="C625" s="4">
        <v>1.2061719E7</v>
      </c>
      <c r="D625" s="17">
        <f t="shared" si="1"/>
        <v>12381767</v>
      </c>
      <c r="E625" s="4">
        <v>7.9</v>
      </c>
      <c r="F625" s="4">
        <v>138.6</v>
      </c>
    </row>
    <row r="626" ht="22.5" customHeight="1">
      <c r="C626" s="4">
        <v>1.2081722E7</v>
      </c>
      <c r="D626" s="17">
        <f t="shared" si="1"/>
        <v>12401770</v>
      </c>
      <c r="E626" s="4">
        <v>7.9</v>
      </c>
      <c r="F626" s="4">
        <v>138.6</v>
      </c>
    </row>
    <row r="627" ht="22.5" customHeight="1">
      <c r="C627" s="4">
        <v>1.2101725E7</v>
      </c>
      <c r="D627" s="17">
        <f t="shared" si="1"/>
        <v>12421773</v>
      </c>
      <c r="E627" s="4">
        <v>7.9</v>
      </c>
      <c r="F627" s="4">
        <v>138.6</v>
      </c>
    </row>
    <row r="628" ht="22.5" customHeight="1">
      <c r="C628" s="4">
        <v>1.2121728E7</v>
      </c>
      <c r="D628" s="17">
        <f t="shared" si="1"/>
        <v>12441776</v>
      </c>
      <c r="E628" s="4">
        <v>7.9</v>
      </c>
      <c r="F628" s="4">
        <v>138.6</v>
      </c>
    </row>
    <row r="629" ht="22.5" customHeight="1">
      <c r="C629" s="4">
        <v>1.214173E7</v>
      </c>
      <c r="D629" s="17">
        <f t="shared" si="1"/>
        <v>12461778</v>
      </c>
      <c r="E629" s="4">
        <v>7.9</v>
      </c>
      <c r="F629" s="4">
        <v>138.5</v>
      </c>
    </row>
    <row r="630" ht="22.5" customHeight="1">
      <c r="C630" s="4">
        <v>1.2161733E7</v>
      </c>
      <c r="D630" s="17">
        <f t="shared" si="1"/>
        <v>12481781</v>
      </c>
      <c r="E630" s="4">
        <v>7.9</v>
      </c>
      <c r="F630" s="4">
        <v>138.5</v>
      </c>
    </row>
    <row r="631" ht="22.5" customHeight="1">
      <c r="C631" s="4">
        <v>1.2181736E7</v>
      </c>
      <c r="D631" s="17">
        <f t="shared" si="1"/>
        <v>12501784</v>
      </c>
      <c r="E631" s="4">
        <v>7.9</v>
      </c>
      <c r="F631" s="4">
        <v>138.5</v>
      </c>
    </row>
    <row r="632" ht="22.5" customHeight="1">
      <c r="C632" s="4">
        <v>1.2201739E7</v>
      </c>
      <c r="D632" s="17">
        <f t="shared" si="1"/>
        <v>12521787</v>
      </c>
      <c r="E632" s="4">
        <v>7.9</v>
      </c>
      <c r="F632" s="4">
        <v>138.5</v>
      </c>
    </row>
    <row r="633" ht="22.5" customHeight="1">
      <c r="C633" s="4">
        <v>1.2221742E7</v>
      </c>
      <c r="D633" s="17">
        <f t="shared" si="1"/>
        <v>12541790</v>
      </c>
      <c r="E633" s="4">
        <v>7.9</v>
      </c>
      <c r="F633" s="4">
        <v>138.6</v>
      </c>
    </row>
    <row r="634" ht="22.5" customHeight="1">
      <c r="C634" s="4">
        <v>1.2241744E7</v>
      </c>
      <c r="D634" s="17">
        <f t="shared" si="1"/>
        <v>12561792</v>
      </c>
      <c r="E634" s="4">
        <v>7.9</v>
      </c>
      <c r="F634" s="4">
        <v>138.5</v>
      </c>
    </row>
    <row r="635" ht="22.5" customHeight="1">
      <c r="C635" s="4">
        <v>1.2261747E7</v>
      </c>
      <c r="D635" s="17">
        <f t="shared" si="1"/>
        <v>12581795</v>
      </c>
      <c r="E635" s="4">
        <v>7.9</v>
      </c>
      <c r="F635" s="4">
        <v>138.6</v>
      </c>
    </row>
    <row r="636" ht="22.5" customHeight="1">
      <c r="C636" s="4">
        <v>1.228175E7</v>
      </c>
      <c r="D636" s="17">
        <f t="shared" si="1"/>
        <v>12601798</v>
      </c>
      <c r="E636" s="4">
        <v>7.9</v>
      </c>
      <c r="F636" s="4">
        <v>138.5</v>
      </c>
    </row>
    <row r="637" ht="22.5" customHeight="1">
      <c r="C637" s="4">
        <v>1.2301753E7</v>
      </c>
      <c r="D637" s="17">
        <f t="shared" si="1"/>
        <v>12621801</v>
      </c>
      <c r="E637" s="4">
        <v>7.9</v>
      </c>
      <c r="F637" s="4">
        <v>138.5</v>
      </c>
    </row>
    <row r="638" ht="22.5" customHeight="1">
      <c r="C638" s="4">
        <v>1.2321756E7</v>
      </c>
      <c r="D638" s="17">
        <f t="shared" si="1"/>
        <v>12641804</v>
      </c>
      <c r="E638" s="4">
        <v>7.9</v>
      </c>
      <c r="F638" s="4">
        <v>138.5</v>
      </c>
    </row>
    <row r="639" ht="22.5" customHeight="1">
      <c r="C639" s="4">
        <v>1.2341758E7</v>
      </c>
      <c r="D639" s="17">
        <f t="shared" si="1"/>
        <v>12661806</v>
      </c>
      <c r="E639" s="4">
        <v>7.9</v>
      </c>
      <c r="F639" s="4">
        <v>138.5</v>
      </c>
    </row>
    <row r="640" ht="22.5" customHeight="1">
      <c r="C640" s="4">
        <v>1.2361762E7</v>
      </c>
      <c r="D640" s="17">
        <f t="shared" si="1"/>
        <v>12681810</v>
      </c>
      <c r="E640" s="4">
        <v>7.9</v>
      </c>
      <c r="F640" s="4">
        <v>138.5</v>
      </c>
    </row>
    <row r="641" ht="22.5" customHeight="1">
      <c r="C641" s="4">
        <v>1.2381765E7</v>
      </c>
      <c r="D641" s="17">
        <f t="shared" si="1"/>
        <v>12701813</v>
      </c>
      <c r="E641" s="4">
        <v>7.9</v>
      </c>
      <c r="F641" s="4">
        <v>138.5</v>
      </c>
    </row>
    <row r="642" ht="22.5" customHeight="1">
      <c r="C642" s="4">
        <v>1.2401768E7</v>
      </c>
      <c r="D642" s="17">
        <f t="shared" si="1"/>
        <v>12721816</v>
      </c>
      <c r="E642" s="4">
        <v>7.9</v>
      </c>
      <c r="F642" s="4">
        <v>138.4</v>
      </c>
    </row>
    <row r="643" ht="22.5" customHeight="1">
      <c r="C643" s="4">
        <v>1.2421771E7</v>
      </c>
      <c r="D643" s="17">
        <f t="shared" si="1"/>
        <v>12741819</v>
      </c>
      <c r="E643" s="4">
        <v>7.9</v>
      </c>
      <c r="F643" s="4">
        <v>138.4</v>
      </c>
    </row>
    <row r="644" ht="22.5" customHeight="1">
      <c r="C644" s="4">
        <v>1.2441774E7</v>
      </c>
      <c r="D644" s="17">
        <f t="shared" si="1"/>
        <v>12761822</v>
      </c>
      <c r="E644" s="4">
        <v>7.9</v>
      </c>
      <c r="F644" s="4">
        <v>138.5</v>
      </c>
    </row>
    <row r="645" ht="22.5" customHeight="1">
      <c r="C645" s="4">
        <v>1.2461776E7</v>
      </c>
      <c r="D645" s="17">
        <f t="shared" si="1"/>
        <v>12781824</v>
      </c>
      <c r="E645" s="4">
        <v>7.9</v>
      </c>
      <c r="F645" s="4">
        <v>138.4</v>
      </c>
    </row>
    <row r="646" ht="22.5" customHeight="1">
      <c r="C646" s="4">
        <v>1.2481779E7</v>
      </c>
      <c r="D646" s="17">
        <f t="shared" si="1"/>
        <v>12801827</v>
      </c>
      <c r="E646" s="4">
        <v>7.9</v>
      </c>
      <c r="F646" s="4">
        <v>138.4</v>
      </c>
    </row>
    <row r="647" ht="22.5" customHeight="1">
      <c r="C647" s="4">
        <v>1.2501782E7</v>
      </c>
      <c r="D647" s="17">
        <f t="shared" si="1"/>
        <v>12821830</v>
      </c>
      <c r="E647" s="4">
        <v>7.9</v>
      </c>
      <c r="F647" s="4">
        <v>138.4</v>
      </c>
    </row>
    <row r="648" ht="22.5" customHeight="1">
      <c r="C648" s="4">
        <v>1.2521785E7</v>
      </c>
      <c r="D648" s="17">
        <f t="shared" si="1"/>
        <v>12841833</v>
      </c>
      <c r="E648" s="4">
        <v>7.89</v>
      </c>
      <c r="F648" s="4">
        <v>138.4</v>
      </c>
    </row>
    <row r="649" ht="22.5" customHeight="1">
      <c r="C649" s="4">
        <v>1.2541788E7</v>
      </c>
      <c r="D649" s="17">
        <f t="shared" si="1"/>
        <v>12861836</v>
      </c>
      <c r="E649" s="4">
        <v>7.9</v>
      </c>
      <c r="F649" s="4">
        <v>138.5</v>
      </c>
    </row>
    <row r="650" ht="22.5" customHeight="1">
      <c r="C650" s="4">
        <v>1.256179E7</v>
      </c>
      <c r="D650" s="17">
        <f t="shared" si="1"/>
        <v>12881838</v>
      </c>
      <c r="E650" s="4">
        <v>7.89</v>
      </c>
      <c r="F650" s="4">
        <v>138.4</v>
      </c>
    </row>
    <row r="651" ht="22.5" customHeight="1">
      <c r="C651" s="4">
        <v>1.2581793E7</v>
      </c>
      <c r="D651" s="17">
        <f t="shared" si="1"/>
        <v>12901841</v>
      </c>
      <c r="E651" s="4">
        <v>7.89</v>
      </c>
      <c r="F651" s="4">
        <v>138.4</v>
      </c>
    </row>
    <row r="652" ht="22.5" customHeight="1">
      <c r="C652" s="4">
        <v>1.2601796E7</v>
      </c>
      <c r="D652" s="17">
        <f t="shared" si="1"/>
        <v>12921844</v>
      </c>
      <c r="E652" s="4">
        <v>7.89</v>
      </c>
      <c r="F652" s="4">
        <v>138.4</v>
      </c>
    </row>
    <row r="653" ht="22.5" customHeight="1">
      <c r="C653" s="4">
        <v>1.2621799E7</v>
      </c>
      <c r="D653" s="17">
        <f t="shared" si="1"/>
        <v>12941847</v>
      </c>
      <c r="E653" s="4">
        <v>7.89</v>
      </c>
      <c r="F653" s="4">
        <v>138.4</v>
      </c>
    </row>
    <row r="654" ht="22.5" customHeight="1">
      <c r="C654" s="4">
        <v>1.2641802E7</v>
      </c>
      <c r="D654" s="17">
        <f t="shared" si="1"/>
        <v>12961850</v>
      </c>
      <c r="E654" s="4">
        <v>7.89</v>
      </c>
      <c r="F654" s="4">
        <v>138.4</v>
      </c>
    </row>
    <row r="655" ht="22.5" customHeight="1">
      <c r="C655" s="4">
        <v>1.2661806E7</v>
      </c>
      <c r="D655" s="17">
        <f t="shared" si="1"/>
        <v>12981854</v>
      </c>
      <c r="E655" s="4">
        <v>7.89</v>
      </c>
      <c r="F655" s="4">
        <v>138.4</v>
      </c>
    </row>
    <row r="656" ht="22.5" customHeight="1">
      <c r="C656" s="4">
        <v>1.2681808E7</v>
      </c>
      <c r="D656" s="17">
        <f t="shared" si="1"/>
        <v>13001856</v>
      </c>
      <c r="E656" s="4">
        <v>7.89</v>
      </c>
      <c r="F656" s="4">
        <v>138.4</v>
      </c>
    </row>
    <row r="657" ht="22.5" customHeight="1">
      <c r="C657" s="4">
        <v>1.2701811E7</v>
      </c>
      <c r="D657" s="17">
        <f t="shared" si="1"/>
        <v>13021859</v>
      </c>
      <c r="E657" s="4">
        <v>7.89</v>
      </c>
      <c r="F657" s="4">
        <v>138.4</v>
      </c>
    </row>
    <row r="658" ht="22.5" customHeight="1">
      <c r="C658" s="4">
        <v>1.2721814E7</v>
      </c>
      <c r="D658" s="17">
        <f t="shared" si="1"/>
        <v>13041862</v>
      </c>
      <c r="E658" s="4">
        <v>7.89</v>
      </c>
      <c r="F658" s="4">
        <v>138.4</v>
      </c>
    </row>
    <row r="659" ht="22.5" customHeight="1">
      <c r="C659" s="4">
        <v>1.2741817E7</v>
      </c>
      <c r="D659" s="17">
        <f t="shared" si="1"/>
        <v>13061865</v>
      </c>
      <c r="E659" s="4">
        <v>7.89</v>
      </c>
      <c r="F659" s="4">
        <v>138.3</v>
      </c>
    </row>
    <row r="660" ht="22.5" customHeight="1">
      <c r="C660" s="4">
        <v>1.276182E7</v>
      </c>
      <c r="D660" s="17">
        <f t="shared" si="1"/>
        <v>13081868</v>
      </c>
      <c r="E660" s="4">
        <v>7.89</v>
      </c>
      <c r="F660" s="4">
        <v>138.4</v>
      </c>
    </row>
    <row r="661" ht="22.5" customHeight="1">
      <c r="C661" s="4">
        <v>1.2781822E7</v>
      </c>
      <c r="D661" s="17">
        <f t="shared" si="1"/>
        <v>13101870</v>
      </c>
      <c r="E661" s="4">
        <v>7.89</v>
      </c>
      <c r="F661" s="4">
        <v>138.4</v>
      </c>
    </row>
    <row r="662" ht="22.5" customHeight="1">
      <c r="C662" s="4">
        <v>1.2801825E7</v>
      </c>
      <c r="D662" s="17">
        <f t="shared" si="1"/>
        <v>13121873</v>
      </c>
      <c r="E662" s="4">
        <v>7.89</v>
      </c>
      <c r="F662" s="4">
        <v>138.3</v>
      </c>
    </row>
    <row r="663" ht="22.5" customHeight="1">
      <c r="C663" s="4">
        <v>1.2821828E7</v>
      </c>
      <c r="D663" s="17">
        <f t="shared" si="1"/>
        <v>13141876</v>
      </c>
      <c r="E663" s="4">
        <v>7.89</v>
      </c>
      <c r="F663" s="4">
        <v>138.3</v>
      </c>
    </row>
    <row r="664" ht="22.5" customHeight="1">
      <c r="C664" s="4">
        <v>1.2841831E7</v>
      </c>
      <c r="D664" s="17">
        <f t="shared" si="1"/>
        <v>13161879</v>
      </c>
      <c r="E664" s="4">
        <v>7.89</v>
      </c>
      <c r="F664" s="4">
        <v>138.3</v>
      </c>
    </row>
    <row r="665" ht="22.5" customHeight="1">
      <c r="C665" s="4">
        <v>1.2861834E7</v>
      </c>
      <c r="D665" s="17">
        <f t="shared" si="1"/>
        <v>13181882</v>
      </c>
      <c r="E665" s="4">
        <v>7.89</v>
      </c>
      <c r="F665" s="4">
        <v>138.3</v>
      </c>
    </row>
    <row r="666" ht="22.5" customHeight="1">
      <c r="C666" s="4">
        <v>1.2881837E7</v>
      </c>
      <c r="D666" s="17">
        <f t="shared" si="1"/>
        <v>13201885</v>
      </c>
      <c r="E666" s="4">
        <v>7.88</v>
      </c>
      <c r="F666" s="4">
        <v>138.3</v>
      </c>
    </row>
    <row r="667" ht="22.5" customHeight="1">
      <c r="C667" s="4">
        <v>1.2901839E7</v>
      </c>
      <c r="D667" s="17">
        <f t="shared" si="1"/>
        <v>13221887</v>
      </c>
      <c r="E667" s="4">
        <v>7.89</v>
      </c>
      <c r="F667" s="4">
        <v>138.2</v>
      </c>
    </row>
    <row r="668" ht="22.5" customHeight="1">
      <c r="C668" s="4">
        <v>1.2921842E7</v>
      </c>
      <c r="D668" s="17">
        <f t="shared" si="1"/>
        <v>13241890</v>
      </c>
      <c r="E668" s="4">
        <v>7.88</v>
      </c>
      <c r="F668" s="4">
        <v>138.3</v>
      </c>
    </row>
    <row r="669" ht="22.5" customHeight="1">
      <c r="C669" s="4">
        <v>1.2941846E7</v>
      </c>
      <c r="D669" s="17">
        <f t="shared" si="1"/>
        <v>13261894</v>
      </c>
      <c r="E669" s="4">
        <v>7.88</v>
      </c>
      <c r="F669" s="4">
        <v>138.3</v>
      </c>
    </row>
    <row r="670" ht="22.5" customHeight="1">
      <c r="C670" s="4">
        <v>1.2961849E7</v>
      </c>
      <c r="D670" s="17">
        <f t="shared" si="1"/>
        <v>13281897</v>
      </c>
      <c r="E670" s="4">
        <v>7.88</v>
      </c>
      <c r="F670" s="4">
        <v>138.3</v>
      </c>
    </row>
    <row r="671" ht="22.5" customHeight="1">
      <c r="C671" s="4">
        <v>1.2981852E7</v>
      </c>
      <c r="D671" s="17">
        <f t="shared" si="1"/>
        <v>13301900</v>
      </c>
      <c r="E671" s="4">
        <v>7.88</v>
      </c>
      <c r="F671" s="4">
        <v>138.2</v>
      </c>
    </row>
    <row r="672" ht="22.5" customHeight="1">
      <c r="C672" s="4">
        <v>1.3001854E7</v>
      </c>
      <c r="D672" s="17">
        <f t="shared" si="1"/>
        <v>13321902</v>
      </c>
      <c r="E672" s="4">
        <v>7.88</v>
      </c>
      <c r="F672" s="4">
        <v>138.2</v>
      </c>
    </row>
    <row r="673" ht="22.5" customHeight="1">
      <c r="C673" s="4">
        <v>1.3021857E7</v>
      </c>
      <c r="D673" s="17">
        <f t="shared" si="1"/>
        <v>13341905</v>
      </c>
      <c r="E673" s="4">
        <v>7.88</v>
      </c>
      <c r="F673" s="4">
        <v>138.2</v>
      </c>
    </row>
    <row r="674" ht="22.5" customHeight="1">
      <c r="C674" s="4">
        <v>1.304186E7</v>
      </c>
      <c r="D674" s="17">
        <f t="shared" si="1"/>
        <v>13361908</v>
      </c>
      <c r="E674" s="4">
        <v>7.88</v>
      </c>
      <c r="F674" s="4">
        <v>138.2</v>
      </c>
    </row>
    <row r="675" ht="22.5" customHeight="1">
      <c r="C675" s="4">
        <v>1.3061863E7</v>
      </c>
      <c r="D675" s="17">
        <f t="shared" si="1"/>
        <v>13381911</v>
      </c>
      <c r="E675" s="4">
        <v>7.88</v>
      </c>
      <c r="F675" s="4">
        <v>138.2</v>
      </c>
    </row>
    <row r="676" ht="22.5" customHeight="1">
      <c r="C676" s="4">
        <v>1.3081866E7</v>
      </c>
      <c r="D676" s="17">
        <f t="shared" si="1"/>
        <v>13401914</v>
      </c>
      <c r="E676" s="4">
        <v>7.88</v>
      </c>
      <c r="F676" s="4">
        <v>138.2</v>
      </c>
    </row>
    <row r="677" ht="22.5" customHeight="1">
      <c r="C677" s="4">
        <v>1.3101869E7</v>
      </c>
      <c r="D677" s="17">
        <f t="shared" si="1"/>
        <v>13421917</v>
      </c>
      <c r="E677" s="4">
        <v>7.88</v>
      </c>
      <c r="F677" s="4">
        <v>138.1</v>
      </c>
    </row>
    <row r="678" ht="22.5" customHeight="1">
      <c r="C678" s="4">
        <v>1.3121871E7</v>
      </c>
      <c r="D678" s="17">
        <f t="shared" si="1"/>
        <v>13441919</v>
      </c>
      <c r="E678" s="4">
        <v>7.88</v>
      </c>
      <c r="F678" s="4">
        <v>138.2</v>
      </c>
    </row>
    <row r="679" ht="22.5" customHeight="1">
      <c r="C679" s="4">
        <v>1.3141874E7</v>
      </c>
      <c r="D679" s="17">
        <f t="shared" si="1"/>
        <v>13461922</v>
      </c>
      <c r="E679" s="4">
        <v>7.88</v>
      </c>
      <c r="F679" s="4">
        <v>138.2</v>
      </c>
    </row>
    <row r="680" ht="22.5" customHeight="1">
      <c r="C680" s="4">
        <v>1.3161877E7</v>
      </c>
      <c r="D680" s="17">
        <f t="shared" si="1"/>
        <v>13481925</v>
      </c>
      <c r="E680" s="4">
        <v>7.88</v>
      </c>
      <c r="F680" s="4">
        <v>138.2</v>
      </c>
    </row>
    <row r="681" ht="22.5" customHeight="1">
      <c r="C681" s="4">
        <v>1.318188E7</v>
      </c>
      <c r="D681" s="17">
        <f t="shared" si="1"/>
        <v>13501928</v>
      </c>
      <c r="E681" s="4">
        <v>7.88</v>
      </c>
      <c r="F681" s="4">
        <v>138.2</v>
      </c>
    </row>
    <row r="682" ht="22.5" customHeight="1">
      <c r="C682" s="4">
        <v>1.3201883E7</v>
      </c>
      <c r="D682" s="17">
        <f t="shared" si="1"/>
        <v>13521931</v>
      </c>
      <c r="E682" s="4">
        <v>7.88</v>
      </c>
      <c r="F682" s="4">
        <v>138.2</v>
      </c>
    </row>
    <row r="683" ht="22.5" customHeight="1">
      <c r="C683" s="4">
        <v>1.3221886E7</v>
      </c>
      <c r="D683" s="17">
        <f t="shared" si="1"/>
        <v>13541934</v>
      </c>
      <c r="E683" s="4">
        <v>7.88</v>
      </c>
      <c r="F683" s="4">
        <v>138.1</v>
      </c>
    </row>
    <row r="684" ht="22.5" customHeight="1">
      <c r="C684" s="4">
        <v>1.3241889E7</v>
      </c>
      <c r="D684" s="17">
        <f t="shared" si="1"/>
        <v>13561937</v>
      </c>
      <c r="E684" s="4">
        <v>7.88</v>
      </c>
      <c r="F684" s="4">
        <v>138.1</v>
      </c>
    </row>
    <row r="685" ht="22.5" customHeight="1">
      <c r="C685" s="4">
        <v>1.3261892E7</v>
      </c>
      <c r="D685" s="17">
        <f t="shared" si="1"/>
        <v>13581940</v>
      </c>
      <c r="E685" s="4">
        <v>7.88</v>
      </c>
      <c r="F685" s="4">
        <v>138.1</v>
      </c>
    </row>
    <row r="686" ht="22.5" customHeight="1">
      <c r="C686" s="4">
        <v>1.3281895E7</v>
      </c>
      <c r="D686" s="17">
        <f t="shared" si="1"/>
        <v>13601943</v>
      </c>
      <c r="E686" s="4">
        <v>7.88</v>
      </c>
      <c r="F686" s="4">
        <v>138.1</v>
      </c>
    </row>
    <row r="687" ht="22.5" customHeight="1">
      <c r="C687" s="4">
        <v>1.3301898E7</v>
      </c>
      <c r="D687" s="17">
        <f t="shared" si="1"/>
        <v>13621946</v>
      </c>
      <c r="E687" s="4">
        <v>7.88</v>
      </c>
      <c r="F687" s="4">
        <v>138.1</v>
      </c>
    </row>
    <row r="688" ht="22.5" customHeight="1">
      <c r="C688" s="4">
        <v>1.3321901E7</v>
      </c>
      <c r="D688" s="17">
        <f t="shared" si="1"/>
        <v>13641949</v>
      </c>
      <c r="E688" s="4">
        <v>7.88</v>
      </c>
      <c r="F688" s="4">
        <v>138.1</v>
      </c>
    </row>
    <row r="689" ht="22.5" customHeight="1">
      <c r="C689" s="4">
        <v>1.3341903E7</v>
      </c>
      <c r="D689" s="17">
        <f t="shared" si="1"/>
        <v>13661951</v>
      </c>
      <c r="E689" s="4">
        <v>7.88</v>
      </c>
      <c r="F689" s="4">
        <v>138.1</v>
      </c>
    </row>
    <row r="690" ht="22.5" customHeight="1">
      <c r="C690" s="4">
        <v>1.3361906E7</v>
      </c>
      <c r="D690" s="17">
        <f t="shared" si="1"/>
        <v>13681954</v>
      </c>
      <c r="E690" s="4">
        <v>7.88</v>
      </c>
      <c r="F690" s="4">
        <v>138.1</v>
      </c>
    </row>
    <row r="691" ht="22.5" customHeight="1">
      <c r="C691" s="4">
        <v>1.3381909E7</v>
      </c>
      <c r="D691" s="17">
        <f t="shared" si="1"/>
        <v>13701957</v>
      </c>
      <c r="E691" s="4">
        <v>7.88</v>
      </c>
      <c r="F691" s="4">
        <v>138.1</v>
      </c>
    </row>
    <row r="692" ht="22.5" customHeight="1">
      <c r="C692" s="4">
        <v>1.3401912E7</v>
      </c>
      <c r="D692" s="17">
        <f t="shared" si="1"/>
        <v>13721960</v>
      </c>
      <c r="E692" s="4">
        <v>7.88</v>
      </c>
      <c r="F692" s="4">
        <v>138.0</v>
      </c>
    </row>
    <row r="693" ht="22.5" customHeight="1">
      <c r="C693" s="4">
        <v>1.3421915E7</v>
      </c>
      <c r="D693" s="17">
        <f t="shared" si="1"/>
        <v>13741963</v>
      </c>
      <c r="E693" s="4">
        <v>7.88</v>
      </c>
      <c r="F693" s="4">
        <v>138.1</v>
      </c>
    </row>
    <row r="694" ht="22.5" customHeight="1">
      <c r="C694" s="4">
        <v>1.3441917E7</v>
      </c>
      <c r="D694" s="17">
        <f t="shared" si="1"/>
        <v>13761965</v>
      </c>
      <c r="E694" s="4">
        <v>7.87</v>
      </c>
      <c r="F694" s="4">
        <v>138.1</v>
      </c>
    </row>
    <row r="695" ht="22.5" customHeight="1">
      <c r="C695" s="4">
        <v>1.346192E7</v>
      </c>
      <c r="D695" s="17">
        <f t="shared" si="1"/>
        <v>13781968</v>
      </c>
      <c r="E695" s="4">
        <v>7.87</v>
      </c>
      <c r="F695" s="4">
        <v>138.1</v>
      </c>
    </row>
    <row r="696" ht="22.5" customHeight="1">
      <c r="C696" s="4">
        <v>1.3481923E7</v>
      </c>
      <c r="D696" s="17">
        <f t="shared" si="1"/>
        <v>13801971</v>
      </c>
      <c r="E696" s="4">
        <v>7.87</v>
      </c>
      <c r="F696" s="4">
        <v>138.1</v>
      </c>
    </row>
    <row r="697" ht="22.5" customHeight="1">
      <c r="C697" s="4">
        <v>1.3501927E7</v>
      </c>
      <c r="D697" s="17">
        <f t="shared" si="1"/>
        <v>13821975</v>
      </c>
      <c r="E697" s="4">
        <v>7.87</v>
      </c>
      <c r="F697" s="4">
        <v>138.0</v>
      </c>
    </row>
    <row r="698" ht="22.5" customHeight="1">
      <c r="C698" s="4">
        <v>1.352193E7</v>
      </c>
      <c r="D698" s="17">
        <f t="shared" si="1"/>
        <v>13841978</v>
      </c>
      <c r="E698" s="4">
        <v>7.87</v>
      </c>
      <c r="F698" s="4">
        <v>138.0</v>
      </c>
    </row>
    <row r="699" ht="22.5" customHeight="1">
      <c r="C699" s="4">
        <v>1.3541933E7</v>
      </c>
      <c r="D699" s="17">
        <f t="shared" si="1"/>
        <v>13861981</v>
      </c>
      <c r="E699" s="4">
        <v>7.87</v>
      </c>
      <c r="F699" s="4">
        <v>138.0</v>
      </c>
    </row>
    <row r="700" ht="22.5" customHeight="1">
      <c r="C700" s="4">
        <v>1.3561935E7</v>
      </c>
      <c r="D700" s="17">
        <f t="shared" si="1"/>
        <v>13881983</v>
      </c>
      <c r="E700" s="4">
        <v>7.87</v>
      </c>
      <c r="F700" s="4">
        <v>138.0</v>
      </c>
    </row>
    <row r="701" ht="22.5" customHeight="1">
      <c r="C701" s="4">
        <v>1.3581938E7</v>
      </c>
      <c r="D701" s="17">
        <f t="shared" si="1"/>
        <v>13901986</v>
      </c>
      <c r="E701" s="4">
        <v>7.87</v>
      </c>
      <c r="F701" s="4">
        <v>138.0</v>
      </c>
    </row>
    <row r="702" ht="22.5" customHeight="1">
      <c r="C702" s="4">
        <v>1.3601941E7</v>
      </c>
      <c r="D702" s="17">
        <f t="shared" si="1"/>
        <v>13921989</v>
      </c>
      <c r="E702" s="4">
        <v>7.87</v>
      </c>
      <c r="F702" s="4">
        <v>138.0</v>
      </c>
    </row>
    <row r="703" ht="22.5" customHeight="1">
      <c r="C703" s="4">
        <v>1.3621944E7</v>
      </c>
      <c r="D703" s="17">
        <f t="shared" si="1"/>
        <v>13941992</v>
      </c>
      <c r="E703" s="4">
        <v>7.87</v>
      </c>
      <c r="F703" s="4">
        <v>138.0</v>
      </c>
    </row>
    <row r="704" ht="22.5" customHeight="1">
      <c r="C704" s="4">
        <v>1.3641947E7</v>
      </c>
      <c r="D704" s="17">
        <f t="shared" si="1"/>
        <v>13961995</v>
      </c>
      <c r="E704" s="4">
        <v>7.87</v>
      </c>
      <c r="F704" s="4">
        <v>137.9</v>
      </c>
    </row>
    <row r="705" ht="22.5" customHeight="1">
      <c r="C705" s="4">
        <v>1.3661949E7</v>
      </c>
      <c r="D705" s="17">
        <f t="shared" si="1"/>
        <v>13981997</v>
      </c>
      <c r="E705" s="4">
        <v>7.87</v>
      </c>
      <c r="F705" s="4">
        <v>138.0</v>
      </c>
    </row>
    <row r="706" ht="22.5" customHeight="1">
      <c r="C706" s="4">
        <v>1.3681952E7</v>
      </c>
      <c r="D706" s="17">
        <f t="shared" si="1"/>
        <v>14002000</v>
      </c>
      <c r="E706" s="4">
        <v>7.86</v>
      </c>
      <c r="F706" s="4">
        <v>137.9</v>
      </c>
    </row>
    <row r="707" ht="22.5" customHeight="1">
      <c r="C707" s="4">
        <v>1.3701955E7</v>
      </c>
      <c r="D707" s="17">
        <f t="shared" si="1"/>
        <v>14022003</v>
      </c>
      <c r="E707" s="4">
        <v>7.87</v>
      </c>
      <c r="F707" s="4">
        <v>137.9</v>
      </c>
    </row>
    <row r="708" ht="22.5" customHeight="1">
      <c r="C708" s="4">
        <v>1.3721958E7</v>
      </c>
      <c r="D708" s="17">
        <f t="shared" si="1"/>
        <v>14042006</v>
      </c>
      <c r="E708" s="4">
        <v>7.87</v>
      </c>
      <c r="F708" s="4">
        <v>137.9</v>
      </c>
    </row>
    <row r="709" ht="22.5" customHeight="1">
      <c r="C709" s="4">
        <v>1.3741961E7</v>
      </c>
      <c r="D709" s="17">
        <f t="shared" si="1"/>
        <v>14062009</v>
      </c>
      <c r="E709" s="4">
        <v>7.86</v>
      </c>
      <c r="F709" s="4">
        <v>137.9</v>
      </c>
    </row>
    <row r="710" ht="22.5" customHeight="1">
      <c r="C710" s="4">
        <v>1.3761964E7</v>
      </c>
      <c r="D710" s="17">
        <f t="shared" si="1"/>
        <v>14082012</v>
      </c>
      <c r="E710" s="4">
        <v>7.86</v>
      </c>
      <c r="F710" s="4">
        <v>137.9</v>
      </c>
    </row>
    <row r="711" ht="22.5" customHeight="1">
      <c r="C711" s="4">
        <v>1.3781966E7</v>
      </c>
      <c r="D711" s="17">
        <f t="shared" si="1"/>
        <v>14102014</v>
      </c>
      <c r="E711" s="4">
        <v>7.86</v>
      </c>
      <c r="F711" s="4">
        <v>137.9</v>
      </c>
    </row>
    <row r="712" ht="22.5" customHeight="1">
      <c r="C712" s="4">
        <v>1.380197E7</v>
      </c>
      <c r="D712" s="17">
        <f t="shared" si="1"/>
        <v>14122018</v>
      </c>
      <c r="E712" s="4">
        <v>7.86</v>
      </c>
      <c r="F712" s="4">
        <v>137.8</v>
      </c>
    </row>
    <row r="713" ht="22.5" customHeight="1">
      <c r="C713" s="4">
        <v>1.3821973E7</v>
      </c>
      <c r="D713" s="17">
        <f t="shared" si="1"/>
        <v>14142021</v>
      </c>
      <c r="E713" s="4">
        <v>7.86</v>
      </c>
      <c r="F713" s="4">
        <v>137.9</v>
      </c>
    </row>
    <row r="714" ht="22.5" customHeight="1">
      <c r="C714" s="4">
        <v>1.3841976E7</v>
      </c>
      <c r="D714" s="17">
        <f t="shared" si="1"/>
        <v>14162024</v>
      </c>
      <c r="E714" s="4">
        <v>7.86</v>
      </c>
      <c r="F714" s="4">
        <v>137.9</v>
      </c>
    </row>
    <row r="715" ht="22.5" customHeight="1">
      <c r="C715" s="4">
        <v>1.3861979E7</v>
      </c>
      <c r="D715" s="17">
        <f t="shared" si="1"/>
        <v>14182027</v>
      </c>
      <c r="E715" s="4">
        <v>7.86</v>
      </c>
      <c r="F715" s="4">
        <v>137.8</v>
      </c>
    </row>
    <row r="716" ht="22.5" customHeight="1">
      <c r="C716" s="4">
        <v>1.3881981E7</v>
      </c>
      <c r="D716" s="17">
        <f t="shared" si="1"/>
        <v>14202029</v>
      </c>
      <c r="E716" s="4">
        <v>7.86</v>
      </c>
      <c r="F716" s="4">
        <v>137.8</v>
      </c>
    </row>
    <row r="717" ht="22.5" customHeight="1">
      <c r="C717" s="4">
        <v>1.3901984E7</v>
      </c>
      <c r="D717" s="17">
        <f t="shared" si="1"/>
        <v>14222032</v>
      </c>
      <c r="E717" s="4">
        <v>7.86</v>
      </c>
      <c r="F717" s="4">
        <v>137.8</v>
      </c>
    </row>
    <row r="718" ht="22.5" customHeight="1">
      <c r="C718" s="4">
        <v>1.3921987E7</v>
      </c>
      <c r="D718" s="17">
        <f t="shared" si="1"/>
        <v>14242035</v>
      </c>
      <c r="E718" s="4">
        <v>7.86</v>
      </c>
      <c r="F718" s="4">
        <v>137.8</v>
      </c>
    </row>
    <row r="719" ht="22.5" customHeight="1">
      <c r="C719" s="4">
        <v>1.394199E7</v>
      </c>
      <c r="D719" s="17">
        <f t="shared" si="1"/>
        <v>14262038</v>
      </c>
      <c r="E719" s="4">
        <v>7.86</v>
      </c>
      <c r="F719" s="4">
        <v>137.8</v>
      </c>
    </row>
    <row r="720" ht="22.5" customHeight="1">
      <c r="C720" s="4">
        <v>1.3961993E7</v>
      </c>
      <c r="D720" s="17">
        <f t="shared" si="1"/>
        <v>14282041</v>
      </c>
      <c r="E720" s="4">
        <v>7.86</v>
      </c>
      <c r="F720" s="4">
        <v>137.7</v>
      </c>
    </row>
    <row r="721" ht="22.5" customHeight="1">
      <c r="C721" s="4">
        <v>1.3981996E7</v>
      </c>
      <c r="D721" s="17">
        <f t="shared" si="1"/>
        <v>14302044</v>
      </c>
      <c r="E721" s="4">
        <v>7.86</v>
      </c>
      <c r="F721" s="4">
        <v>137.7</v>
      </c>
    </row>
    <row r="722" ht="22.5" customHeight="1">
      <c r="C722" s="4">
        <v>1.4001998E7</v>
      </c>
      <c r="D722" s="17">
        <f t="shared" si="1"/>
        <v>14322046</v>
      </c>
      <c r="E722" s="4">
        <v>7.86</v>
      </c>
      <c r="F722" s="4">
        <v>137.8</v>
      </c>
    </row>
    <row r="723" ht="22.5" customHeight="1">
      <c r="C723" s="4">
        <v>1.4022001E7</v>
      </c>
      <c r="D723" s="17">
        <f t="shared" si="1"/>
        <v>14342049</v>
      </c>
      <c r="E723" s="4">
        <v>7.86</v>
      </c>
      <c r="F723" s="4">
        <v>137.7</v>
      </c>
    </row>
    <row r="724" ht="22.5" customHeight="1">
      <c r="C724" s="4">
        <v>1.4042004E7</v>
      </c>
      <c r="D724" s="17">
        <f t="shared" si="1"/>
        <v>14362052</v>
      </c>
      <c r="E724" s="4">
        <v>7.86</v>
      </c>
      <c r="F724" s="4">
        <v>137.8</v>
      </c>
    </row>
    <row r="725" ht="22.5" customHeight="1">
      <c r="C725" s="4">
        <v>1.4062007E7</v>
      </c>
      <c r="D725" s="17">
        <f t="shared" si="1"/>
        <v>14382055</v>
      </c>
      <c r="E725" s="4">
        <v>7.86</v>
      </c>
      <c r="F725" s="4">
        <v>137.7</v>
      </c>
    </row>
    <row r="726" ht="22.5" customHeight="1">
      <c r="C726" s="4">
        <v>1.4082011E7</v>
      </c>
      <c r="D726" s="17">
        <f t="shared" si="1"/>
        <v>14402059</v>
      </c>
      <c r="E726" s="4">
        <v>7.86</v>
      </c>
      <c r="F726" s="4">
        <v>137.8</v>
      </c>
    </row>
    <row r="727" ht="22.5" customHeight="1">
      <c r="C727" s="4">
        <v>1.4102013E7</v>
      </c>
      <c r="D727" s="17">
        <f t="shared" si="1"/>
        <v>14422061</v>
      </c>
      <c r="E727" s="4">
        <v>7.86</v>
      </c>
      <c r="F727" s="4">
        <v>137.7</v>
      </c>
    </row>
    <row r="728" ht="22.5" customHeight="1">
      <c r="C728" s="4">
        <v>1.4122016E7</v>
      </c>
      <c r="D728" s="17">
        <f t="shared" si="1"/>
        <v>14442064</v>
      </c>
      <c r="E728" s="4">
        <v>7.86</v>
      </c>
      <c r="F728" s="4">
        <v>137.7</v>
      </c>
    </row>
    <row r="729" ht="22.5" customHeight="1">
      <c r="C729" s="4">
        <v>1.4142019E7</v>
      </c>
      <c r="D729" s="17">
        <f t="shared" si="1"/>
        <v>14462067</v>
      </c>
      <c r="E729" s="4">
        <v>7.85</v>
      </c>
      <c r="F729" s="4">
        <v>137.8</v>
      </c>
    </row>
    <row r="730" ht="22.5" customHeight="1">
      <c r="C730" s="4">
        <v>1.4162022E7</v>
      </c>
      <c r="D730" s="17">
        <f t="shared" si="1"/>
        <v>14482070</v>
      </c>
      <c r="E730" s="4">
        <v>7.85</v>
      </c>
      <c r="F730" s="4">
        <v>137.7</v>
      </c>
    </row>
    <row r="731" ht="22.5" customHeight="1">
      <c r="C731" s="4">
        <v>1.4182025E7</v>
      </c>
      <c r="D731" s="17">
        <f t="shared" si="1"/>
        <v>14502073</v>
      </c>
      <c r="E731" s="4">
        <v>7.85</v>
      </c>
      <c r="F731" s="4">
        <v>137.7</v>
      </c>
    </row>
    <row r="732" ht="22.5" customHeight="1">
      <c r="C732" s="4">
        <v>1.4202028E7</v>
      </c>
      <c r="D732" s="17">
        <f t="shared" si="1"/>
        <v>14522076</v>
      </c>
      <c r="E732" s="4">
        <v>7.85</v>
      </c>
      <c r="F732" s="4">
        <v>137.6</v>
      </c>
    </row>
    <row r="733" ht="22.5" customHeight="1">
      <c r="C733" s="4">
        <v>1.422203E7</v>
      </c>
      <c r="D733" s="17">
        <f t="shared" si="1"/>
        <v>14542078</v>
      </c>
      <c r="E733" s="4">
        <v>7.85</v>
      </c>
      <c r="F733" s="4">
        <v>137.7</v>
      </c>
    </row>
    <row r="734" ht="22.5" customHeight="1">
      <c r="C734" s="4">
        <v>1.4242033E7</v>
      </c>
      <c r="D734" s="17">
        <f t="shared" si="1"/>
        <v>14562081</v>
      </c>
      <c r="E734" s="4">
        <v>7.85</v>
      </c>
      <c r="F734" s="4">
        <v>137.6</v>
      </c>
    </row>
    <row r="735" ht="22.5" customHeight="1">
      <c r="C735" s="4">
        <v>1.4262036E7</v>
      </c>
      <c r="D735" s="17">
        <f t="shared" si="1"/>
        <v>14582084</v>
      </c>
      <c r="E735" s="4">
        <v>7.85</v>
      </c>
      <c r="F735" s="4">
        <v>137.6</v>
      </c>
    </row>
    <row r="736" ht="22.5" customHeight="1">
      <c r="C736" s="4">
        <v>1.4282039E7</v>
      </c>
      <c r="D736" s="17">
        <f t="shared" si="1"/>
        <v>14602087</v>
      </c>
      <c r="E736" s="4">
        <v>7.85</v>
      </c>
      <c r="F736" s="4">
        <v>137.7</v>
      </c>
    </row>
    <row r="737" ht="22.5" customHeight="1">
      <c r="C737" s="4">
        <v>1.4302042E7</v>
      </c>
      <c r="D737" s="17">
        <f t="shared" si="1"/>
        <v>14622090</v>
      </c>
      <c r="E737" s="4">
        <v>7.85</v>
      </c>
      <c r="F737" s="4">
        <v>137.6</v>
      </c>
    </row>
    <row r="738" ht="22.5" customHeight="1">
      <c r="C738" s="4">
        <v>1.4322044E7</v>
      </c>
      <c r="D738" s="17">
        <f t="shared" si="1"/>
        <v>14642092</v>
      </c>
      <c r="E738" s="4">
        <v>7.85</v>
      </c>
      <c r="F738" s="4">
        <v>137.6</v>
      </c>
    </row>
    <row r="739" ht="22.5" customHeight="1">
      <c r="C739" s="4">
        <v>1.4342047E7</v>
      </c>
      <c r="D739" s="17">
        <f t="shared" si="1"/>
        <v>14662095</v>
      </c>
      <c r="E739" s="4">
        <v>7.85</v>
      </c>
      <c r="F739" s="4">
        <v>137.6</v>
      </c>
    </row>
    <row r="740" ht="22.5" customHeight="1">
      <c r="C740" s="4">
        <v>1.436205E7</v>
      </c>
      <c r="D740" s="17">
        <f t="shared" si="1"/>
        <v>14682098</v>
      </c>
      <c r="E740" s="4">
        <v>7.85</v>
      </c>
      <c r="F740" s="4">
        <v>137.6</v>
      </c>
    </row>
    <row r="741" ht="22.5" customHeight="1">
      <c r="C741" s="4">
        <v>1.4382054E7</v>
      </c>
      <c r="D741" s="17">
        <f t="shared" si="1"/>
        <v>14702102</v>
      </c>
      <c r="E741" s="4">
        <v>7.84</v>
      </c>
      <c r="F741" s="4">
        <v>137.6</v>
      </c>
    </row>
    <row r="742" ht="22.5" customHeight="1">
      <c r="C742" s="4">
        <v>1.4402057E7</v>
      </c>
      <c r="D742" s="17">
        <f t="shared" si="1"/>
        <v>14722105</v>
      </c>
      <c r="E742" s="4">
        <v>7.85</v>
      </c>
      <c r="F742" s="4">
        <v>137.5</v>
      </c>
    </row>
    <row r="743" ht="22.5" customHeight="1">
      <c r="C743" s="4">
        <v>1.442206E7</v>
      </c>
      <c r="D743" s="17">
        <f t="shared" si="1"/>
        <v>14742108</v>
      </c>
      <c r="E743" s="4">
        <v>7.84</v>
      </c>
      <c r="F743" s="4">
        <v>137.5</v>
      </c>
    </row>
    <row r="744" ht="22.5" customHeight="1">
      <c r="C744" s="4">
        <v>1.4442062E7</v>
      </c>
      <c r="D744" s="17">
        <f t="shared" si="1"/>
        <v>14762110</v>
      </c>
      <c r="E744" s="4">
        <v>7.85</v>
      </c>
      <c r="F744" s="4">
        <v>137.6</v>
      </c>
    </row>
    <row r="745" ht="22.5" customHeight="1">
      <c r="C745" s="4">
        <v>1.4462065E7</v>
      </c>
      <c r="D745" s="17">
        <f t="shared" si="1"/>
        <v>14782113</v>
      </c>
      <c r="E745" s="4">
        <v>7.84</v>
      </c>
      <c r="F745" s="4">
        <v>137.5</v>
      </c>
    </row>
    <row r="746" ht="22.5" customHeight="1">
      <c r="C746" s="4">
        <v>1.4482068E7</v>
      </c>
      <c r="D746" s="17">
        <f t="shared" si="1"/>
        <v>14802116</v>
      </c>
      <c r="E746" s="4">
        <v>7.84</v>
      </c>
      <c r="F746" s="4">
        <v>137.5</v>
      </c>
    </row>
    <row r="747" ht="22.5" customHeight="1">
      <c r="C747" s="4">
        <v>1.4502071E7</v>
      </c>
      <c r="D747" s="17">
        <f t="shared" si="1"/>
        <v>14822119</v>
      </c>
      <c r="E747" s="4">
        <v>7.84</v>
      </c>
      <c r="F747" s="4">
        <v>137.5</v>
      </c>
    </row>
    <row r="748" ht="22.5" customHeight="1">
      <c r="C748" s="4">
        <v>1.4522074E7</v>
      </c>
      <c r="D748" s="17">
        <f t="shared" si="1"/>
        <v>14842122</v>
      </c>
      <c r="E748" s="4">
        <v>7.84</v>
      </c>
      <c r="F748" s="4">
        <v>137.5</v>
      </c>
    </row>
    <row r="749" ht="22.5" customHeight="1">
      <c r="C749" s="4">
        <v>1.4542076E7</v>
      </c>
      <c r="D749" s="17">
        <f t="shared" si="1"/>
        <v>14862124</v>
      </c>
      <c r="E749" s="4">
        <v>7.84</v>
      </c>
      <c r="F749" s="4">
        <v>137.5</v>
      </c>
    </row>
    <row r="750" ht="22.5" customHeight="1">
      <c r="C750" s="4">
        <v>1.4562079E7</v>
      </c>
      <c r="D750" s="17">
        <f t="shared" si="1"/>
        <v>14882127</v>
      </c>
      <c r="E750" s="4">
        <v>7.84</v>
      </c>
      <c r="F750" s="4">
        <v>137.5</v>
      </c>
    </row>
    <row r="751" ht="22.5" customHeight="1">
      <c r="C751" s="4">
        <v>1.4582082E7</v>
      </c>
      <c r="D751" s="17">
        <f t="shared" si="1"/>
        <v>14902130</v>
      </c>
      <c r="E751" s="4">
        <v>7.84</v>
      </c>
      <c r="F751" s="4">
        <v>137.5</v>
      </c>
    </row>
    <row r="752" ht="22.5" customHeight="1">
      <c r="C752" s="4">
        <v>1.4602085E7</v>
      </c>
      <c r="D752" s="17">
        <f t="shared" si="1"/>
        <v>14922133</v>
      </c>
      <c r="E752" s="4">
        <v>7.84</v>
      </c>
      <c r="F752" s="4">
        <v>137.5</v>
      </c>
    </row>
    <row r="753" ht="22.5" customHeight="1">
      <c r="C753" s="4">
        <v>1.4622088E7</v>
      </c>
      <c r="D753" s="17">
        <f t="shared" si="1"/>
        <v>14942136</v>
      </c>
      <c r="E753" s="4">
        <v>7.84</v>
      </c>
      <c r="F753" s="4">
        <v>137.4</v>
      </c>
    </row>
    <row r="754" ht="22.5" customHeight="1">
      <c r="C754" s="4">
        <v>1.4642091E7</v>
      </c>
      <c r="D754" s="17">
        <f t="shared" si="1"/>
        <v>14962139</v>
      </c>
      <c r="E754" s="4">
        <v>7.84</v>
      </c>
      <c r="F754" s="4">
        <v>137.5</v>
      </c>
    </row>
    <row r="755" ht="22.5" customHeight="1">
      <c r="C755" s="4">
        <v>1.4662094E7</v>
      </c>
      <c r="D755" s="17">
        <f t="shared" si="1"/>
        <v>14982142</v>
      </c>
      <c r="E755" s="4">
        <v>7.84</v>
      </c>
      <c r="F755" s="4">
        <v>137.4</v>
      </c>
    </row>
    <row r="756" ht="22.5" customHeight="1">
      <c r="C756" s="4">
        <v>1.4682097E7</v>
      </c>
      <c r="D756" s="17">
        <f t="shared" si="1"/>
        <v>15002145</v>
      </c>
      <c r="E756" s="4">
        <v>7.84</v>
      </c>
      <c r="F756" s="4">
        <v>137.4</v>
      </c>
    </row>
    <row r="757" ht="22.5" customHeight="1">
      <c r="C757" s="4">
        <v>1.47021E7</v>
      </c>
      <c r="D757" s="17">
        <f t="shared" si="1"/>
        <v>15022148</v>
      </c>
      <c r="E757" s="4">
        <v>7.84</v>
      </c>
      <c r="F757" s="4">
        <v>137.4</v>
      </c>
    </row>
    <row r="758" ht="22.5" customHeight="1">
      <c r="C758" s="4">
        <v>1.4722103E7</v>
      </c>
      <c r="D758" s="17">
        <f t="shared" si="1"/>
        <v>15042151</v>
      </c>
      <c r="E758" s="4">
        <v>7.84</v>
      </c>
      <c r="F758" s="4">
        <v>137.4</v>
      </c>
    </row>
    <row r="759" ht="22.5" customHeight="1">
      <c r="C759" s="4">
        <v>1.4742106E7</v>
      </c>
      <c r="D759" s="17">
        <f t="shared" si="1"/>
        <v>15062154</v>
      </c>
      <c r="E759" s="4">
        <v>7.84</v>
      </c>
      <c r="F759" s="4">
        <v>137.4</v>
      </c>
    </row>
    <row r="760" ht="22.5" customHeight="1">
      <c r="C760" s="4">
        <v>1.4762108E7</v>
      </c>
      <c r="D760" s="17">
        <f t="shared" si="1"/>
        <v>15082156</v>
      </c>
      <c r="E760" s="4">
        <v>7.84</v>
      </c>
      <c r="F760" s="4">
        <v>137.3</v>
      </c>
    </row>
    <row r="761" ht="22.5" customHeight="1">
      <c r="C761" s="4">
        <v>1.4782111E7</v>
      </c>
      <c r="D761" s="17">
        <f t="shared" si="1"/>
        <v>15102159</v>
      </c>
      <c r="E761" s="4">
        <v>7.83</v>
      </c>
      <c r="F761" s="4">
        <v>137.3</v>
      </c>
    </row>
    <row r="762" ht="22.5" customHeight="1">
      <c r="C762" s="4">
        <v>1.4802114E7</v>
      </c>
      <c r="D762" s="17">
        <f t="shared" si="1"/>
        <v>15122162</v>
      </c>
      <c r="E762" s="4">
        <v>7.83</v>
      </c>
      <c r="F762" s="4">
        <v>137.3</v>
      </c>
    </row>
    <row r="763" ht="22.5" customHeight="1">
      <c r="C763" s="4">
        <v>1.4822117E7</v>
      </c>
      <c r="D763" s="17">
        <f t="shared" si="1"/>
        <v>15142165</v>
      </c>
      <c r="E763" s="4">
        <v>7.83</v>
      </c>
      <c r="F763" s="4">
        <v>137.3</v>
      </c>
    </row>
    <row r="764" ht="22.5" customHeight="1">
      <c r="C764" s="4">
        <v>1.484212E7</v>
      </c>
      <c r="D764" s="17">
        <f t="shared" si="1"/>
        <v>15162168</v>
      </c>
      <c r="E764" s="4">
        <v>7.83</v>
      </c>
      <c r="F764" s="4">
        <v>137.3</v>
      </c>
    </row>
    <row r="765" ht="22.5" customHeight="1">
      <c r="C765" s="4">
        <v>1.4862123E7</v>
      </c>
      <c r="D765" s="17">
        <f t="shared" si="1"/>
        <v>15182171</v>
      </c>
      <c r="E765" s="4">
        <v>7.83</v>
      </c>
      <c r="F765" s="4">
        <v>137.2</v>
      </c>
    </row>
    <row r="766" ht="22.5" customHeight="1">
      <c r="C766" s="4">
        <v>1.4882125E7</v>
      </c>
      <c r="D766" s="17">
        <f t="shared" si="1"/>
        <v>15202173</v>
      </c>
      <c r="E766" s="4">
        <v>7.83</v>
      </c>
      <c r="F766" s="4">
        <v>137.2</v>
      </c>
    </row>
    <row r="767" ht="22.5" customHeight="1">
      <c r="C767" s="4">
        <v>1.4902128E7</v>
      </c>
      <c r="D767" s="17">
        <f t="shared" si="1"/>
        <v>15222176</v>
      </c>
      <c r="E767" s="4">
        <v>7.83</v>
      </c>
      <c r="F767" s="4">
        <v>137.2</v>
      </c>
    </row>
    <row r="768" ht="22.5" customHeight="1">
      <c r="C768" s="4">
        <v>1.4922131E7</v>
      </c>
      <c r="D768" s="17">
        <f t="shared" si="1"/>
        <v>15242179</v>
      </c>
      <c r="E768" s="4">
        <v>7.82</v>
      </c>
      <c r="F768" s="4">
        <v>137.2</v>
      </c>
    </row>
    <row r="769" ht="22.5" customHeight="1">
      <c r="C769" s="4">
        <v>1.4942135E7</v>
      </c>
      <c r="D769" s="17">
        <f t="shared" si="1"/>
        <v>15262183</v>
      </c>
      <c r="E769" s="4">
        <v>7.82</v>
      </c>
      <c r="F769" s="4">
        <v>137.2</v>
      </c>
    </row>
    <row r="770" ht="22.5" customHeight="1">
      <c r="C770" s="4">
        <v>1.4962138E7</v>
      </c>
      <c r="D770" s="17">
        <f t="shared" si="1"/>
        <v>15282186</v>
      </c>
      <c r="E770" s="4">
        <v>7.82</v>
      </c>
      <c r="F770" s="4">
        <v>137.2</v>
      </c>
    </row>
    <row r="771" ht="22.5" customHeight="1">
      <c r="C771" s="4">
        <v>1.498214E7</v>
      </c>
      <c r="D771" s="17">
        <f t="shared" si="1"/>
        <v>15302188</v>
      </c>
      <c r="E771" s="4">
        <v>7.82</v>
      </c>
      <c r="F771" s="4">
        <v>137.1</v>
      </c>
    </row>
    <row r="772" ht="22.5" customHeight="1">
      <c r="C772" s="4">
        <v>1.5002143E7</v>
      </c>
      <c r="D772" s="17">
        <f t="shared" si="1"/>
        <v>15322191</v>
      </c>
      <c r="E772" s="4">
        <v>7.82</v>
      </c>
      <c r="F772" s="4">
        <v>137.1</v>
      </c>
    </row>
    <row r="773" ht="22.5" customHeight="1">
      <c r="C773" s="4">
        <v>1.5022146E7</v>
      </c>
      <c r="D773" s="17">
        <f t="shared" si="1"/>
        <v>15342194</v>
      </c>
      <c r="E773" s="4">
        <v>7.82</v>
      </c>
      <c r="F773" s="4">
        <v>137.1</v>
      </c>
    </row>
    <row r="774" ht="22.5" customHeight="1">
      <c r="C774" s="4">
        <v>1.5042149E7</v>
      </c>
      <c r="D774" s="17">
        <f t="shared" si="1"/>
        <v>15362197</v>
      </c>
      <c r="E774" s="4">
        <v>7.82</v>
      </c>
      <c r="F774" s="4">
        <v>137.1</v>
      </c>
    </row>
    <row r="775" ht="22.5" customHeight="1">
      <c r="C775" s="4">
        <v>1.5062152E7</v>
      </c>
      <c r="D775" s="17">
        <f t="shared" si="1"/>
        <v>15382200</v>
      </c>
      <c r="E775" s="4">
        <v>7.82</v>
      </c>
      <c r="F775" s="4">
        <v>137.1</v>
      </c>
    </row>
    <row r="776" ht="22.5" customHeight="1">
      <c r="C776" s="4">
        <v>1.5082155E7</v>
      </c>
      <c r="D776" s="17">
        <f t="shared" si="1"/>
        <v>15402203</v>
      </c>
      <c r="E776" s="4">
        <v>7.82</v>
      </c>
      <c r="F776" s="4">
        <v>137.1</v>
      </c>
    </row>
    <row r="777" ht="22.5" customHeight="1">
      <c r="C777" s="4">
        <v>1.5102157E7</v>
      </c>
      <c r="D777" s="17">
        <f t="shared" si="1"/>
        <v>15422205</v>
      </c>
      <c r="E777" s="4">
        <v>7.82</v>
      </c>
      <c r="F777" s="4">
        <v>137.1</v>
      </c>
    </row>
    <row r="778" ht="22.5" customHeight="1">
      <c r="C778" s="4">
        <v>1.512216E7</v>
      </c>
      <c r="D778" s="17">
        <f t="shared" si="1"/>
        <v>15442208</v>
      </c>
      <c r="E778" s="4">
        <v>7.82</v>
      </c>
      <c r="F778" s="4">
        <v>137.0</v>
      </c>
    </row>
    <row r="779" ht="22.5" customHeight="1">
      <c r="C779" s="4">
        <v>1.5142163E7</v>
      </c>
      <c r="D779" s="17">
        <f t="shared" si="1"/>
        <v>15462211</v>
      </c>
      <c r="E779" s="4">
        <v>7.82</v>
      </c>
      <c r="F779" s="4">
        <v>137.1</v>
      </c>
    </row>
    <row r="780" ht="22.5" customHeight="1">
      <c r="C780" s="4">
        <v>1.5162166E7</v>
      </c>
      <c r="D780" s="17">
        <f t="shared" si="1"/>
        <v>15482214</v>
      </c>
      <c r="E780" s="4">
        <v>7.82</v>
      </c>
      <c r="F780" s="4">
        <v>137.1</v>
      </c>
    </row>
    <row r="781" ht="22.5" customHeight="1">
      <c r="C781" s="4">
        <v>1.5182169E7</v>
      </c>
      <c r="D781" s="17">
        <f t="shared" si="1"/>
        <v>15502217</v>
      </c>
      <c r="E781" s="4">
        <v>7.82</v>
      </c>
      <c r="F781" s="4">
        <v>137.0</v>
      </c>
    </row>
    <row r="782" ht="22.5" customHeight="1">
      <c r="C782" s="4">
        <v>1.5202171E7</v>
      </c>
      <c r="D782" s="17">
        <f t="shared" si="1"/>
        <v>15522219</v>
      </c>
      <c r="E782" s="4">
        <v>7.82</v>
      </c>
      <c r="F782" s="4">
        <v>137.0</v>
      </c>
    </row>
    <row r="783" ht="22.5" customHeight="1">
      <c r="C783" s="4">
        <v>1.5222175E7</v>
      </c>
      <c r="D783" s="17">
        <f t="shared" si="1"/>
        <v>15542223</v>
      </c>
      <c r="E783" s="4">
        <v>7.82</v>
      </c>
      <c r="F783" s="4">
        <v>137.0</v>
      </c>
    </row>
    <row r="784" ht="22.5" customHeight="1">
      <c r="C784" s="4">
        <v>1.5242178E7</v>
      </c>
      <c r="D784" s="17">
        <f t="shared" si="1"/>
        <v>15562226</v>
      </c>
      <c r="E784" s="4">
        <v>7.82</v>
      </c>
      <c r="F784" s="4">
        <v>137.0</v>
      </c>
    </row>
    <row r="785" ht="22.5" customHeight="1">
      <c r="C785" s="4">
        <v>1.5262181E7</v>
      </c>
      <c r="D785" s="17">
        <f t="shared" si="1"/>
        <v>15582229</v>
      </c>
      <c r="E785" s="4">
        <v>7.82</v>
      </c>
      <c r="F785" s="4">
        <v>137.0</v>
      </c>
    </row>
    <row r="786" ht="22.5" customHeight="1">
      <c r="C786" s="4">
        <v>1.5282184E7</v>
      </c>
      <c r="D786" s="17">
        <f t="shared" si="1"/>
        <v>15602232</v>
      </c>
      <c r="E786" s="4">
        <v>7.82</v>
      </c>
      <c r="F786" s="4">
        <v>137.0</v>
      </c>
    </row>
    <row r="787" ht="22.5" customHeight="1">
      <c r="C787" s="4">
        <v>1.5302187E7</v>
      </c>
      <c r="D787" s="17">
        <f t="shared" si="1"/>
        <v>15622235</v>
      </c>
      <c r="E787" s="4">
        <v>7.82</v>
      </c>
      <c r="F787" s="4">
        <v>136.9</v>
      </c>
    </row>
    <row r="788" ht="22.5" customHeight="1">
      <c r="C788" s="4">
        <v>1.5322189E7</v>
      </c>
      <c r="D788" s="17">
        <f t="shared" si="1"/>
        <v>15642237</v>
      </c>
      <c r="E788" s="4">
        <v>7.81</v>
      </c>
      <c r="F788" s="4">
        <v>137.0</v>
      </c>
    </row>
    <row r="789" ht="22.5" customHeight="1">
      <c r="C789" s="4">
        <v>1.5342192E7</v>
      </c>
      <c r="D789" s="17">
        <f t="shared" si="1"/>
        <v>15662240</v>
      </c>
      <c r="E789" s="4">
        <v>7.81</v>
      </c>
      <c r="F789" s="4">
        <v>136.9</v>
      </c>
    </row>
    <row r="790" ht="22.5" customHeight="1">
      <c r="C790" s="4">
        <v>1.5362195E7</v>
      </c>
      <c r="D790" s="17">
        <f t="shared" si="1"/>
        <v>15682243</v>
      </c>
      <c r="E790" s="4">
        <v>7.81</v>
      </c>
      <c r="F790" s="4">
        <v>137.0</v>
      </c>
    </row>
    <row r="791" ht="22.5" customHeight="1">
      <c r="C791" s="4">
        <v>1.5382198E7</v>
      </c>
      <c r="D791" s="17">
        <f t="shared" si="1"/>
        <v>15702246</v>
      </c>
      <c r="E791" s="4">
        <v>7.81</v>
      </c>
      <c r="F791" s="4">
        <v>136.9</v>
      </c>
    </row>
    <row r="792" ht="22.5" customHeight="1">
      <c r="C792" s="4">
        <v>1.5402201E7</v>
      </c>
      <c r="D792" s="17">
        <f t="shared" si="1"/>
        <v>15722249</v>
      </c>
      <c r="E792" s="4">
        <v>7.81</v>
      </c>
      <c r="F792" s="4">
        <v>136.9</v>
      </c>
    </row>
    <row r="793" ht="22.5" customHeight="1">
      <c r="C793" s="4">
        <v>1.5422203E7</v>
      </c>
      <c r="D793" s="17">
        <f t="shared" si="1"/>
        <v>15742251</v>
      </c>
      <c r="E793" s="4">
        <v>7.81</v>
      </c>
      <c r="F793" s="4">
        <v>136.9</v>
      </c>
    </row>
    <row r="794" ht="22.5" customHeight="1">
      <c r="C794" s="4">
        <v>1.5442206E7</v>
      </c>
      <c r="D794" s="17">
        <f t="shared" si="1"/>
        <v>15762254</v>
      </c>
      <c r="E794" s="4">
        <v>7.81</v>
      </c>
      <c r="F794" s="4">
        <v>136.9</v>
      </c>
    </row>
    <row r="795" ht="22.5" customHeight="1">
      <c r="C795" s="4">
        <v>1.5462209E7</v>
      </c>
      <c r="D795" s="17">
        <f t="shared" si="1"/>
        <v>15782257</v>
      </c>
      <c r="E795" s="4">
        <v>7.81</v>
      </c>
      <c r="F795" s="4">
        <v>136.9</v>
      </c>
    </row>
    <row r="796" ht="22.5" customHeight="1">
      <c r="C796" s="4">
        <v>1.5482212E7</v>
      </c>
      <c r="D796" s="17">
        <f t="shared" si="1"/>
        <v>15802260</v>
      </c>
      <c r="E796" s="4">
        <v>7.81</v>
      </c>
      <c r="F796" s="4">
        <v>136.9</v>
      </c>
    </row>
    <row r="797" ht="22.5" customHeight="1">
      <c r="C797" s="4">
        <v>1.5502216E7</v>
      </c>
      <c r="D797" s="17">
        <f t="shared" si="1"/>
        <v>15822264</v>
      </c>
      <c r="E797" s="4">
        <v>7.81</v>
      </c>
      <c r="F797" s="4">
        <v>136.8</v>
      </c>
    </row>
    <row r="798" ht="22.5" customHeight="1">
      <c r="C798" s="4">
        <v>1.5522219E7</v>
      </c>
      <c r="D798" s="17">
        <f t="shared" si="1"/>
        <v>15842267</v>
      </c>
      <c r="E798" s="4">
        <v>7.81</v>
      </c>
      <c r="F798" s="4">
        <v>136.9</v>
      </c>
    </row>
    <row r="799" ht="22.5" customHeight="1">
      <c r="C799" s="4">
        <v>1.5542221E7</v>
      </c>
      <c r="D799" s="17">
        <f t="shared" si="1"/>
        <v>15862269</v>
      </c>
      <c r="E799" s="4">
        <v>7.81</v>
      </c>
      <c r="F799" s="4">
        <v>136.8</v>
      </c>
    </row>
    <row r="800" ht="22.5" customHeight="1">
      <c r="C800" s="4">
        <v>1.5562224E7</v>
      </c>
      <c r="D800" s="17">
        <f t="shared" si="1"/>
        <v>15882272</v>
      </c>
      <c r="E800" s="4">
        <v>7.8</v>
      </c>
      <c r="F800" s="4">
        <v>136.8</v>
      </c>
    </row>
    <row r="801" ht="22.5" customHeight="1">
      <c r="C801" s="4">
        <v>1.5582227E7</v>
      </c>
      <c r="D801" s="17">
        <f t="shared" si="1"/>
        <v>15902275</v>
      </c>
      <c r="E801" s="4">
        <v>7.8</v>
      </c>
      <c r="F801" s="4">
        <v>136.8</v>
      </c>
    </row>
    <row r="802" ht="22.5" customHeight="1">
      <c r="C802" s="4">
        <v>1.560223E7</v>
      </c>
      <c r="D802" s="17">
        <f t="shared" si="1"/>
        <v>15922278</v>
      </c>
      <c r="E802" s="4">
        <v>7.8</v>
      </c>
      <c r="F802" s="4">
        <v>136.8</v>
      </c>
    </row>
    <row r="803" ht="22.5" customHeight="1">
      <c r="C803" s="4">
        <v>1.5622233E7</v>
      </c>
      <c r="D803" s="17">
        <f t="shared" si="1"/>
        <v>15942281</v>
      </c>
      <c r="E803" s="4">
        <v>7.8</v>
      </c>
      <c r="F803" s="4">
        <v>136.7</v>
      </c>
    </row>
    <row r="804" ht="22.5" customHeight="1">
      <c r="C804" s="4">
        <v>1.5642235E7</v>
      </c>
      <c r="D804" s="17">
        <f t="shared" si="1"/>
        <v>15962283</v>
      </c>
      <c r="E804" s="4">
        <v>7.8</v>
      </c>
      <c r="F804" s="4">
        <v>136.7</v>
      </c>
    </row>
    <row r="805" ht="22.5" customHeight="1">
      <c r="C805" s="4">
        <v>1.5662238E7</v>
      </c>
      <c r="D805" s="17">
        <f t="shared" si="1"/>
        <v>15982286</v>
      </c>
      <c r="E805" s="4">
        <v>7.8</v>
      </c>
      <c r="F805" s="4">
        <v>136.7</v>
      </c>
    </row>
    <row r="806" ht="22.5" customHeight="1">
      <c r="C806" s="4">
        <v>1.5682241E7</v>
      </c>
      <c r="D806" s="17">
        <f t="shared" si="1"/>
        <v>16002289</v>
      </c>
      <c r="E806" s="4">
        <v>7.8</v>
      </c>
      <c r="F806" s="4">
        <v>136.8</v>
      </c>
    </row>
    <row r="807" ht="22.5" customHeight="1">
      <c r="C807" s="4">
        <v>1.5702244E7</v>
      </c>
      <c r="D807" s="17">
        <f t="shared" si="1"/>
        <v>16022292</v>
      </c>
      <c r="E807" s="4">
        <v>7.8</v>
      </c>
      <c r="F807" s="4">
        <v>136.7</v>
      </c>
    </row>
    <row r="808" ht="22.5" customHeight="1">
      <c r="C808" s="4">
        <v>1.5722247E7</v>
      </c>
      <c r="D808" s="17">
        <f t="shared" si="1"/>
        <v>16042295</v>
      </c>
      <c r="E808" s="4">
        <v>7.8</v>
      </c>
      <c r="F808" s="4">
        <v>136.8</v>
      </c>
    </row>
    <row r="809" ht="22.5" customHeight="1">
      <c r="C809" s="4">
        <v>1.5742249E7</v>
      </c>
      <c r="D809" s="17">
        <f t="shared" si="1"/>
        <v>16062297</v>
      </c>
      <c r="E809" s="4">
        <v>7.8</v>
      </c>
      <c r="F809" s="4">
        <v>136.7</v>
      </c>
    </row>
    <row r="810" ht="22.5" customHeight="1">
      <c r="C810" s="4">
        <v>1.5762252E7</v>
      </c>
      <c r="D810" s="17">
        <f t="shared" si="1"/>
        <v>16082300</v>
      </c>
      <c r="E810" s="4">
        <v>7.8</v>
      </c>
      <c r="F810" s="4">
        <v>136.7</v>
      </c>
    </row>
    <row r="811" ht="22.5" customHeight="1">
      <c r="C811" s="4">
        <v>1.5782255E7</v>
      </c>
      <c r="D811" s="17">
        <f t="shared" si="1"/>
        <v>16102303</v>
      </c>
      <c r="E811" s="4">
        <v>7.8</v>
      </c>
      <c r="F811" s="4">
        <v>136.8</v>
      </c>
    </row>
    <row r="812" ht="22.5" customHeight="1">
      <c r="C812" s="4">
        <v>1.5802259E7</v>
      </c>
      <c r="D812" s="17">
        <f t="shared" si="1"/>
        <v>16122307</v>
      </c>
      <c r="E812" s="4">
        <v>7.8</v>
      </c>
      <c r="F812" s="4">
        <v>136.7</v>
      </c>
    </row>
    <row r="813" ht="22.5" customHeight="1">
      <c r="C813" s="4">
        <v>1.5822262E7</v>
      </c>
      <c r="D813" s="17">
        <f t="shared" si="1"/>
        <v>16142310</v>
      </c>
      <c r="E813" s="4">
        <v>7.8</v>
      </c>
      <c r="F813" s="4">
        <v>136.6</v>
      </c>
    </row>
    <row r="814" ht="22.5" customHeight="1">
      <c r="C814" s="4">
        <v>1.5842265E7</v>
      </c>
      <c r="D814" s="17">
        <f t="shared" si="1"/>
        <v>16162313</v>
      </c>
      <c r="E814" s="4">
        <v>7.8</v>
      </c>
      <c r="F814" s="4">
        <v>136.7</v>
      </c>
    </row>
    <row r="815" ht="22.5" customHeight="1">
      <c r="C815" s="4">
        <v>1.5862267E7</v>
      </c>
      <c r="D815" s="17">
        <f t="shared" si="1"/>
        <v>16182315</v>
      </c>
      <c r="E815" s="4">
        <v>7.8</v>
      </c>
      <c r="F815" s="4">
        <v>136.7</v>
      </c>
    </row>
    <row r="816" ht="22.5" customHeight="1">
      <c r="C816" s="4">
        <v>1.588227E7</v>
      </c>
      <c r="D816" s="17">
        <f t="shared" si="1"/>
        <v>16202318</v>
      </c>
      <c r="E816" s="4">
        <v>7.8</v>
      </c>
      <c r="F816" s="4">
        <v>136.7</v>
      </c>
    </row>
    <row r="817" ht="22.5" customHeight="1">
      <c r="C817" s="4">
        <v>1.5902273E7</v>
      </c>
      <c r="D817" s="17">
        <f t="shared" si="1"/>
        <v>16222321</v>
      </c>
      <c r="E817" s="4">
        <v>7.8</v>
      </c>
      <c r="F817" s="4">
        <v>136.6</v>
      </c>
    </row>
    <row r="818" ht="22.5" customHeight="1">
      <c r="C818" s="4">
        <v>1.5922276E7</v>
      </c>
      <c r="D818" s="17">
        <f t="shared" si="1"/>
        <v>16242324</v>
      </c>
      <c r="E818" s="4">
        <v>7.8</v>
      </c>
      <c r="F818" s="4">
        <v>136.6</v>
      </c>
    </row>
    <row r="819" ht="22.5" customHeight="1">
      <c r="C819" s="4">
        <v>1.5942279E7</v>
      </c>
      <c r="D819" s="17">
        <f t="shared" si="1"/>
        <v>16262327</v>
      </c>
      <c r="E819" s="4">
        <v>7.79</v>
      </c>
      <c r="F819" s="4">
        <v>136.5</v>
      </c>
    </row>
    <row r="820" ht="22.5" customHeight="1">
      <c r="C820" s="4">
        <v>1.5962281E7</v>
      </c>
      <c r="D820" s="17">
        <f t="shared" si="1"/>
        <v>16282329</v>
      </c>
      <c r="E820" s="4">
        <v>7.79</v>
      </c>
      <c r="F820" s="4">
        <v>136.5</v>
      </c>
    </row>
    <row r="821" ht="22.5" customHeight="1">
      <c r="C821" s="4">
        <v>1.5982284E7</v>
      </c>
      <c r="D821" s="17">
        <f t="shared" si="1"/>
        <v>16302332</v>
      </c>
      <c r="E821" s="4">
        <v>7.79</v>
      </c>
      <c r="F821" s="4">
        <v>136.5</v>
      </c>
    </row>
    <row r="822" ht="22.5" customHeight="1">
      <c r="C822" s="4">
        <v>1.6002287E7</v>
      </c>
      <c r="D822" s="17">
        <f t="shared" si="1"/>
        <v>16322335</v>
      </c>
      <c r="E822" s="4">
        <v>7.79</v>
      </c>
      <c r="F822" s="4">
        <v>136.5</v>
      </c>
    </row>
    <row r="823" ht="22.5" customHeight="1">
      <c r="C823" s="4">
        <v>1.602229E7</v>
      </c>
      <c r="D823" s="17">
        <f t="shared" si="1"/>
        <v>16342338</v>
      </c>
      <c r="E823" s="4">
        <v>7.79</v>
      </c>
      <c r="F823" s="4">
        <v>136.5</v>
      </c>
    </row>
    <row r="824" ht="22.5" customHeight="1">
      <c r="C824" s="4">
        <v>1.6042293E7</v>
      </c>
      <c r="D824" s="17">
        <f t="shared" si="1"/>
        <v>16362341</v>
      </c>
      <c r="E824" s="4">
        <v>7.79</v>
      </c>
      <c r="F824" s="4">
        <v>136.4</v>
      </c>
    </row>
    <row r="825" ht="22.5" customHeight="1">
      <c r="C825" s="4">
        <v>1.6062296E7</v>
      </c>
      <c r="D825" s="17">
        <f t="shared" si="1"/>
        <v>16382344</v>
      </c>
      <c r="E825" s="4">
        <v>7.79</v>
      </c>
      <c r="F825" s="4">
        <v>136.5</v>
      </c>
    </row>
    <row r="826" ht="22.5" customHeight="1">
      <c r="C826" s="4">
        <v>1.6082299E7</v>
      </c>
      <c r="D826" s="17">
        <f t="shared" si="1"/>
        <v>16402347</v>
      </c>
      <c r="E826" s="4">
        <v>7.78</v>
      </c>
      <c r="F826" s="4">
        <v>136.5</v>
      </c>
    </row>
    <row r="827" ht="22.5" customHeight="1">
      <c r="C827" s="4">
        <v>1.6102302E7</v>
      </c>
      <c r="D827" s="17">
        <f t="shared" si="1"/>
        <v>16422350</v>
      </c>
      <c r="E827" s="4">
        <v>7.79</v>
      </c>
      <c r="F827" s="4">
        <v>136.5</v>
      </c>
    </row>
    <row r="828" ht="22.5" customHeight="1">
      <c r="C828" s="4">
        <v>1.6122305E7</v>
      </c>
      <c r="D828" s="17">
        <f t="shared" si="1"/>
        <v>16442353</v>
      </c>
      <c r="E828" s="4">
        <v>7.79</v>
      </c>
      <c r="F828" s="4">
        <v>136.4</v>
      </c>
    </row>
    <row r="829" ht="22.5" customHeight="1">
      <c r="C829" s="4">
        <v>1.6142308E7</v>
      </c>
      <c r="D829" s="17">
        <f t="shared" si="1"/>
        <v>16462356</v>
      </c>
      <c r="E829" s="4">
        <v>7.78</v>
      </c>
      <c r="F829" s="4">
        <v>136.5</v>
      </c>
    </row>
    <row r="830" ht="22.5" customHeight="1">
      <c r="C830" s="4">
        <v>1.6162311E7</v>
      </c>
      <c r="D830" s="17">
        <f t="shared" si="1"/>
        <v>16482359</v>
      </c>
      <c r="E830" s="4">
        <v>7.78</v>
      </c>
      <c r="F830" s="4">
        <v>136.4</v>
      </c>
    </row>
    <row r="831" ht="22.5" customHeight="1">
      <c r="C831" s="4">
        <v>1.6182313E7</v>
      </c>
      <c r="D831" s="17">
        <f t="shared" si="1"/>
        <v>16502361</v>
      </c>
      <c r="E831" s="4">
        <v>7.78</v>
      </c>
      <c r="F831" s="4">
        <v>136.4</v>
      </c>
    </row>
    <row r="832" ht="22.5" customHeight="1">
      <c r="C832" s="4">
        <v>1.6202316E7</v>
      </c>
      <c r="D832" s="17">
        <f t="shared" si="1"/>
        <v>16522364</v>
      </c>
      <c r="E832" s="4">
        <v>7.78</v>
      </c>
      <c r="F832" s="4">
        <v>136.5</v>
      </c>
    </row>
    <row r="833" ht="22.5" customHeight="1">
      <c r="C833" s="4">
        <v>1.6222319E7</v>
      </c>
      <c r="D833" s="17">
        <f t="shared" si="1"/>
        <v>16542367</v>
      </c>
      <c r="E833" s="4">
        <v>7.78</v>
      </c>
      <c r="F833" s="4">
        <v>136.4</v>
      </c>
    </row>
    <row r="834" ht="22.5" customHeight="1">
      <c r="C834" s="4">
        <v>1.6242322E7</v>
      </c>
      <c r="D834" s="17">
        <f t="shared" si="1"/>
        <v>16562370</v>
      </c>
      <c r="E834" s="4">
        <v>7.78</v>
      </c>
      <c r="F834" s="4">
        <v>136.4</v>
      </c>
    </row>
    <row r="835" ht="22.5" customHeight="1">
      <c r="C835" s="4">
        <v>1.6262325E7</v>
      </c>
      <c r="D835" s="17">
        <f t="shared" si="1"/>
        <v>16582373</v>
      </c>
      <c r="E835" s="4">
        <v>7.78</v>
      </c>
      <c r="F835" s="4">
        <v>136.4</v>
      </c>
    </row>
    <row r="836" ht="22.5" customHeight="1">
      <c r="C836" s="4">
        <v>1.6282328E7</v>
      </c>
      <c r="D836" s="17">
        <f t="shared" si="1"/>
        <v>16602376</v>
      </c>
      <c r="E836" s="4">
        <v>7.78</v>
      </c>
      <c r="F836" s="4">
        <v>136.3</v>
      </c>
    </row>
    <row r="837" ht="22.5" customHeight="1">
      <c r="C837" s="4">
        <v>1.630233E7</v>
      </c>
      <c r="D837" s="17">
        <f t="shared" si="1"/>
        <v>16622378</v>
      </c>
      <c r="E837" s="4">
        <v>7.78</v>
      </c>
      <c r="F837" s="4">
        <v>136.4</v>
      </c>
    </row>
    <row r="838" ht="22.5" customHeight="1">
      <c r="C838" s="4">
        <v>1.6322333E7</v>
      </c>
      <c r="D838" s="17">
        <f t="shared" si="1"/>
        <v>16642381</v>
      </c>
      <c r="E838" s="4">
        <v>7.78</v>
      </c>
      <c r="F838" s="4">
        <v>136.4</v>
      </c>
    </row>
    <row r="839" ht="22.5" customHeight="1">
      <c r="C839" s="4">
        <v>1.6342336E7</v>
      </c>
      <c r="D839" s="17">
        <f t="shared" si="1"/>
        <v>16662384</v>
      </c>
      <c r="E839" s="4">
        <v>7.78</v>
      </c>
      <c r="F839" s="4">
        <v>136.3</v>
      </c>
    </row>
    <row r="840" ht="22.5" customHeight="1">
      <c r="C840" s="4">
        <v>1.636234E7</v>
      </c>
      <c r="D840" s="17">
        <f t="shared" si="1"/>
        <v>16682388</v>
      </c>
      <c r="E840" s="4">
        <v>7.78</v>
      </c>
      <c r="F840" s="4">
        <v>136.3</v>
      </c>
    </row>
    <row r="841" ht="22.5" customHeight="1">
      <c r="C841" s="4">
        <v>1.6382343E7</v>
      </c>
      <c r="D841" s="17">
        <f t="shared" si="1"/>
        <v>16702391</v>
      </c>
      <c r="E841" s="4">
        <v>7.78</v>
      </c>
      <c r="F841" s="4">
        <v>136.3</v>
      </c>
    </row>
    <row r="842" ht="22.5" customHeight="1">
      <c r="C842" s="4">
        <v>1.6402345E7</v>
      </c>
      <c r="D842" s="17">
        <f t="shared" si="1"/>
        <v>16722393</v>
      </c>
      <c r="E842" s="4">
        <v>7.78</v>
      </c>
      <c r="F842" s="4">
        <v>136.3</v>
      </c>
    </row>
    <row r="843" ht="22.5" customHeight="1">
      <c r="C843" s="4">
        <v>1.6422348E7</v>
      </c>
      <c r="D843" s="17">
        <f t="shared" si="1"/>
        <v>16742396</v>
      </c>
      <c r="E843" s="4">
        <v>7.77</v>
      </c>
      <c r="F843" s="4">
        <v>136.3</v>
      </c>
    </row>
    <row r="844" ht="22.5" customHeight="1">
      <c r="C844" s="4">
        <v>1.6442351E7</v>
      </c>
      <c r="D844" s="17">
        <f t="shared" si="1"/>
        <v>16762399</v>
      </c>
      <c r="E844" s="4">
        <v>7.78</v>
      </c>
      <c r="F844" s="4">
        <v>136.3</v>
      </c>
    </row>
    <row r="845" ht="22.5" customHeight="1">
      <c r="C845" s="4">
        <v>1.6462354E7</v>
      </c>
      <c r="D845" s="17">
        <f t="shared" si="1"/>
        <v>16782402</v>
      </c>
      <c r="E845" s="4">
        <v>7.78</v>
      </c>
      <c r="F845" s="4">
        <v>136.3</v>
      </c>
    </row>
    <row r="846" ht="22.5" customHeight="1">
      <c r="C846" s="4">
        <v>1.6482357E7</v>
      </c>
      <c r="D846" s="17">
        <f t="shared" si="1"/>
        <v>16802405</v>
      </c>
      <c r="E846" s="4">
        <v>7.78</v>
      </c>
      <c r="F846" s="4">
        <v>136.3</v>
      </c>
    </row>
    <row r="847" ht="22.5" customHeight="1">
      <c r="C847" s="4">
        <v>1.650236E7</v>
      </c>
      <c r="D847" s="17">
        <f t="shared" si="1"/>
        <v>16822408</v>
      </c>
      <c r="E847" s="4">
        <v>7.77</v>
      </c>
      <c r="F847" s="4">
        <v>136.2</v>
      </c>
    </row>
    <row r="848" ht="22.5" customHeight="1">
      <c r="C848" s="4">
        <v>1.6522362E7</v>
      </c>
      <c r="D848" s="17">
        <f t="shared" si="1"/>
        <v>16842410</v>
      </c>
      <c r="E848" s="4">
        <v>7.77</v>
      </c>
      <c r="F848" s="4">
        <v>136.2</v>
      </c>
    </row>
    <row r="849" ht="22.5" customHeight="1">
      <c r="C849" s="4">
        <v>1.6542365E7</v>
      </c>
      <c r="D849" s="17">
        <f t="shared" si="1"/>
        <v>16862413</v>
      </c>
      <c r="E849" s="4">
        <v>7.77</v>
      </c>
      <c r="F849" s="4">
        <v>136.2</v>
      </c>
    </row>
    <row r="850" ht="22.5" customHeight="1">
      <c r="C850" s="4">
        <v>1.6562368E7</v>
      </c>
      <c r="D850" s="17">
        <f t="shared" si="1"/>
        <v>16882416</v>
      </c>
      <c r="E850" s="4">
        <v>7.77</v>
      </c>
      <c r="F850" s="4">
        <v>136.2</v>
      </c>
    </row>
    <row r="851" ht="22.5" customHeight="1">
      <c r="C851" s="4">
        <v>1.6582371E7</v>
      </c>
      <c r="D851" s="17">
        <f t="shared" si="1"/>
        <v>16902419</v>
      </c>
      <c r="E851" s="4">
        <v>7.77</v>
      </c>
      <c r="F851" s="4">
        <v>136.2</v>
      </c>
    </row>
    <row r="852" ht="22.5" customHeight="1">
      <c r="C852" s="4">
        <v>1.6602374E7</v>
      </c>
      <c r="D852" s="17">
        <f t="shared" si="1"/>
        <v>16922422</v>
      </c>
      <c r="E852" s="4">
        <v>7.77</v>
      </c>
      <c r="F852" s="4">
        <v>136.2</v>
      </c>
    </row>
    <row r="853" ht="22.5" customHeight="1">
      <c r="C853" s="4">
        <v>1.6622376E7</v>
      </c>
      <c r="D853" s="17">
        <f t="shared" si="1"/>
        <v>16942424</v>
      </c>
      <c r="E853" s="4">
        <v>7.77</v>
      </c>
      <c r="F853" s="4">
        <v>136.2</v>
      </c>
    </row>
    <row r="854" ht="22.5" customHeight="1">
      <c r="C854" s="4">
        <v>1.664238E7</v>
      </c>
      <c r="D854" s="17">
        <f t="shared" si="1"/>
        <v>16962428</v>
      </c>
      <c r="E854" s="4">
        <v>7.77</v>
      </c>
      <c r="F854" s="4">
        <v>136.2</v>
      </c>
    </row>
    <row r="855" ht="22.5" customHeight="1">
      <c r="C855" s="4">
        <v>1.6662383E7</v>
      </c>
      <c r="D855" s="17">
        <f t="shared" si="1"/>
        <v>16982431</v>
      </c>
      <c r="E855" s="4">
        <v>7.77</v>
      </c>
      <c r="F855" s="4">
        <v>136.2</v>
      </c>
    </row>
    <row r="856" ht="22.5" customHeight="1">
      <c r="C856" s="4">
        <v>1.6682386E7</v>
      </c>
      <c r="D856" s="17">
        <f t="shared" si="1"/>
        <v>17002434</v>
      </c>
      <c r="E856" s="4">
        <v>7.77</v>
      </c>
      <c r="F856" s="4">
        <v>136.1</v>
      </c>
    </row>
    <row r="857" ht="22.5" customHeight="1">
      <c r="C857" s="4">
        <v>1.6702389E7</v>
      </c>
      <c r="D857" s="17">
        <f t="shared" si="1"/>
        <v>17022437</v>
      </c>
      <c r="E857" s="4">
        <v>7.77</v>
      </c>
      <c r="F857" s="4">
        <v>136.1</v>
      </c>
    </row>
    <row r="858" ht="22.5" customHeight="1">
      <c r="C858" s="4">
        <v>1.6722392E7</v>
      </c>
      <c r="D858" s="17">
        <f t="shared" si="1"/>
        <v>17042440</v>
      </c>
      <c r="E858" s="4">
        <v>7.77</v>
      </c>
      <c r="F858" s="4">
        <v>136.1</v>
      </c>
    </row>
    <row r="859" ht="22.5" customHeight="1">
      <c r="C859" s="4">
        <v>1.6742394E7</v>
      </c>
      <c r="D859" s="17">
        <f t="shared" si="1"/>
        <v>17062442</v>
      </c>
      <c r="E859" s="4">
        <v>7.77</v>
      </c>
      <c r="F859" s="4">
        <v>136.1</v>
      </c>
    </row>
    <row r="860" ht="22.5" customHeight="1">
      <c r="C860" s="4">
        <v>1.6762397E7</v>
      </c>
      <c r="D860" s="17">
        <f t="shared" si="1"/>
        <v>17082445</v>
      </c>
      <c r="E860" s="4">
        <v>7.77</v>
      </c>
      <c r="F860" s="4">
        <v>136.1</v>
      </c>
    </row>
    <row r="861" ht="22.5" customHeight="1">
      <c r="C861" s="4">
        <v>1.67824E7</v>
      </c>
      <c r="D861" s="17">
        <f t="shared" si="1"/>
        <v>17102448</v>
      </c>
      <c r="E861" s="4">
        <v>7.77</v>
      </c>
      <c r="F861" s="4">
        <v>136.1</v>
      </c>
    </row>
    <row r="862" ht="22.5" customHeight="1">
      <c r="C862" s="4">
        <v>1.6802403E7</v>
      </c>
      <c r="D862" s="17">
        <f t="shared" si="1"/>
        <v>17122451</v>
      </c>
      <c r="E862" s="4">
        <v>7.76</v>
      </c>
      <c r="F862" s="4">
        <v>136.1</v>
      </c>
    </row>
    <row r="863" ht="22.5" customHeight="1">
      <c r="C863" s="4">
        <v>1.6822406E7</v>
      </c>
      <c r="D863" s="17">
        <f t="shared" si="1"/>
        <v>17142454</v>
      </c>
      <c r="E863" s="4">
        <v>7.76</v>
      </c>
      <c r="F863" s="4">
        <v>136.1</v>
      </c>
    </row>
    <row r="864" ht="22.5" customHeight="1">
      <c r="C864" s="4">
        <v>1.6842408E7</v>
      </c>
      <c r="D864" s="17">
        <f t="shared" si="1"/>
        <v>17162456</v>
      </c>
      <c r="E864" s="4">
        <v>7.76</v>
      </c>
      <c r="F864" s="4">
        <v>136.1</v>
      </c>
    </row>
    <row r="865" ht="22.5" customHeight="1">
      <c r="C865" s="4">
        <v>1.6862411E7</v>
      </c>
      <c r="D865" s="17">
        <f t="shared" si="1"/>
        <v>17182459</v>
      </c>
      <c r="E865" s="4">
        <v>7.76</v>
      </c>
      <c r="F865" s="4">
        <v>136.1</v>
      </c>
    </row>
    <row r="866" ht="22.5" customHeight="1">
      <c r="C866" s="4">
        <v>1.6882414E7</v>
      </c>
      <c r="D866" s="17">
        <f t="shared" si="1"/>
        <v>17202462</v>
      </c>
      <c r="E866" s="4">
        <v>7.76</v>
      </c>
      <c r="F866" s="4">
        <v>136.1</v>
      </c>
    </row>
    <row r="867" ht="22.5" customHeight="1">
      <c r="C867" s="4">
        <v>1.6902417E7</v>
      </c>
      <c r="D867" s="17">
        <f t="shared" si="1"/>
        <v>17222465</v>
      </c>
      <c r="E867" s="4">
        <v>7.76</v>
      </c>
      <c r="F867" s="4">
        <v>136.0</v>
      </c>
    </row>
    <row r="868" ht="22.5" customHeight="1">
      <c r="C868" s="4">
        <v>1.6922421E7</v>
      </c>
      <c r="D868" s="17">
        <f t="shared" si="1"/>
        <v>17242469</v>
      </c>
      <c r="E868" s="4">
        <v>7.76</v>
      </c>
      <c r="F868" s="4">
        <v>136.0</v>
      </c>
    </row>
    <row r="869" ht="22.5" customHeight="1">
      <c r="C869" s="4">
        <v>1.6942424E7</v>
      </c>
      <c r="D869" s="17">
        <f t="shared" si="1"/>
        <v>17262472</v>
      </c>
      <c r="E869" s="4">
        <v>7.76</v>
      </c>
      <c r="F869" s="4">
        <v>136.0</v>
      </c>
    </row>
    <row r="870" ht="22.5" customHeight="1">
      <c r="C870" s="4">
        <v>1.6962426E7</v>
      </c>
      <c r="D870" s="17">
        <f t="shared" si="1"/>
        <v>17282474</v>
      </c>
      <c r="E870" s="4">
        <v>7.76</v>
      </c>
      <c r="F870" s="4">
        <v>136.0</v>
      </c>
    </row>
    <row r="871" ht="22.5" customHeight="1">
      <c r="C871" s="4">
        <v>1.6982429E7</v>
      </c>
      <c r="D871" s="17">
        <f t="shared" si="1"/>
        <v>17302477</v>
      </c>
      <c r="E871" s="4">
        <v>7.76</v>
      </c>
      <c r="F871" s="4">
        <v>136.0</v>
      </c>
    </row>
    <row r="872" ht="22.5" customHeight="1">
      <c r="C872" s="4">
        <v>1.7002432E7</v>
      </c>
      <c r="D872" s="17">
        <f t="shared" si="1"/>
        <v>17322480</v>
      </c>
      <c r="E872" s="4">
        <v>7.76</v>
      </c>
      <c r="F872" s="4">
        <v>136.0</v>
      </c>
    </row>
    <row r="873" ht="22.5" customHeight="1">
      <c r="C873" s="4">
        <v>1.7022435E7</v>
      </c>
      <c r="D873" s="17">
        <f t="shared" si="1"/>
        <v>17342483</v>
      </c>
      <c r="E873" s="4">
        <v>7.76</v>
      </c>
      <c r="F873" s="4">
        <v>136.0</v>
      </c>
    </row>
    <row r="874" ht="22.5" customHeight="1">
      <c r="C874" s="4">
        <v>1.7042438E7</v>
      </c>
      <c r="D874" s="17">
        <f t="shared" si="1"/>
        <v>17362486</v>
      </c>
      <c r="E874" s="4">
        <v>7.76</v>
      </c>
      <c r="F874" s="4">
        <v>136.0</v>
      </c>
    </row>
    <row r="875" ht="22.5" customHeight="1">
      <c r="C875" s="4">
        <v>1.706244E7</v>
      </c>
      <c r="D875" s="17">
        <f t="shared" si="1"/>
        <v>17382488</v>
      </c>
      <c r="E875" s="4">
        <v>7.76</v>
      </c>
      <c r="F875" s="4">
        <v>136.0</v>
      </c>
    </row>
    <row r="876" ht="22.5" customHeight="1">
      <c r="C876" s="4">
        <v>1.7082443E7</v>
      </c>
      <c r="D876" s="17">
        <f t="shared" si="1"/>
        <v>17402491</v>
      </c>
      <c r="E876" s="4">
        <v>7.76</v>
      </c>
      <c r="F876" s="4">
        <v>136.0</v>
      </c>
    </row>
    <row r="877" ht="22.5" customHeight="1">
      <c r="C877" s="4">
        <v>1.7102446E7</v>
      </c>
      <c r="D877" s="17">
        <f t="shared" si="1"/>
        <v>17422494</v>
      </c>
      <c r="E877" s="4">
        <v>7.76</v>
      </c>
      <c r="F877" s="4">
        <v>135.9</v>
      </c>
    </row>
    <row r="878" ht="22.5" customHeight="1">
      <c r="C878" s="4">
        <v>1.7122449E7</v>
      </c>
      <c r="D878" s="17">
        <f t="shared" si="1"/>
        <v>17442497</v>
      </c>
      <c r="E878" s="4">
        <v>7.76</v>
      </c>
      <c r="F878" s="4">
        <v>135.9</v>
      </c>
    </row>
    <row r="879" ht="22.5" customHeight="1">
      <c r="C879" s="4">
        <v>1.7142452E7</v>
      </c>
      <c r="D879" s="17">
        <f t="shared" si="1"/>
        <v>17462500</v>
      </c>
      <c r="E879" s="4">
        <v>7.76</v>
      </c>
      <c r="F879" s="4">
        <v>135.9</v>
      </c>
    </row>
    <row r="880" ht="22.5" customHeight="1">
      <c r="C880" s="4">
        <v>1.7162455E7</v>
      </c>
      <c r="D880" s="17">
        <f t="shared" si="1"/>
        <v>17482503</v>
      </c>
      <c r="E880" s="4">
        <v>7.76</v>
      </c>
      <c r="F880" s="4">
        <v>136.0</v>
      </c>
    </row>
    <row r="881" ht="22.5" customHeight="1">
      <c r="C881" s="4">
        <v>1.7182457E7</v>
      </c>
      <c r="D881" s="17">
        <f t="shared" si="1"/>
        <v>17502505</v>
      </c>
      <c r="E881" s="4">
        <v>7.75</v>
      </c>
      <c r="F881" s="4">
        <v>135.9</v>
      </c>
    </row>
    <row r="882" ht="22.5" customHeight="1">
      <c r="C882" s="4">
        <v>1.720246E7</v>
      </c>
      <c r="D882" s="17">
        <f t="shared" si="1"/>
        <v>17522508</v>
      </c>
      <c r="E882" s="4">
        <v>7.76</v>
      </c>
      <c r="F882" s="4">
        <v>135.8</v>
      </c>
    </row>
    <row r="883" ht="22.5" customHeight="1">
      <c r="C883" s="4">
        <v>1.7222464E7</v>
      </c>
      <c r="D883" s="17">
        <f t="shared" si="1"/>
        <v>17542512</v>
      </c>
      <c r="E883" s="4">
        <v>7.75</v>
      </c>
      <c r="F883" s="4">
        <v>135.9</v>
      </c>
    </row>
    <row r="884" ht="22.5" customHeight="1">
      <c r="C884" s="4">
        <v>1.7242467E7</v>
      </c>
      <c r="D884" s="17">
        <f t="shared" si="1"/>
        <v>17562515</v>
      </c>
      <c r="E884" s="4">
        <v>7.75</v>
      </c>
      <c r="F884" s="4">
        <v>135.9</v>
      </c>
    </row>
    <row r="885" ht="22.5" customHeight="1">
      <c r="C885" s="4">
        <v>1.726247E7</v>
      </c>
      <c r="D885" s="17">
        <f t="shared" si="1"/>
        <v>17582518</v>
      </c>
      <c r="E885" s="4">
        <v>7.75</v>
      </c>
      <c r="F885" s="4">
        <v>135.8</v>
      </c>
    </row>
    <row r="886" ht="22.5" customHeight="1">
      <c r="C886" s="4">
        <v>1.7282472E7</v>
      </c>
      <c r="D886" s="17">
        <f t="shared" si="1"/>
        <v>17602520</v>
      </c>
      <c r="E886" s="4">
        <v>7.75</v>
      </c>
      <c r="F886" s="4">
        <v>135.9</v>
      </c>
    </row>
    <row r="887" ht="22.5" customHeight="1">
      <c r="C887" s="4">
        <v>1.7302475E7</v>
      </c>
      <c r="D887" s="17">
        <f t="shared" si="1"/>
        <v>17622523</v>
      </c>
      <c r="E887" s="4">
        <v>7.75</v>
      </c>
      <c r="F887" s="4">
        <v>135.8</v>
      </c>
    </row>
    <row r="888" ht="22.5" customHeight="1">
      <c r="C888" s="4">
        <v>1.7322478E7</v>
      </c>
      <c r="D888" s="17">
        <f t="shared" si="1"/>
        <v>17642526</v>
      </c>
      <c r="E888" s="4">
        <v>7.75</v>
      </c>
      <c r="F888" s="4">
        <v>135.8</v>
      </c>
    </row>
    <row r="889" ht="22.5" customHeight="1">
      <c r="C889" s="4">
        <v>1.7342481E7</v>
      </c>
      <c r="D889" s="17">
        <f t="shared" si="1"/>
        <v>17662529</v>
      </c>
      <c r="E889" s="4">
        <v>7.75</v>
      </c>
      <c r="F889" s="4">
        <v>135.8</v>
      </c>
    </row>
    <row r="890" ht="22.5" customHeight="1">
      <c r="C890" s="4">
        <v>1.7362484E7</v>
      </c>
      <c r="D890" s="17">
        <f t="shared" si="1"/>
        <v>17682532</v>
      </c>
      <c r="E890" s="4">
        <v>7.75</v>
      </c>
      <c r="F890" s="4">
        <v>135.8</v>
      </c>
    </row>
    <row r="891" ht="22.5" customHeight="1">
      <c r="C891" s="4">
        <v>1.7382487E7</v>
      </c>
      <c r="D891" s="17">
        <f t="shared" si="1"/>
        <v>17702535</v>
      </c>
      <c r="E891" s="4">
        <v>7.75</v>
      </c>
      <c r="F891" s="4">
        <v>135.8</v>
      </c>
    </row>
    <row r="892" ht="22.5" customHeight="1">
      <c r="C892" s="4">
        <v>1.7402489E7</v>
      </c>
      <c r="D892" s="17">
        <f t="shared" si="1"/>
        <v>17722537</v>
      </c>
      <c r="E892" s="4">
        <v>7.75</v>
      </c>
      <c r="F892" s="4">
        <v>135.8</v>
      </c>
    </row>
    <row r="893" ht="22.5" customHeight="1">
      <c r="C893" s="4">
        <v>1.7422492E7</v>
      </c>
      <c r="D893" s="17">
        <f t="shared" si="1"/>
        <v>17742540</v>
      </c>
      <c r="E893" s="4">
        <v>7.75</v>
      </c>
      <c r="F893" s="4">
        <v>135.7</v>
      </c>
    </row>
    <row r="894" ht="22.5" customHeight="1">
      <c r="C894" s="4">
        <v>1.7442495E7</v>
      </c>
      <c r="D894" s="17">
        <f t="shared" si="1"/>
        <v>17762543</v>
      </c>
      <c r="E894" s="4">
        <v>7.74</v>
      </c>
      <c r="F894" s="4">
        <v>135.8</v>
      </c>
    </row>
    <row r="895" ht="22.5" customHeight="1">
      <c r="C895" s="4">
        <v>1.7462498E7</v>
      </c>
      <c r="D895" s="17">
        <f t="shared" si="1"/>
        <v>17782546</v>
      </c>
      <c r="E895" s="4">
        <v>7.74</v>
      </c>
      <c r="F895" s="4">
        <v>135.7</v>
      </c>
    </row>
    <row r="896" ht="22.5" customHeight="1">
      <c r="C896" s="4">
        <v>1.7482501E7</v>
      </c>
      <c r="D896" s="17">
        <f t="shared" si="1"/>
        <v>17802549</v>
      </c>
      <c r="E896" s="4">
        <v>7.74</v>
      </c>
      <c r="F896" s="4">
        <v>135.7</v>
      </c>
    </row>
    <row r="897" ht="22.5" customHeight="1">
      <c r="C897" s="4">
        <v>1.7502504E7</v>
      </c>
      <c r="D897" s="17">
        <f t="shared" si="1"/>
        <v>17822552</v>
      </c>
      <c r="E897" s="4">
        <v>7.74</v>
      </c>
      <c r="F897" s="4">
        <v>135.7</v>
      </c>
    </row>
    <row r="898" ht="22.5" customHeight="1">
      <c r="C898" s="4">
        <v>1.7522507E7</v>
      </c>
      <c r="D898" s="17">
        <f t="shared" si="1"/>
        <v>17842555</v>
      </c>
      <c r="E898" s="4">
        <v>7.74</v>
      </c>
      <c r="F898" s="4">
        <v>135.7</v>
      </c>
    </row>
    <row r="899" ht="22.5" customHeight="1">
      <c r="C899" s="4">
        <v>1.754251E7</v>
      </c>
      <c r="D899" s="17">
        <f t="shared" si="1"/>
        <v>17862558</v>
      </c>
      <c r="E899" s="4">
        <v>7.74</v>
      </c>
      <c r="F899" s="4">
        <v>135.7</v>
      </c>
    </row>
    <row r="900" ht="22.5" customHeight="1">
      <c r="C900" s="4">
        <v>1.7562513E7</v>
      </c>
      <c r="D900" s="17">
        <f t="shared" si="1"/>
        <v>17882561</v>
      </c>
      <c r="E900" s="4">
        <v>7.74</v>
      </c>
      <c r="F900" s="4">
        <v>135.7</v>
      </c>
    </row>
    <row r="901" ht="22.5" customHeight="1">
      <c r="C901" s="4">
        <v>1.7582516E7</v>
      </c>
      <c r="D901" s="17">
        <f t="shared" si="1"/>
        <v>17902564</v>
      </c>
      <c r="E901" s="4">
        <v>7.74</v>
      </c>
      <c r="F901" s="4">
        <v>135.6</v>
      </c>
    </row>
    <row r="902" ht="22.5" customHeight="1">
      <c r="C902" s="4">
        <v>1.7602519E7</v>
      </c>
      <c r="D902" s="17">
        <f t="shared" si="1"/>
        <v>17922567</v>
      </c>
      <c r="E902" s="4">
        <v>7.74</v>
      </c>
      <c r="F902" s="4">
        <v>135.7</v>
      </c>
    </row>
    <row r="903" ht="22.5" customHeight="1">
      <c r="C903" s="4">
        <v>1.7622521E7</v>
      </c>
      <c r="D903" s="17">
        <f t="shared" si="1"/>
        <v>17942569</v>
      </c>
      <c r="E903" s="4">
        <v>7.74</v>
      </c>
      <c r="F903" s="4">
        <v>135.6</v>
      </c>
    </row>
    <row r="904" ht="22.5" customHeight="1">
      <c r="C904" s="4">
        <v>1.7642524E7</v>
      </c>
      <c r="D904" s="17">
        <f t="shared" si="1"/>
        <v>17962572</v>
      </c>
      <c r="E904" s="4">
        <v>7.74</v>
      </c>
      <c r="F904" s="4">
        <v>135.7</v>
      </c>
    </row>
    <row r="905" ht="22.5" customHeight="1">
      <c r="C905" s="4">
        <v>1.7662527E7</v>
      </c>
      <c r="D905" s="17">
        <f t="shared" si="1"/>
        <v>17982575</v>
      </c>
      <c r="E905" s="4">
        <v>7.74</v>
      </c>
      <c r="F905" s="4">
        <v>135.6</v>
      </c>
    </row>
    <row r="906" ht="22.5" customHeight="1">
      <c r="C906" s="4">
        <v>1.768253E7</v>
      </c>
      <c r="D906" s="17">
        <f t="shared" si="1"/>
        <v>18002578</v>
      </c>
      <c r="E906" s="4">
        <v>7.74</v>
      </c>
      <c r="F906" s="4">
        <v>135.6</v>
      </c>
    </row>
    <row r="907" ht="22.5" customHeight="1">
      <c r="C907" s="4">
        <v>1.7702533E7</v>
      </c>
      <c r="D907" s="17">
        <f t="shared" si="1"/>
        <v>18022581</v>
      </c>
      <c r="E907" s="4">
        <v>7.74</v>
      </c>
      <c r="F907" s="4">
        <v>135.6</v>
      </c>
    </row>
    <row r="908" ht="22.5" customHeight="1">
      <c r="C908" s="4">
        <v>1.7722535E7</v>
      </c>
      <c r="D908" s="17">
        <f t="shared" si="1"/>
        <v>18042583</v>
      </c>
      <c r="E908" s="4">
        <v>7.74</v>
      </c>
      <c r="F908" s="4">
        <v>135.6</v>
      </c>
    </row>
    <row r="909" ht="22.5" customHeight="1">
      <c r="C909" s="4">
        <v>1.7742538E7</v>
      </c>
      <c r="D909" s="17">
        <f t="shared" si="1"/>
        <v>18062586</v>
      </c>
      <c r="E909" s="4">
        <v>7.74</v>
      </c>
      <c r="F909" s="4">
        <v>135.6</v>
      </c>
    </row>
    <row r="910" ht="22.5" customHeight="1">
      <c r="C910" s="4">
        <v>1.7762541E7</v>
      </c>
      <c r="D910" s="17">
        <f t="shared" si="1"/>
        <v>18082589</v>
      </c>
      <c r="E910" s="4">
        <v>7.74</v>
      </c>
      <c r="F910" s="4">
        <v>135.6</v>
      </c>
    </row>
    <row r="911" ht="22.5" customHeight="1">
      <c r="C911" s="4">
        <v>1.7782545E7</v>
      </c>
      <c r="D911" s="17">
        <f t="shared" si="1"/>
        <v>18102593</v>
      </c>
      <c r="E911" s="4">
        <v>7.74</v>
      </c>
      <c r="F911" s="4">
        <v>135.6</v>
      </c>
    </row>
    <row r="912" ht="22.5" customHeight="1">
      <c r="C912" s="4">
        <v>1.7802548E7</v>
      </c>
      <c r="D912" s="17">
        <f t="shared" si="1"/>
        <v>18122596</v>
      </c>
      <c r="E912" s="4">
        <v>7.74</v>
      </c>
      <c r="F912" s="4">
        <v>135.6</v>
      </c>
    </row>
    <row r="913" ht="22.5" customHeight="1">
      <c r="C913" s="4">
        <v>1.7822551E7</v>
      </c>
      <c r="D913" s="17">
        <f t="shared" si="1"/>
        <v>18142599</v>
      </c>
      <c r="E913" s="4">
        <v>7.74</v>
      </c>
      <c r="F913" s="4">
        <v>135.5</v>
      </c>
    </row>
    <row r="914" ht="22.5" customHeight="1">
      <c r="C914" s="4">
        <v>1.7842553E7</v>
      </c>
      <c r="D914" s="17">
        <f t="shared" si="1"/>
        <v>18162601</v>
      </c>
      <c r="E914" s="4">
        <v>7.73</v>
      </c>
      <c r="F914" s="4">
        <v>135.5</v>
      </c>
    </row>
    <row r="915" ht="22.5" customHeight="1">
      <c r="C915" s="4">
        <v>1.7862556E7</v>
      </c>
      <c r="D915" s="17">
        <f t="shared" si="1"/>
        <v>18182604</v>
      </c>
      <c r="E915" s="4">
        <v>7.74</v>
      </c>
      <c r="F915" s="4">
        <v>135.6</v>
      </c>
    </row>
    <row r="916" ht="22.5" customHeight="1">
      <c r="C916" s="4">
        <v>1.7882559E7</v>
      </c>
      <c r="D916" s="17">
        <f t="shared" si="1"/>
        <v>18202607</v>
      </c>
      <c r="E916" s="4">
        <v>7.73</v>
      </c>
      <c r="F916" s="4">
        <v>135.5</v>
      </c>
    </row>
    <row r="917" ht="22.5" customHeight="1">
      <c r="C917" s="4">
        <v>1.7902562E7</v>
      </c>
      <c r="D917" s="17">
        <f t="shared" si="1"/>
        <v>18222610</v>
      </c>
      <c r="E917" s="4">
        <v>7.73</v>
      </c>
      <c r="F917" s="4">
        <v>135.6</v>
      </c>
    </row>
    <row r="918" ht="22.5" customHeight="1">
      <c r="C918" s="4">
        <v>1.7922565E7</v>
      </c>
      <c r="D918" s="17">
        <f t="shared" si="1"/>
        <v>18242613</v>
      </c>
      <c r="E918" s="4">
        <v>7.73</v>
      </c>
      <c r="F918" s="4">
        <v>135.5</v>
      </c>
    </row>
    <row r="919" ht="22.5" customHeight="1">
      <c r="C919" s="4">
        <v>1.7942567E7</v>
      </c>
      <c r="D919" s="17">
        <f t="shared" si="1"/>
        <v>18262615</v>
      </c>
      <c r="E919" s="4">
        <v>7.73</v>
      </c>
      <c r="F919" s="4">
        <v>135.4</v>
      </c>
    </row>
    <row r="920" ht="22.5" customHeight="1">
      <c r="C920" s="4">
        <v>1.796257E7</v>
      </c>
      <c r="D920" s="17">
        <f t="shared" si="1"/>
        <v>18282618</v>
      </c>
      <c r="E920" s="4">
        <v>7.73</v>
      </c>
      <c r="F920" s="4">
        <v>135.5</v>
      </c>
    </row>
    <row r="921" ht="22.5" customHeight="1">
      <c r="C921" s="4">
        <v>1.7982573E7</v>
      </c>
      <c r="D921" s="17">
        <f t="shared" si="1"/>
        <v>18302621</v>
      </c>
      <c r="E921" s="4">
        <v>7.73</v>
      </c>
      <c r="F921" s="4">
        <v>135.4</v>
      </c>
    </row>
    <row r="922" ht="22.5" customHeight="1">
      <c r="C922" s="4">
        <v>1.8002576E7</v>
      </c>
      <c r="D922" s="17">
        <f t="shared" si="1"/>
        <v>18322624</v>
      </c>
      <c r="E922" s="4">
        <v>7.73</v>
      </c>
      <c r="F922" s="4">
        <v>135.5</v>
      </c>
    </row>
    <row r="923" ht="22.5" customHeight="1">
      <c r="C923" s="4">
        <v>1.8022579E7</v>
      </c>
      <c r="D923" s="17">
        <f t="shared" si="1"/>
        <v>18342627</v>
      </c>
      <c r="E923" s="4">
        <v>7.73</v>
      </c>
      <c r="F923" s="4">
        <v>135.5</v>
      </c>
    </row>
    <row r="924" ht="22.5" customHeight="1">
      <c r="C924" s="4">
        <v>1.8042582E7</v>
      </c>
      <c r="D924" s="17">
        <f t="shared" si="1"/>
        <v>18362630</v>
      </c>
      <c r="E924" s="4">
        <v>7.73</v>
      </c>
      <c r="F924" s="4">
        <v>135.4</v>
      </c>
    </row>
    <row r="925" ht="22.5" customHeight="1">
      <c r="C925" s="4">
        <v>1.8062585E7</v>
      </c>
      <c r="D925" s="17">
        <f t="shared" si="1"/>
        <v>18382633</v>
      </c>
      <c r="E925" s="4">
        <v>7.73</v>
      </c>
      <c r="F925" s="4">
        <v>135.5</v>
      </c>
    </row>
    <row r="926" ht="22.5" customHeight="1">
      <c r="C926" s="4">
        <v>1.8082588E7</v>
      </c>
      <c r="D926" s="17">
        <f t="shared" si="1"/>
        <v>18402636</v>
      </c>
      <c r="E926" s="4">
        <v>7.73</v>
      </c>
      <c r="F926" s="4">
        <v>135.5</v>
      </c>
    </row>
    <row r="927" ht="22.5" customHeight="1">
      <c r="C927" s="4">
        <v>1.8102591E7</v>
      </c>
      <c r="D927" s="17">
        <f t="shared" si="1"/>
        <v>18422639</v>
      </c>
      <c r="E927" s="4">
        <v>7.73</v>
      </c>
      <c r="F927" s="4">
        <v>135.5</v>
      </c>
    </row>
    <row r="928" ht="22.5" customHeight="1">
      <c r="C928" s="4">
        <v>1.8122594E7</v>
      </c>
      <c r="D928" s="17">
        <f t="shared" si="1"/>
        <v>18442642</v>
      </c>
      <c r="E928" s="4">
        <v>7.73</v>
      </c>
      <c r="F928" s="4">
        <v>135.4</v>
      </c>
    </row>
    <row r="929" ht="22.5" customHeight="1">
      <c r="C929" s="4">
        <v>1.8142597E7</v>
      </c>
      <c r="D929" s="17">
        <f t="shared" si="1"/>
        <v>18462645</v>
      </c>
      <c r="E929" s="4">
        <v>7.73</v>
      </c>
      <c r="F929" s="4">
        <v>135.4</v>
      </c>
    </row>
    <row r="930" ht="22.5" customHeight="1">
      <c r="C930" s="4">
        <v>1.8162599E7</v>
      </c>
      <c r="D930" s="17">
        <f t="shared" si="1"/>
        <v>18482647</v>
      </c>
      <c r="E930" s="4">
        <v>7.73</v>
      </c>
      <c r="F930" s="4">
        <v>135.4</v>
      </c>
    </row>
    <row r="931" ht="22.5" customHeight="1">
      <c r="C931" s="4">
        <v>1.8182602E7</v>
      </c>
      <c r="D931" s="17">
        <f t="shared" si="1"/>
        <v>18502650</v>
      </c>
      <c r="E931" s="4">
        <v>7.72</v>
      </c>
      <c r="F931" s="4">
        <v>135.3</v>
      </c>
    </row>
    <row r="932" ht="22.5" customHeight="1">
      <c r="C932" s="4">
        <v>1.8202605E7</v>
      </c>
      <c r="D932" s="17">
        <f t="shared" si="1"/>
        <v>18522653</v>
      </c>
      <c r="E932" s="4">
        <v>7.73</v>
      </c>
      <c r="F932" s="4">
        <v>135.3</v>
      </c>
    </row>
    <row r="933" ht="22.5" customHeight="1">
      <c r="C933" s="4">
        <v>1.8222608E7</v>
      </c>
      <c r="D933" s="17">
        <f t="shared" si="1"/>
        <v>18542656</v>
      </c>
      <c r="E933" s="4">
        <v>7.72</v>
      </c>
      <c r="F933" s="4">
        <v>135.3</v>
      </c>
    </row>
    <row r="934" ht="22.5" customHeight="1">
      <c r="C934" s="4">
        <v>1.8242611E7</v>
      </c>
      <c r="D934" s="17">
        <f t="shared" si="1"/>
        <v>18562659</v>
      </c>
      <c r="E934" s="4">
        <v>7.72</v>
      </c>
      <c r="F934" s="4">
        <v>135.4</v>
      </c>
    </row>
    <row r="935" ht="22.5" customHeight="1">
      <c r="C935" s="4">
        <v>1.8262614E7</v>
      </c>
      <c r="D935" s="17">
        <f t="shared" si="1"/>
        <v>18582662</v>
      </c>
      <c r="E935" s="4">
        <v>7.72</v>
      </c>
      <c r="F935" s="4">
        <v>135.3</v>
      </c>
    </row>
    <row r="936" ht="22.5" customHeight="1">
      <c r="C936" s="4">
        <v>1.8282616E7</v>
      </c>
      <c r="D936" s="17">
        <f t="shared" si="1"/>
        <v>18602664</v>
      </c>
      <c r="E936" s="4">
        <v>7.72</v>
      </c>
      <c r="F936" s="4">
        <v>135.4</v>
      </c>
    </row>
    <row r="937" ht="22.5" customHeight="1">
      <c r="C937" s="4">
        <v>1.8302619E7</v>
      </c>
      <c r="D937" s="17">
        <f t="shared" si="1"/>
        <v>18622667</v>
      </c>
      <c r="E937" s="4">
        <v>7.72</v>
      </c>
      <c r="F937" s="4">
        <v>135.3</v>
      </c>
    </row>
    <row r="938" ht="22.5" customHeight="1">
      <c r="C938" s="4">
        <v>1.8322623E7</v>
      </c>
      <c r="D938" s="17">
        <f t="shared" si="1"/>
        <v>18642671</v>
      </c>
      <c r="E938" s="4">
        <v>7.72</v>
      </c>
      <c r="F938" s="4">
        <v>135.3</v>
      </c>
    </row>
    <row r="939" ht="22.5" customHeight="1">
      <c r="C939" s="4">
        <v>1.8342626E7</v>
      </c>
      <c r="D939" s="17">
        <f t="shared" si="1"/>
        <v>18662674</v>
      </c>
      <c r="E939" s="4">
        <v>7.72</v>
      </c>
      <c r="F939" s="4">
        <v>135.3</v>
      </c>
    </row>
    <row r="940" ht="22.5" customHeight="1">
      <c r="C940" s="4">
        <v>1.8362629E7</v>
      </c>
      <c r="D940" s="17">
        <f t="shared" si="1"/>
        <v>18682677</v>
      </c>
      <c r="E940" s="4">
        <v>7.72</v>
      </c>
      <c r="F940" s="4">
        <v>135.3</v>
      </c>
    </row>
    <row r="941" ht="22.5" customHeight="1">
      <c r="C941" s="4">
        <v>1.8382631E7</v>
      </c>
      <c r="D941" s="17">
        <f t="shared" si="1"/>
        <v>18702679</v>
      </c>
      <c r="E941" s="4">
        <v>7.72</v>
      </c>
      <c r="F941" s="4">
        <v>135.3</v>
      </c>
    </row>
    <row r="942" ht="22.5" customHeight="1">
      <c r="C942" s="4">
        <v>1.8402634E7</v>
      </c>
      <c r="D942" s="17">
        <f t="shared" si="1"/>
        <v>18722682</v>
      </c>
      <c r="E942" s="4">
        <v>7.72</v>
      </c>
      <c r="F942" s="4">
        <v>135.2</v>
      </c>
    </row>
    <row r="943" ht="22.5" customHeight="1">
      <c r="C943" s="4">
        <v>1.8422637E7</v>
      </c>
      <c r="D943" s="17">
        <f t="shared" si="1"/>
        <v>18742685</v>
      </c>
      <c r="E943" s="4">
        <v>7.72</v>
      </c>
      <c r="F943" s="4">
        <v>135.3</v>
      </c>
    </row>
    <row r="944" ht="22.5" customHeight="1">
      <c r="C944" s="4">
        <v>1.844264E7</v>
      </c>
      <c r="D944" s="17">
        <f t="shared" si="1"/>
        <v>18762688</v>
      </c>
      <c r="E944" s="4">
        <v>7.72</v>
      </c>
      <c r="F944" s="4">
        <v>135.2</v>
      </c>
    </row>
    <row r="945" ht="22.5" customHeight="1">
      <c r="C945" s="4">
        <v>1.8462643E7</v>
      </c>
      <c r="D945" s="17">
        <f t="shared" si="1"/>
        <v>18782691</v>
      </c>
      <c r="E945" s="4">
        <v>7.72</v>
      </c>
      <c r="F945" s="4">
        <v>135.2</v>
      </c>
    </row>
    <row r="946" ht="22.5" customHeight="1">
      <c r="C946" s="4">
        <v>1.8482646E7</v>
      </c>
      <c r="D946" s="17">
        <f t="shared" si="1"/>
        <v>18802694</v>
      </c>
      <c r="E946" s="4">
        <v>7.72</v>
      </c>
      <c r="F946" s="4">
        <v>135.2</v>
      </c>
    </row>
    <row r="947" ht="22.5" customHeight="1">
      <c r="C947" s="4">
        <v>1.8502648E7</v>
      </c>
      <c r="D947" s="17">
        <f t="shared" si="1"/>
        <v>18822696</v>
      </c>
      <c r="E947" s="4">
        <v>7.72</v>
      </c>
      <c r="F947" s="4">
        <v>135.2</v>
      </c>
    </row>
    <row r="948" ht="22.5" customHeight="1">
      <c r="C948" s="4">
        <v>1.8522651E7</v>
      </c>
      <c r="D948" s="17">
        <f t="shared" si="1"/>
        <v>18842699</v>
      </c>
      <c r="E948" s="4">
        <v>7.72</v>
      </c>
      <c r="F948" s="4">
        <v>135.2</v>
      </c>
    </row>
    <row r="949" ht="22.5" customHeight="1">
      <c r="C949" s="4">
        <v>1.8542654E7</v>
      </c>
      <c r="D949" s="17">
        <f t="shared" si="1"/>
        <v>18862702</v>
      </c>
      <c r="E949" s="4">
        <v>7.72</v>
      </c>
      <c r="F949" s="4">
        <v>135.2</v>
      </c>
    </row>
    <row r="950" ht="22.5" customHeight="1">
      <c r="C950" s="4">
        <v>1.8562657E7</v>
      </c>
      <c r="D950" s="17">
        <f t="shared" si="1"/>
        <v>18882705</v>
      </c>
      <c r="E950" s="4">
        <v>7.72</v>
      </c>
      <c r="F950" s="4">
        <v>135.2</v>
      </c>
    </row>
    <row r="951" ht="22.5" customHeight="1">
      <c r="C951" s="4">
        <v>1.858266E7</v>
      </c>
      <c r="D951" s="17">
        <f t="shared" si="1"/>
        <v>18902708</v>
      </c>
      <c r="E951" s="4">
        <v>7.72</v>
      </c>
      <c r="F951" s="4">
        <v>135.2</v>
      </c>
    </row>
    <row r="952" ht="22.5" customHeight="1">
      <c r="C952" s="4">
        <v>1.8602663E7</v>
      </c>
      <c r="D952" s="17">
        <f t="shared" si="1"/>
        <v>18922711</v>
      </c>
      <c r="E952" s="4">
        <v>7.72</v>
      </c>
      <c r="F952" s="4">
        <v>135.2</v>
      </c>
    </row>
    <row r="953" ht="22.5" customHeight="1">
      <c r="C953" s="4">
        <v>1.8622666E7</v>
      </c>
      <c r="D953" s="17">
        <f t="shared" si="1"/>
        <v>18942714</v>
      </c>
      <c r="E953" s="4">
        <v>7.71</v>
      </c>
      <c r="F953" s="4">
        <v>135.2</v>
      </c>
    </row>
    <row r="954" ht="22.5" customHeight="1">
      <c r="C954" s="4">
        <v>1.8642669E7</v>
      </c>
      <c r="D954" s="17">
        <f t="shared" si="1"/>
        <v>18962717</v>
      </c>
      <c r="E954" s="4">
        <v>7.71</v>
      </c>
      <c r="F954" s="4">
        <v>135.2</v>
      </c>
    </row>
    <row r="955" ht="22.5" customHeight="1">
      <c r="C955" s="4">
        <v>1.8662672E7</v>
      </c>
      <c r="D955" s="17">
        <f t="shared" si="1"/>
        <v>18982720</v>
      </c>
      <c r="E955" s="4">
        <v>7.71</v>
      </c>
      <c r="F955" s="4">
        <v>135.1</v>
      </c>
    </row>
    <row r="956" ht="22.5" customHeight="1">
      <c r="C956" s="4">
        <v>1.8682675E7</v>
      </c>
      <c r="D956" s="17">
        <f t="shared" si="1"/>
        <v>19002723</v>
      </c>
      <c r="E956" s="4">
        <v>7.72</v>
      </c>
      <c r="F956" s="4">
        <v>135.1</v>
      </c>
    </row>
    <row r="957" ht="22.5" customHeight="1">
      <c r="C957" s="4">
        <v>1.8702678E7</v>
      </c>
      <c r="D957" s="17">
        <f t="shared" si="1"/>
        <v>19022726</v>
      </c>
      <c r="E957" s="4">
        <v>7.71</v>
      </c>
      <c r="F957" s="4">
        <v>135.2</v>
      </c>
    </row>
    <row r="958" ht="22.5" customHeight="1">
      <c r="C958" s="4">
        <v>1.872268E7</v>
      </c>
      <c r="D958" s="17">
        <f t="shared" si="1"/>
        <v>19042728</v>
      </c>
      <c r="E958" s="4">
        <v>7.71</v>
      </c>
      <c r="F958" s="4">
        <v>135.2</v>
      </c>
    </row>
    <row r="959" ht="22.5" customHeight="1">
      <c r="C959" s="4">
        <v>1.8742683E7</v>
      </c>
      <c r="D959" s="17">
        <f t="shared" si="1"/>
        <v>19062731</v>
      </c>
      <c r="E959" s="4">
        <v>7.71</v>
      </c>
      <c r="F959" s="4">
        <v>135.1</v>
      </c>
    </row>
    <row r="960" ht="22.5" customHeight="1">
      <c r="C960" s="4">
        <v>1.8762686E7</v>
      </c>
      <c r="D960" s="17">
        <f t="shared" si="1"/>
        <v>19082734</v>
      </c>
      <c r="E960" s="4">
        <v>7.71</v>
      </c>
      <c r="F960" s="4">
        <v>135.1</v>
      </c>
    </row>
    <row r="961" ht="22.5" customHeight="1">
      <c r="C961" s="4">
        <v>1.8782689E7</v>
      </c>
      <c r="D961" s="17">
        <f t="shared" si="1"/>
        <v>19102737</v>
      </c>
      <c r="E961" s="4">
        <v>7.71</v>
      </c>
      <c r="F961" s="4">
        <v>135.0</v>
      </c>
    </row>
    <row r="962" ht="22.5" customHeight="1">
      <c r="C962" s="4">
        <v>1.8802692E7</v>
      </c>
      <c r="D962" s="17">
        <f t="shared" si="1"/>
        <v>19122740</v>
      </c>
      <c r="E962" s="4">
        <v>7.71</v>
      </c>
      <c r="F962" s="4">
        <v>135.1</v>
      </c>
    </row>
    <row r="963" ht="22.5" customHeight="1">
      <c r="C963" s="4">
        <v>1.8822694E7</v>
      </c>
      <c r="D963" s="17">
        <f t="shared" si="1"/>
        <v>19142742</v>
      </c>
      <c r="E963" s="4">
        <v>7.71</v>
      </c>
      <c r="F963" s="4">
        <v>135.1</v>
      </c>
    </row>
    <row r="964" ht="22.5" customHeight="1">
      <c r="C964" s="4">
        <v>1.8842697E7</v>
      </c>
      <c r="D964" s="17">
        <f t="shared" si="1"/>
        <v>19162745</v>
      </c>
      <c r="E964" s="4">
        <v>7.71</v>
      </c>
      <c r="F964" s="4">
        <v>135.1</v>
      </c>
    </row>
    <row r="965" ht="22.5" customHeight="1">
      <c r="C965" s="4">
        <v>1.8862701E7</v>
      </c>
      <c r="D965" s="17">
        <f t="shared" si="1"/>
        <v>19182749</v>
      </c>
      <c r="E965" s="4">
        <v>7.71</v>
      </c>
      <c r="F965" s="4">
        <v>135.1</v>
      </c>
    </row>
    <row r="966" ht="22.5" customHeight="1">
      <c r="C966" s="4">
        <v>1.8882704E7</v>
      </c>
      <c r="D966" s="17">
        <f t="shared" si="1"/>
        <v>19202752</v>
      </c>
      <c r="E966" s="4">
        <v>7.71</v>
      </c>
      <c r="F966" s="4">
        <v>135.1</v>
      </c>
    </row>
    <row r="967" ht="22.5" customHeight="1">
      <c r="C967" s="4">
        <v>1.8902707E7</v>
      </c>
      <c r="D967" s="17">
        <f t="shared" si="1"/>
        <v>19222755</v>
      </c>
      <c r="E967" s="4">
        <v>7.71</v>
      </c>
      <c r="F967" s="4">
        <v>135.1</v>
      </c>
    </row>
    <row r="968" ht="22.5" customHeight="1">
      <c r="C968" s="4">
        <v>1.892271E7</v>
      </c>
      <c r="D968" s="17">
        <f t="shared" si="1"/>
        <v>19242758</v>
      </c>
      <c r="E968" s="4">
        <v>7.71</v>
      </c>
      <c r="F968" s="4">
        <v>135.1</v>
      </c>
    </row>
    <row r="969" ht="22.5" customHeight="1">
      <c r="C969" s="4">
        <v>1.8942712E7</v>
      </c>
      <c r="D969" s="17">
        <f t="shared" si="1"/>
        <v>19262760</v>
      </c>
      <c r="E969" s="4">
        <v>7.71</v>
      </c>
      <c r="F969" s="4">
        <v>135.0</v>
      </c>
    </row>
    <row r="970" ht="22.5" customHeight="1">
      <c r="C970" s="4">
        <v>1.8962715E7</v>
      </c>
      <c r="D970" s="17">
        <f t="shared" si="1"/>
        <v>19282763</v>
      </c>
      <c r="E970" s="4">
        <v>7.71</v>
      </c>
      <c r="F970" s="4">
        <v>135.0</v>
      </c>
    </row>
    <row r="971" ht="22.5" customHeight="1">
      <c r="C971" s="4">
        <v>1.8982718E7</v>
      </c>
      <c r="D971" s="17">
        <f t="shared" si="1"/>
        <v>19302766</v>
      </c>
      <c r="E971" s="4">
        <v>7.71</v>
      </c>
      <c r="F971" s="4">
        <v>135.0</v>
      </c>
    </row>
    <row r="972" ht="22.5" customHeight="1">
      <c r="C972" s="4">
        <v>1.9002721E7</v>
      </c>
      <c r="D972" s="17">
        <f t="shared" si="1"/>
        <v>19322769</v>
      </c>
      <c r="E972" s="4">
        <v>7.7</v>
      </c>
      <c r="F972" s="4">
        <v>135.0</v>
      </c>
    </row>
    <row r="973" ht="22.5" customHeight="1">
      <c r="C973" s="4">
        <v>1.9022724E7</v>
      </c>
      <c r="D973" s="17">
        <f t="shared" si="1"/>
        <v>19342772</v>
      </c>
      <c r="E973" s="4">
        <v>7.7</v>
      </c>
      <c r="F973" s="4">
        <v>134.9</v>
      </c>
    </row>
    <row r="974" ht="22.5" customHeight="1">
      <c r="C974" s="4">
        <v>1.9042726E7</v>
      </c>
      <c r="D974" s="17">
        <f t="shared" si="1"/>
        <v>19362774</v>
      </c>
      <c r="E974" s="4">
        <v>7.7</v>
      </c>
      <c r="F974" s="4">
        <v>135.0</v>
      </c>
    </row>
    <row r="975" ht="22.5" customHeight="1">
      <c r="C975" s="4">
        <v>1.9062729E7</v>
      </c>
      <c r="D975" s="17">
        <f t="shared" si="1"/>
        <v>19382777</v>
      </c>
      <c r="E975" s="4">
        <v>7.7</v>
      </c>
      <c r="F975" s="4">
        <v>135.0</v>
      </c>
    </row>
    <row r="976" ht="22.5" customHeight="1">
      <c r="C976" s="4">
        <v>1.9082732E7</v>
      </c>
      <c r="D976" s="17">
        <f t="shared" si="1"/>
        <v>19402780</v>
      </c>
      <c r="E976" s="4">
        <v>7.7</v>
      </c>
      <c r="F976" s="4">
        <v>135.0</v>
      </c>
    </row>
    <row r="977" ht="22.5" customHeight="1">
      <c r="C977" s="4">
        <v>1.9102735E7</v>
      </c>
      <c r="D977" s="17">
        <f t="shared" si="1"/>
        <v>19422783</v>
      </c>
      <c r="E977" s="4">
        <v>7.7</v>
      </c>
      <c r="F977" s="4">
        <v>134.9</v>
      </c>
    </row>
    <row r="978" ht="22.5" customHeight="1">
      <c r="C978" s="4">
        <v>1.9122738E7</v>
      </c>
      <c r="D978" s="17">
        <f t="shared" si="1"/>
        <v>19442786</v>
      </c>
      <c r="E978" s="4">
        <v>7.7</v>
      </c>
      <c r="F978" s="4">
        <v>135.0</v>
      </c>
    </row>
    <row r="979" ht="22.5" customHeight="1">
      <c r="C979" s="4">
        <v>1.914274E7</v>
      </c>
      <c r="D979" s="17">
        <f t="shared" si="1"/>
        <v>19462788</v>
      </c>
      <c r="E979" s="4">
        <v>7.7</v>
      </c>
      <c r="F979" s="4">
        <v>134.9</v>
      </c>
    </row>
    <row r="980" ht="22.5" customHeight="1">
      <c r="C980" s="4">
        <v>1.9162744E7</v>
      </c>
      <c r="D980" s="17">
        <f t="shared" si="1"/>
        <v>19482792</v>
      </c>
      <c r="E980" s="4">
        <v>7.7</v>
      </c>
      <c r="F980" s="4">
        <v>134.9</v>
      </c>
    </row>
    <row r="981" ht="22.5" customHeight="1">
      <c r="C981" s="4">
        <v>1.9182747E7</v>
      </c>
      <c r="D981" s="17">
        <f t="shared" si="1"/>
        <v>19502795</v>
      </c>
      <c r="E981" s="4">
        <v>7.7</v>
      </c>
      <c r="F981" s="4">
        <v>135.0</v>
      </c>
    </row>
    <row r="982" ht="22.5" customHeight="1">
      <c r="C982" s="4">
        <v>1.920275E7</v>
      </c>
      <c r="D982" s="17">
        <f t="shared" si="1"/>
        <v>19522798</v>
      </c>
      <c r="E982" s="4">
        <v>7.7</v>
      </c>
      <c r="F982" s="4">
        <v>134.9</v>
      </c>
    </row>
    <row r="983" ht="22.5" customHeight="1">
      <c r="C983" s="4">
        <v>1.9222753E7</v>
      </c>
      <c r="D983" s="17">
        <f t="shared" si="1"/>
        <v>19542801</v>
      </c>
      <c r="E983" s="4">
        <v>7.7</v>
      </c>
      <c r="F983" s="4">
        <v>134.9</v>
      </c>
    </row>
    <row r="984" ht="22.5" customHeight="1">
      <c r="C984" s="4">
        <v>1.9242756E7</v>
      </c>
      <c r="D984" s="17">
        <f t="shared" si="1"/>
        <v>19562804</v>
      </c>
      <c r="E984" s="4">
        <v>7.7</v>
      </c>
      <c r="F984" s="4">
        <v>134.9</v>
      </c>
    </row>
    <row r="985" ht="22.5" customHeight="1">
      <c r="C985" s="4">
        <v>1.9262758E7</v>
      </c>
      <c r="D985" s="17">
        <f t="shared" si="1"/>
        <v>19582806</v>
      </c>
      <c r="E985" s="4">
        <v>7.7</v>
      </c>
      <c r="F985" s="4">
        <v>134.9</v>
      </c>
    </row>
    <row r="986" ht="22.5" customHeight="1">
      <c r="C986" s="4">
        <v>1.9282761E7</v>
      </c>
      <c r="D986" s="17">
        <f t="shared" si="1"/>
        <v>19602809</v>
      </c>
      <c r="E986" s="4">
        <v>7.7</v>
      </c>
      <c r="F986" s="4">
        <v>134.9</v>
      </c>
    </row>
    <row r="987" ht="22.5" customHeight="1">
      <c r="C987" s="4">
        <v>1.9302764E7</v>
      </c>
      <c r="D987" s="17">
        <f t="shared" si="1"/>
        <v>19622812</v>
      </c>
      <c r="E987" s="4">
        <v>7.7</v>
      </c>
      <c r="F987" s="4">
        <v>134.9</v>
      </c>
    </row>
    <row r="988" ht="22.5" customHeight="1">
      <c r="C988" s="4">
        <v>1.9322767E7</v>
      </c>
      <c r="D988" s="17">
        <f t="shared" si="1"/>
        <v>19642815</v>
      </c>
      <c r="E988" s="4">
        <v>7.7</v>
      </c>
      <c r="F988" s="4">
        <v>134.9</v>
      </c>
    </row>
    <row r="989" ht="22.5" customHeight="1">
      <c r="C989" s="4">
        <v>1.934277E7</v>
      </c>
      <c r="D989" s="17">
        <f t="shared" si="1"/>
        <v>19662818</v>
      </c>
      <c r="E989" s="4">
        <v>7.7</v>
      </c>
      <c r="F989" s="4">
        <v>134.9</v>
      </c>
    </row>
    <row r="990" ht="22.5" customHeight="1">
      <c r="C990" s="4">
        <v>1.9362772E7</v>
      </c>
      <c r="D990" s="17">
        <f t="shared" si="1"/>
        <v>19682820</v>
      </c>
      <c r="E990" s="4">
        <v>7.7</v>
      </c>
      <c r="F990" s="4">
        <v>134.9</v>
      </c>
    </row>
    <row r="991" ht="22.5" customHeight="1">
      <c r="C991" s="4">
        <v>1.9382775E7</v>
      </c>
      <c r="D991" s="17">
        <f t="shared" si="1"/>
        <v>19702823</v>
      </c>
      <c r="E991" s="4">
        <v>7.7</v>
      </c>
      <c r="F991" s="4">
        <v>134.8</v>
      </c>
    </row>
    <row r="992" ht="22.5" customHeight="1">
      <c r="C992" s="4">
        <v>1.9402778E7</v>
      </c>
      <c r="D992" s="17">
        <f t="shared" si="1"/>
        <v>19722826</v>
      </c>
      <c r="E992" s="4">
        <v>7.7</v>
      </c>
      <c r="F992" s="4">
        <v>134.8</v>
      </c>
    </row>
    <row r="993" ht="22.5" customHeight="1">
      <c r="C993" s="4">
        <v>1.9422781E7</v>
      </c>
      <c r="D993" s="17">
        <f t="shared" si="1"/>
        <v>19742829</v>
      </c>
      <c r="E993" s="4">
        <v>7.7</v>
      </c>
      <c r="F993" s="4">
        <v>134.8</v>
      </c>
    </row>
    <row r="994" ht="22.5" customHeight="1">
      <c r="C994" s="4">
        <v>1.9442784E7</v>
      </c>
      <c r="D994" s="17">
        <f t="shared" si="1"/>
        <v>19762832</v>
      </c>
      <c r="E994" s="4">
        <v>7.7</v>
      </c>
      <c r="F994" s="4">
        <v>134.9</v>
      </c>
    </row>
    <row r="995" ht="22.5" customHeight="1">
      <c r="C995" s="4">
        <v>1.9462788E7</v>
      </c>
      <c r="D995" s="17">
        <f t="shared" si="1"/>
        <v>19782836</v>
      </c>
      <c r="E995" s="4">
        <v>7.7</v>
      </c>
      <c r="F995" s="4">
        <v>134.8</v>
      </c>
    </row>
    <row r="996" ht="22.5" customHeight="1">
      <c r="C996" s="4">
        <v>1.948279E7</v>
      </c>
      <c r="D996" s="17">
        <f t="shared" si="1"/>
        <v>19802838</v>
      </c>
      <c r="E996" s="4">
        <v>7.7</v>
      </c>
      <c r="F996" s="4">
        <v>134.8</v>
      </c>
    </row>
    <row r="997" ht="22.5" customHeight="1">
      <c r="C997" s="4">
        <v>1.9502793E7</v>
      </c>
      <c r="D997" s="17">
        <f t="shared" si="1"/>
        <v>19822841</v>
      </c>
      <c r="E997" s="4">
        <v>7.7</v>
      </c>
      <c r="F997" s="4">
        <v>134.8</v>
      </c>
    </row>
    <row r="998" ht="22.5" customHeight="1">
      <c r="C998" s="4">
        <v>1.9522796E7</v>
      </c>
      <c r="D998" s="17">
        <f t="shared" si="1"/>
        <v>19842844</v>
      </c>
      <c r="E998" s="4">
        <v>7.7</v>
      </c>
      <c r="F998" s="4">
        <v>134.8</v>
      </c>
    </row>
    <row r="999" ht="22.5" customHeight="1">
      <c r="C999" s="4">
        <v>1.9542799E7</v>
      </c>
      <c r="D999" s="17">
        <f t="shared" si="1"/>
        <v>19862847</v>
      </c>
      <c r="E999" s="4">
        <v>7.69</v>
      </c>
      <c r="F999" s="4">
        <v>134.7</v>
      </c>
    </row>
    <row r="1000" ht="22.5" customHeight="1">
      <c r="C1000" s="4">
        <v>1.9562802E7</v>
      </c>
      <c r="D1000" s="17">
        <f t="shared" si="1"/>
        <v>19882850</v>
      </c>
      <c r="E1000" s="4">
        <v>7.69</v>
      </c>
      <c r="F1000" s="4">
        <v>134.8</v>
      </c>
    </row>
    <row r="1001" ht="22.5" customHeight="1">
      <c r="C1001" s="4">
        <v>1.9582804E7</v>
      </c>
      <c r="D1001" s="17">
        <f t="shared" si="1"/>
        <v>19902852</v>
      </c>
      <c r="E1001" s="4">
        <v>7.69</v>
      </c>
      <c r="F1001" s="4">
        <v>134.8</v>
      </c>
    </row>
    <row r="1002" ht="22.5" customHeight="1">
      <c r="C1002" s="4">
        <v>1.9602807E7</v>
      </c>
      <c r="D1002" s="17">
        <f t="shared" si="1"/>
        <v>19922855</v>
      </c>
      <c r="E1002" s="4">
        <v>7.69</v>
      </c>
      <c r="F1002" s="4">
        <v>134.7</v>
      </c>
    </row>
    <row r="1003" ht="22.5" customHeight="1">
      <c r="C1003" s="4">
        <v>1.962281E7</v>
      </c>
      <c r="D1003" s="17">
        <f t="shared" si="1"/>
        <v>19942858</v>
      </c>
      <c r="E1003" s="4">
        <v>7.69</v>
      </c>
      <c r="F1003" s="4">
        <v>134.7</v>
      </c>
    </row>
    <row r="1004" ht="22.5" customHeight="1">
      <c r="C1004" s="4">
        <v>1.9642813E7</v>
      </c>
      <c r="D1004" s="17">
        <f t="shared" si="1"/>
        <v>19962861</v>
      </c>
      <c r="E1004" s="4">
        <v>7.69</v>
      </c>
      <c r="F1004" s="4">
        <v>134.7</v>
      </c>
    </row>
    <row r="1005" ht="22.5" customHeight="1">
      <c r="C1005" s="4">
        <v>1.9662816E7</v>
      </c>
      <c r="D1005" s="17">
        <f t="shared" si="1"/>
        <v>19982864</v>
      </c>
      <c r="E1005" s="4">
        <v>7.69</v>
      </c>
      <c r="F1005" s="4">
        <v>134.8</v>
      </c>
    </row>
    <row r="1006" ht="22.5" customHeight="1">
      <c r="C1006" s="4">
        <v>1.9682819E7</v>
      </c>
      <c r="D1006" s="17">
        <f t="shared" si="1"/>
        <v>20002867</v>
      </c>
      <c r="E1006" s="4">
        <v>7.69</v>
      </c>
      <c r="F1006" s="4">
        <v>134.7</v>
      </c>
    </row>
    <row r="1007" ht="22.5" customHeight="1">
      <c r="C1007" s="4">
        <v>1.9702821E7</v>
      </c>
      <c r="D1007" s="17">
        <f t="shared" si="1"/>
        <v>20022869</v>
      </c>
      <c r="E1007" s="4">
        <v>7.69</v>
      </c>
      <c r="F1007" s="4">
        <v>134.7</v>
      </c>
    </row>
    <row r="1008" ht="22.5" customHeight="1">
      <c r="C1008" s="4">
        <v>1.9722824E7</v>
      </c>
      <c r="D1008" s="17">
        <f t="shared" si="1"/>
        <v>20042872</v>
      </c>
      <c r="E1008" s="4">
        <v>7.69</v>
      </c>
      <c r="F1008" s="4">
        <v>134.7</v>
      </c>
    </row>
    <row r="1009" ht="22.5" customHeight="1">
      <c r="C1009" s="4">
        <v>1.9742828E7</v>
      </c>
      <c r="D1009" s="17">
        <f t="shared" si="1"/>
        <v>20062876</v>
      </c>
      <c r="E1009" s="4">
        <v>7.69</v>
      </c>
      <c r="F1009" s="4">
        <v>134.7</v>
      </c>
    </row>
    <row r="1010" ht="22.5" customHeight="1">
      <c r="C1010" s="4">
        <v>1.9762831E7</v>
      </c>
      <c r="D1010" s="17">
        <f t="shared" si="1"/>
        <v>20082879</v>
      </c>
      <c r="E1010" s="4">
        <v>7.69</v>
      </c>
      <c r="F1010" s="4">
        <v>134.7</v>
      </c>
    </row>
    <row r="1011" ht="22.5" customHeight="1">
      <c r="C1011" s="4">
        <v>1.9782834E7</v>
      </c>
      <c r="D1011" s="17">
        <f t="shared" si="1"/>
        <v>20102882</v>
      </c>
      <c r="E1011" s="4">
        <v>7.69</v>
      </c>
      <c r="F1011" s="4">
        <v>134.7</v>
      </c>
    </row>
    <row r="1012" ht="22.5" customHeight="1">
      <c r="C1012" s="4">
        <v>1.9802836E7</v>
      </c>
      <c r="D1012" s="17">
        <f t="shared" si="1"/>
        <v>20122884</v>
      </c>
      <c r="E1012" s="4">
        <v>7.69</v>
      </c>
      <c r="F1012" s="4">
        <v>134.7</v>
      </c>
    </row>
    <row r="1013" ht="22.5" customHeight="1">
      <c r="C1013" s="4">
        <v>1.9822839E7</v>
      </c>
      <c r="D1013" s="17">
        <f t="shared" si="1"/>
        <v>20142887</v>
      </c>
      <c r="E1013" s="4">
        <v>7.69</v>
      </c>
      <c r="F1013" s="4">
        <v>134.7</v>
      </c>
    </row>
    <row r="1014" ht="22.5" customHeight="1">
      <c r="C1014" s="4">
        <v>1.9842842E7</v>
      </c>
      <c r="D1014" s="17">
        <f t="shared" si="1"/>
        <v>20162890</v>
      </c>
      <c r="E1014" s="4">
        <v>7.69</v>
      </c>
      <c r="F1014" s="4">
        <v>134.7</v>
      </c>
    </row>
    <row r="1015" ht="22.5" customHeight="1">
      <c r="C1015" s="4">
        <v>1.9862845E7</v>
      </c>
      <c r="D1015" s="17">
        <f t="shared" si="1"/>
        <v>20182893</v>
      </c>
      <c r="E1015" s="4">
        <v>7.69</v>
      </c>
      <c r="F1015" s="4">
        <v>134.7</v>
      </c>
    </row>
    <row r="1016" ht="22.5" customHeight="1">
      <c r="C1016" s="4">
        <v>1.9882848E7</v>
      </c>
      <c r="D1016" s="17">
        <f t="shared" si="1"/>
        <v>20202896</v>
      </c>
      <c r="E1016" s="4">
        <v>7.69</v>
      </c>
      <c r="F1016" s="4">
        <v>134.7</v>
      </c>
    </row>
    <row r="1017" ht="22.5" customHeight="1">
      <c r="C1017" s="4">
        <v>1.9902851E7</v>
      </c>
      <c r="D1017" s="17">
        <f t="shared" si="1"/>
        <v>20222899</v>
      </c>
      <c r="E1017" s="4">
        <v>7.69</v>
      </c>
      <c r="F1017" s="4">
        <v>134.6</v>
      </c>
    </row>
    <row r="1018" ht="22.5" customHeight="1">
      <c r="C1018" s="4">
        <v>1.9922853E7</v>
      </c>
      <c r="D1018" s="17">
        <f t="shared" si="1"/>
        <v>20242901</v>
      </c>
      <c r="E1018" s="4">
        <v>7.68</v>
      </c>
      <c r="F1018" s="4">
        <v>134.6</v>
      </c>
    </row>
    <row r="1019" ht="22.5" customHeight="1">
      <c r="C1019" s="4">
        <v>1.9942856E7</v>
      </c>
      <c r="D1019" s="17">
        <f t="shared" si="1"/>
        <v>20262904</v>
      </c>
      <c r="E1019" s="4">
        <v>7.69</v>
      </c>
      <c r="F1019" s="4">
        <v>134.7</v>
      </c>
    </row>
    <row r="1020" ht="22.5" customHeight="1">
      <c r="C1020" s="4">
        <v>1.9962859E7</v>
      </c>
      <c r="D1020" s="17">
        <f t="shared" si="1"/>
        <v>20282907</v>
      </c>
      <c r="E1020" s="4">
        <v>7.68</v>
      </c>
      <c r="F1020" s="4">
        <v>134.6</v>
      </c>
    </row>
    <row r="1021" ht="22.5" customHeight="1">
      <c r="C1021" s="4">
        <v>1.9982862E7</v>
      </c>
      <c r="D1021" s="17">
        <f t="shared" si="1"/>
        <v>20302910</v>
      </c>
      <c r="E1021" s="4">
        <v>7.68</v>
      </c>
      <c r="F1021" s="4">
        <v>134.7</v>
      </c>
    </row>
    <row r="1022" ht="22.5" customHeight="1">
      <c r="C1022" s="4">
        <v>2.0002865E7</v>
      </c>
      <c r="D1022" s="17">
        <f t="shared" si="1"/>
        <v>20322913</v>
      </c>
      <c r="E1022" s="4">
        <v>7.68</v>
      </c>
      <c r="F1022" s="4">
        <v>134.6</v>
      </c>
    </row>
    <row r="1023" ht="22.5" customHeight="1">
      <c r="C1023" s="4">
        <v>2.0022868E7</v>
      </c>
      <c r="D1023" s="17">
        <f t="shared" si="1"/>
        <v>20342916</v>
      </c>
      <c r="E1023" s="4">
        <v>7.68</v>
      </c>
      <c r="F1023" s="4">
        <v>134.6</v>
      </c>
    </row>
    <row r="1024" ht="22.5" customHeight="1">
      <c r="C1024" s="4">
        <v>2.0042871E7</v>
      </c>
      <c r="D1024" s="17">
        <f t="shared" si="1"/>
        <v>20362919</v>
      </c>
      <c r="E1024" s="4">
        <v>7.68</v>
      </c>
      <c r="F1024" s="4">
        <v>134.6</v>
      </c>
    </row>
    <row r="1025" ht="22.5" customHeight="1">
      <c r="C1025" s="4">
        <v>2.0062874E7</v>
      </c>
      <c r="D1025" s="17">
        <f t="shared" si="1"/>
        <v>20382922</v>
      </c>
      <c r="E1025" s="4">
        <v>7.68</v>
      </c>
      <c r="F1025" s="4">
        <v>134.6</v>
      </c>
    </row>
    <row r="1026" ht="22.5" customHeight="1">
      <c r="C1026" s="4">
        <v>2.0082877E7</v>
      </c>
      <c r="D1026" s="17">
        <f t="shared" si="1"/>
        <v>20402925</v>
      </c>
      <c r="E1026" s="4">
        <v>7.68</v>
      </c>
      <c r="F1026" s="4">
        <v>134.6</v>
      </c>
    </row>
    <row r="1027" ht="22.5" customHeight="1">
      <c r="C1027" s="4">
        <v>2.010288E7</v>
      </c>
      <c r="D1027" s="17">
        <f t="shared" si="1"/>
        <v>20422928</v>
      </c>
      <c r="E1027" s="4">
        <v>7.68</v>
      </c>
      <c r="F1027" s="4">
        <v>134.6</v>
      </c>
    </row>
    <row r="1028" ht="22.5" customHeight="1">
      <c r="C1028" s="4">
        <v>2.0122883E7</v>
      </c>
      <c r="D1028" s="17">
        <f t="shared" si="1"/>
        <v>20442931</v>
      </c>
      <c r="E1028" s="4">
        <v>7.68</v>
      </c>
      <c r="F1028" s="4">
        <v>134.6</v>
      </c>
    </row>
    <row r="1029" ht="22.5" customHeight="1">
      <c r="C1029" s="4">
        <v>2.0142885E7</v>
      </c>
      <c r="D1029" s="17">
        <f t="shared" si="1"/>
        <v>20462933</v>
      </c>
      <c r="E1029" s="4">
        <v>7.68</v>
      </c>
      <c r="F1029" s="4">
        <v>134.6</v>
      </c>
    </row>
    <row r="1030" ht="22.5" customHeight="1">
      <c r="C1030" s="4">
        <v>2.0162888E7</v>
      </c>
      <c r="D1030" s="17">
        <f t="shared" si="1"/>
        <v>20482936</v>
      </c>
      <c r="E1030" s="4">
        <v>7.68</v>
      </c>
      <c r="F1030" s="4">
        <v>134.6</v>
      </c>
    </row>
    <row r="1031" ht="22.5" customHeight="1">
      <c r="C1031" s="4">
        <v>2.0182891E7</v>
      </c>
      <c r="D1031" s="17">
        <f t="shared" si="1"/>
        <v>20502939</v>
      </c>
      <c r="E1031" s="4">
        <v>7.68</v>
      </c>
      <c r="F1031" s="4">
        <v>134.6</v>
      </c>
    </row>
    <row r="1032" ht="22.5" customHeight="1">
      <c r="C1032" s="4">
        <v>2.0202894E7</v>
      </c>
      <c r="D1032" s="17">
        <f t="shared" si="1"/>
        <v>20522942</v>
      </c>
      <c r="E1032" s="4">
        <v>7.68</v>
      </c>
      <c r="F1032" s="4">
        <v>134.5</v>
      </c>
    </row>
    <row r="1033" ht="22.5" customHeight="1">
      <c r="C1033" s="4">
        <v>2.0222897E7</v>
      </c>
      <c r="D1033" s="17">
        <f t="shared" si="1"/>
        <v>20542945</v>
      </c>
      <c r="E1033" s="4">
        <v>7.68</v>
      </c>
      <c r="F1033" s="4">
        <v>134.6</v>
      </c>
    </row>
    <row r="1034" ht="22.5" customHeight="1">
      <c r="C1034" s="4">
        <v>2.0242899E7</v>
      </c>
      <c r="D1034" s="17">
        <f t="shared" si="1"/>
        <v>20562947</v>
      </c>
      <c r="E1034" s="4">
        <v>7.68</v>
      </c>
      <c r="F1034" s="4">
        <v>134.5</v>
      </c>
    </row>
    <row r="1035" ht="22.5" customHeight="1">
      <c r="C1035" s="4">
        <v>2.0262902E7</v>
      </c>
      <c r="D1035" s="17">
        <f t="shared" si="1"/>
        <v>20582950</v>
      </c>
      <c r="E1035" s="4">
        <v>7.68</v>
      </c>
      <c r="F1035" s="4">
        <v>134.5</v>
      </c>
    </row>
    <row r="1036" ht="22.5" customHeight="1">
      <c r="C1036" s="4">
        <v>2.0282905E7</v>
      </c>
      <c r="D1036" s="17">
        <f t="shared" si="1"/>
        <v>20602953</v>
      </c>
      <c r="E1036" s="4">
        <v>7.68</v>
      </c>
      <c r="F1036" s="4">
        <v>134.5</v>
      </c>
    </row>
    <row r="1037" ht="22.5" customHeight="1">
      <c r="C1037" s="4">
        <v>2.0302909E7</v>
      </c>
      <c r="D1037" s="17">
        <f t="shared" si="1"/>
        <v>20622957</v>
      </c>
      <c r="E1037" s="4">
        <v>7.68</v>
      </c>
      <c r="F1037" s="4">
        <v>134.5</v>
      </c>
    </row>
    <row r="1038" ht="22.5" customHeight="1">
      <c r="C1038" s="4">
        <v>2.0322912E7</v>
      </c>
      <c r="D1038" s="17">
        <f t="shared" si="1"/>
        <v>20642960</v>
      </c>
      <c r="E1038" s="4">
        <v>7.68</v>
      </c>
      <c r="F1038" s="4">
        <v>134.5</v>
      </c>
    </row>
    <row r="1039" ht="22.5" customHeight="1">
      <c r="C1039" s="4">
        <v>2.0342915E7</v>
      </c>
      <c r="D1039" s="17">
        <f t="shared" si="1"/>
        <v>20662963</v>
      </c>
      <c r="E1039" s="4">
        <v>7.68</v>
      </c>
      <c r="F1039" s="4">
        <v>134.5</v>
      </c>
    </row>
    <row r="1040" ht="22.5" customHeight="1">
      <c r="C1040" s="4">
        <v>2.0362917E7</v>
      </c>
      <c r="D1040" s="17">
        <f t="shared" si="1"/>
        <v>20682965</v>
      </c>
      <c r="E1040" s="4">
        <v>7.68</v>
      </c>
      <c r="F1040" s="4">
        <v>134.5</v>
      </c>
    </row>
    <row r="1041" ht="22.5" customHeight="1">
      <c r="C1041" s="4">
        <v>2.038292E7</v>
      </c>
      <c r="D1041" s="17">
        <f t="shared" si="1"/>
        <v>20702968</v>
      </c>
      <c r="E1041" s="4">
        <v>7.68</v>
      </c>
      <c r="F1041" s="4">
        <v>134.5</v>
      </c>
    </row>
    <row r="1042" ht="22.5" customHeight="1">
      <c r="C1042" s="4">
        <v>2.0402923E7</v>
      </c>
      <c r="D1042" s="17">
        <f t="shared" si="1"/>
        <v>20722971</v>
      </c>
      <c r="E1042" s="4">
        <v>7.68</v>
      </c>
      <c r="F1042" s="4">
        <v>134.5</v>
      </c>
    </row>
    <row r="1043" ht="22.5" customHeight="1">
      <c r="C1043" s="4">
        <v>2.0422926E7</v>
      </c>
      <c r="D1043" s="17">
        <f t="shared" si="1"/>
        <v>20742974</v>
      </c>
      <c r="E1043" s="4">
        <v>7.68</v>
      </c>
      <c r="F1043" s="4">
        <v>134.5</v>
      </c>
    </row>
    <row r="1044" ht="22.5" customHeight="1">
      <c r="C1044" s="4">
        <v>2.0442929E7</v>
      </c>
      <c r="D1044" s="17">
        <f t="shared" si="1"/>
        <v>20762977</v>
      </c>
      <c r="E1044" s="4">
        <v>7.68</v>
      </c>
      <c r="F1044" s="4">
        <v>134.4</v>
      </c>
    </row>
    <row r="1045" ht="22.5" customHeight="1">
      <c r="C1045" s="4">
        <v>2.0462931E7</v>
      </c>
      <c r="D1045" s="17">
        <f t="shared" si="1"/>
        <v>20782979</v>
      </c>
      <c r="E1045" s="4">
        <v>7.68</v>
      </c>
      <c r="F1045" s="4">
        <v>134.5</v>
      </c>
    </row>
    <row r="1046" ht="22.5" customHeight="1">
      <c r="C1046" s="4">
        <v>2.0482934E7</v>
      </c>
      <c r="D1046" s="17">
        <f t="shared" si="1"/>
        <v>20802982</v>
      </c>
      <c r="E1046" s="4">
        <v>7.68</v>
      </c>
      <c r="F1046" s="4">
        <v>134.5</v>
      </c>
    </row>
    <row r="1047" ht="22.5" customHeight="1">
      <c r="C1047" s="4">
        <v>2.0502937E7</v>
      </c>
      <c r="D1047" s="17">
        <f t="shared" si="1"/>
        <v>20822985</v>
      </c>
      <c r="E1047" s="4">
        <v>7.68</v>
      </c>
      <c r="F1047" s="4">
        <v>134.5</v>
      </c>
    </row>
    <row r="1048" ht="22.5" customHeight="1">
      <c r="C1048" s="4">
        <v>2.052294E7</v>
      </c>
      <c r="D1048" s="17">
        <f t="shared" si="1"/>
        <v>20842988</v>
      </c>
      <c r="E1048" s="4">
        <v>7.68</v>
      </c>
      <c r="F1048" s="4">
        <v>134.4</v>
      </c>
    </row>
    <row r="1049" ht="22.5" customHeight="1">
      <c r="C1049" s="4">
        <v>2.0542943E7</v>
      </c>
      <c r="D1049" s="17">
        <f t="shared" si="1"/>
        <v>20862991</v>
      </c>
      <c r="E1049" s="4">
        <v>7.68</v>
      </c>
      <c r="F1049" s="4">
        <v>134.5</v>
      </c>
    </row>
    <row r="1050" ht="22.5" customHeight="1">
      <c r="C1050" s="4">
        <v>2.0562946E7</v>
      </c>
      <c r="D1050" s="17">
        <f t="shared" si="1"/>
        <v>20882994</v>
      </c>
      <c r="E1050" s="4">
        <v>7.68</v>
      </c>
      <c r="F1050" s="4">
        <v>134.5</v>
      </c>
    </row>
    <row r="1051" ht="22.5" customHeight="1">
      <c r="C1051" s="4">
        <v>2.0582949E7</v>
      </c>
      <c r="D1051" s="17">
        <f t="shared" si="1"/>
        <v>20902997</v>
      </c>
      <c r="E1051" s="4">
        <v>7.68</v>
      </c>
      <c r="F1051" s="4">
        <v>134.4</v>
      </c>
    </row>
    <row r="1052" ht="22.5" customHeight="1">
      <c r="C1052" s="4">
        <v>2.0602952E7</v>
      </c>
      <c r="D1052" s="17">
        <f t="shared" si="1"/>
        <v>20923000</v>
      </c>
      <c r="E1052" s="4">
        <v>7.68</v>
      </c>
      <c r="F1052" s="4">
        <v>134.4</v>
      </c>
    </row>
    <row r="1053" ht="22.5" customHeight="1">
      <c r="C1053" s="4">
        <v>2.0622955E7</v>
      </c>
      <c r="D1053" s="17">
        <f t="shared" si="1"/>
        <v>20943003</v>
      </c>
      <c r="E1053" s="4">
        <v>7.67</v>
      </c>
      <c r="F1053" s="4">
        <v>134.4</v>
      </c>
    </row>
    <row r="1054" ht="22.5" customHeight="1">
      <c r="C1054" s="4">
        <v>2.0642958E7</v>
      </c>
      <c r="D1054" s="17">
        <f t="shared" si="1"/>
        <v>20963006</v>
      </c>
      <c r="E1054" s="4">
        <v>7.67</v>
      </c>
      <c r="F1054" s="4">
        <v>134.4</v>
      </c>
    </row>
    <row r="1055" ht="22.5" customHeight="1">
      <c r="C1055" s="4">
        <v>2.0662961E7</v>
      </c>
      <c r="D1055" s="17">
        <f t="shared" si="1"/>
        <v>20983009</v>
      </c>
      <c r="E1055" s="4">
        <v>7.68</v>
      </c>
      <c r="F1055" s="4">
        <v>134.3</v>
      </c>
    </row>
    <row r="1056" ht="22.5" customHeight="1">
      <c r="C1056" s="4">
        <v>2.0682963E7</v>
      </c>
      <c r="D1056" s="17">
        <f t="shared" si="1"/>
        <v>21003011</v>
      </c>
      <c r="E1056" s="4">
        <v>7.67</v>
      </c>
      <c r="F1056" s="4">
        <v>134.4</v>
      </c>
    </row>
    <row r="1057" ht="22.5" customHeight="1">
      <c r="C1057" s="4">
        <v>2.0702966E7</v>
      </c>
      <c r="D1057" s="17">
        <f t="shared" si="1"/>
        <v>21023014</v>
      </c>
      <c r="E1057" s="4">
        <v>7.67</v>
      </c>
      <c r="F1057" s="4">
        <v>134.4</v>
      </c>
    </row>
    <row r="1058" ht="22.5" customHeight="1">
      <c r="C1058" s="4">
        <v>2.0722969E7</v>
      </c>
      <c r="D1058" s="17">
        <f t="shared" si="1"/>
        <v>21043017</v>
      </c>
      <c r="E1058" s="4">
        <v>7.67</v>
      </c>
      <c r="F1058" s="4">
        <v>134.3</v>
      </c>
    </row>
    <row r="1059" ht="22.5" customHeight="1">
      <c r="C1059" s="4">
        <v>2.0742972E7</v>
      </c>
      <c r="D1059" s="17">
        <f t="shared" si="1"/>
        <v>21063020</v>
      </c>
      <c r="E1059" s="4">
        <v>7.67</v>
      </c>
      <c r="F1059" s="4">
        <v>134.3</v>
      </c>
    </row>
    <row r="1060" ht="22.5" customHeight="1">
      <c r="C1060" s="4">
        <v>2.0762975E7</v>
      </c>
      <c r="D1060" s="17">
        <f t="shared" si="1"/>
        <v>21083023</v>
      </c>
      <c r="E1060" s="4">
        <v>7.67</v>
      </c>
      <c r="F1060" s="4">
        <v>134.4</v>
      </c>
    </row>
    <row r="1061" ht="22.5" customHeight="1">
      <c r="C1061" s="4">
        <v>2.0782978E7</v>
      </c>
      <c r="D1061" s="17">
        <f t="shared" si="1"/>
        <v>21103026</v>
      </c>
      <c r="E1061" s="4">
        <v>7.67</v>
      </c>
      <c r="F1061" s="4">
        <v>134.4</v>
      </c>
    </row>
    <row r="1062" ht="22.5" customHeight="1">
      <c r="C1062" s="4">
        <v>2.080298E7</v>
      </c>
      <c r="D1062" s="17">
        <f t="shared" si="1"/>
        <v>21123028</v>
      </c>
      <c r="E1062" s="4">
        <v>7.67</v>
      </c>
      <c r="F1062" s="4">
        <v>134.4</v>
      </c>
    </row>
    <row r="1063" ht="22.5" customHeight="1">
      <c r="C1063" s="4">
        <v>2.0822983E7</v>
      </c>
      <c r="D1063" s="17">
        <f t="shared" si="1"/>
        <v>21143031</v>
      </c>
      <c r="E1063" s="4">
        <v>7.67</v>
      </c>
      <c r="F1063" s="4">
        <v>134.4</v>
      </c>
    </row>
    <row r="1064" ht="22.5" customHeight="1">
      <c r="C1064" s="4">
        <v>2.0842986E7</v>
      </c>
      <c r="D1064" s="17">
        <f t="shared" si="1"/>
        <v>21163034</v>
      </c>
      <c r="E1064" s="4">
        <v>7.67</v>
      </c>
      <c r="F1064" s="4">
        <v>134.3</v>
      </c>
    </row>
    <row r="1065" ht="22.5" customHeight="1">
      <c r="C1065" s="4">
        <v>2.086299E7</v>
      </c>
      <c r="D1065" s="17">
        <f t="shared" si="1"/>
        <v>21183038</v>
      </c>
      <c r="E1065" s="4">
        <v>7.67</v>
      </c>
      <c r="F1065" s="4">
        <v>134.3</v>
      </c>
    </row>
    <row r="1066" ht="22.5" customHeight="1">
      <c r="C1066" s="4">
        <v>2.0882993E7</v>
      </c>
      <c r="D1066" s="17">
        <f t="shared" si="1"/>
        <v>21203041</v>
      </c>
      <c r="E1066" s="4">
        <v>7.67</v>
      </c>
      <c r="F1066" s="4">
        <v>134.3</v>
      </c>
    </row>
    <row r="1067" ht="22.5" customHeight="1">
      <c r="C1067" s="4">
        <v>2.0902995E7</v>
      </c>
      <c r="D1067" s="17">
        <f t="shared" si="1"/>
        <v>21223043</v>
      </c>
      <c r="E1067" s="4">
        <v>7.67</v>
      </c>
      <c r="F1067" s="4">
        <v>134.3</v>
      </c>
    </row>
    <row r="1068" ht="22.5" customHeight="1">
      <c r="C1068" s="4">
        <v>2.0922998E7</v>
      </c>
      <c r="D1068" s="17">
        <f t="shared" si="1"/>
        <v>21243046</v>
      </c>
      <c r="E1068" s="4">
        <v>7.67</v>
      </c>
      <c r="F1068" s="4">
        <v>134.3</v>
      </c>
    </row>
    <row r="1069" ht="22.5" customHeight="1">
      <c r="C1069" s="4">
        <v>2.0943001E7</v>
      </c>
      <c r="D1069" s="17">
        <f t="shared" si="1"/>
        <v>21263049</v>
      </c>
      <c r="E1069" s="4">
        <v>7.67</v>
      </c>
      <c r="F1069" s="4">
        <v>134.3</v>
      </c>
    </row>
    <row r="1070" ht="22.5" customHeight="1">
      <c r="C1070" s="4">
        <v>2.0963004E7</v>
      </c>
      <c r="D1070" s="17">
        <f t="shared" si="1"/>
        <v>21283052</v>
      </c>
      <c r="E1070" s="4">
        <v>7.67</v>
      </c>
      <c r="F1070" s="4">
        <v>134.3</v>
      </c>
    </row>
    <row r="1071" ht="22.5" customHeight="1">
      <c r="C1071" s="4">
        <v>2.0983007E7</v>
      </c>
      <c r="D1071" s="17">
        <f t="shared" si="1"/>
        <v>21303055</v>
      </c>
      <c r="E1071" s="4">
        <v>7.67</v>
      </c>
      <c r="F1071" s="4">
        <v>134.3</v>
      </c>
    </row>
    <row r="1072" ht="22.5" customHeight="1">
      <c r="C1072" s="4">
        <v>2.100301E7</v>
      </c>
      <c r="D1072" s="17">
        <f t="shared" si="1"/>
        <v>21323058</v>
      </c>
      <c r="E1072" s="4">
        <v>7.67</v>
      </c>
      <c r="F1072" s="4">
        <v>134.3</v>
      </c>
    </row>
    <row r="1073" ht="22.5" customHeight="1">
      <c r="C1073" s="4">
        <v>2.1023012E7</v>
      </c>
      <c r="D1073" s="17">
        <f t="shared" si="1"/>
        <v>21343060</v>
      </c>
      <c r="E1073" s="4">
        <v>7.67</v>
      </c>
      <c r="F1073" s="4">
        <v>134.3</v>
      </c>
    </row>
    <row r="1074" ht="22.5" customHeight="1">
      <c r="C1074" s="4">
        <v>2.1043015E7</v>
      </c>
      <c r="D1074" s="17">
        <f t="shared" si="1"/>
        <v>21363063</v>
      </c>
      <c r="E1074" s="4">
        <v>7.67</v>
      </c>
      <c r="F1074" s="4">
        <v>134.2</v>
      </c>
    </row>
    <row r="1075" ht="22.5" customHeight="1">
      <c r="C1075" s="4">
        <v>2.1063018E7</v>
      </c>
      <c r="D1075" s="17">
        <f t="shared" si="1"/>
        <v>21383066</v>
      </c>
      <c r="E1075" s="4">
        <v>7.67</v>
      </c>
      <c r="F1075" s="4">
        <v>134.3</v>
      </c>
    </row>
    <row r="1076" ht="22.5" customHeight="1">
      <c r="C1076" s="4">
        <v>2.1083021E7</v>
      </c>
      <c r="D1076" s="17">
        <f t="shared" si="1"/>
        <v>21403069</v>
      </c>
      <c r="E1076" s="4">
        <v>7.67</v>
      </c>
      <c r="F1076" s="4">
        <v>134.3</v>
      </c>
    </row>
    <row r="1077" ht="22.5" customHeight="1">
      <c r="C1077" s="4">
        <v>2.1103024E7</v>
      </c>
      <c r="D1077" s="17">
        <f t="shared" si="1"/>
        <v>21423072</v>
      </c>
      <c r="E1077" s="4">
        <v>7.66</v>
      </c>
      <c r="F1077" s="4">
        <v>134.3</v>
      </c>
    </row>
    <row r="1078" ht="22.5" customHeight="1">
      <c r="C1078" s="4">
        <v>2.1123026E7</v>
      </c>
      <c r="D1078" s="17">
        <f t="shared" si="1"/>
        <v>21443074</v>
      </c>
      <c r="E1078" s="4">
        <v>7.67</v>
      </c>
      <c r="F1078" s="4">
        <v>134.3</v>
      </c>
    </row>
    <row r="1079" ht="22.5" customHeight="1">
      <c r="C1079" s="4">
        <v>2.114303E7</v>
      </c>
      <c r="D1079" s="17">
        <f t="shared" si="1"/>
        <v>21463078</v>
      </c>
      <c r="E1079" s="4">
        <v>7.67</v>
      </c>
      <c r="F1079" s="4">
        <v>134.2</v>
      </c>
    </row>
    <row r="1080" ht="22.5" customHeight="1">
      <c r="C1080" s="4">
        <v>2.1163033E7</v>
      </c>
      <c r="D1080" s="17">
        <f t="shared" si="1"/>
        <v>21483081</v>
      </c>
      <c r="E1080" s="4">
        <v>7.66</v>
      </c>
      <c r="F1080" s="4">
        <v>134.2</v>
      </c>
    </row>
    <row r="1081" ht="22.5" customHeight="1">
      <c r="C1081" s="4">
        <v>2.1183036E7</v>
      </c>
      <c r="D1081" s="17">
        <f t="shared" si="1"/>
        <v>21503084</v>
      </c>
      <c r="E1081" s="4">
        <v>7.66</v>
      </c>
      <c r="F1081" s="4">
        <v>134.2</v>
      </c>
    </row>
    <row r="1082" ht="22.5" customHeight="1">
      <c r="C1082" s="4">
        <v>2.1203039E7</v>
      </c>
      <c r="D1082" s="17">
        <f t="shared" si="1"/>
        <v>21523087</v>
      </c>
      <c r="E1082" s="4">
        <v>7.66</v>
      </c>
      <c r="F1082" s="4">
        <v>134.3</v>
      </c>
    </row>
    <row r="1083" ht="22.5" customHeight="1">
      <c r="C1083" s="4">
        <v>2.1223042E7</v>
      </c>
      <c r="D1083" s="17">
        <f t="shared" si="1"/>
        <v>21543090</v>
      </c>
      <c r="E1083" s="4">
        <v>7.66</v>
      </c>
      <c r="F1083" s="4">
        <v>134.2</v>
      </c>
    </row>
    <row r="1084" ht="22.5" customHeight="1">
      <c r="C1084" s="4">
        <v>2.1243044E7</v>
      </c>
      <c r="D1084" s="17">
        <f t="shared" si="1"/>
        <v>21563092</v>
      </c>
      <c r="E1084" s="4">
        <v>7.66</v>
      </c>
      <c r="F1084" s="4">
        <v>134.2</v>
      </c>
    </row>
    <row r="1085" ht="22.5" customHeight="1">
      <c r="C1085" s="4">
        <v>2.1263047E7</v>
      </c>
      <c r="D1085" s="17">
        <f t="shared" si="1"/>
        <v>21583095</v>
      </c>
      <c r="E1085" s="4">
        <v>7.66</v>
      </c>
      <c r="F1085" s="4">
        <v>134.2</v>
      </c>
    </row>
    <row r="1086" ht="22.5" customHeight="1">
      <c r="C1086" s="4">
        <v>2.128305E7</v>
      </c>
      <c r="D1086" s="17">
        <f t="shared" si="1"/>
        <v>21603098</v>
      </c>
      <c r="E1086" s="4">
        <v>7.66</v>
      </c>
      <c r="F1086" s="4">
        <v>134.3</v>
      </c>
    </row>
    <row r="1087" ht="22.5" customHeight="1">
      <c r="C1087" s="4">
        <v>2.1303053E7</v>
      </c>
      <c r="D1087" s="17">
        <f t="shared" si="1"/>
        <v>21623101</v>
      </c>
      <c r="E1087" s="4">
        <v>7.66</v>
      </c>
      <c r="F1087" s="4">
        <v>134.2</v>
      </c>
    </row>
    <row r="1088" ht="22.5" customHeight="1">
      <c r="C1088" s="4">
        <v>2.1323056E7</v>
      </c>
      <c r="D1088" s="17">
        <f t="shared" si="1"/>
        <v>21643104</v>
      </c>
      <c r="E1088" s="4">
        <v>7.66</v>
      </c>
      <c r="F1088" s="4">
        <v>134.2</v>
      </c>
    </row>
    <row r="1089" ht="22.5" customHeight="1">
      <c r="C1089" s="4">
        <v>2.1343058E7</v>
      </c>
      <c r="D1089" s="17">
        <f t="shared" si="1"/>
        <v>21663106</v>
      </c>
      <c r="E1089" s="4">
        <v>7.66</v>
      </c>
      <c r="F1089" s="4">
        <v>134.2</v>
      </c>
    </row>
    <row r="1090" ht="22.5" customHeight="1">
      <c r="C1090" s="4">
        <v>2.1363061E7</v>
      </c>
      <c r="D1090" s="17">
        <f t="shared" si="1"/>
        <v>21683109</v>
      </c>
      <c r="E1090" s="4">
        <v>7.66</v>
      </c>
      <c r="F1090" s="4">
        <v>134.2</v>
      </c>
    </row>
    <row r="1091" ht="22.5" customHeight="1">
      <c r="C1091" s="4">
        <v>2.1383064E7</v>
      </c>
      <c r="D1091" s="17">
        <f t="shared" si="1"/>
        <v>21703112</v>
      </c>
      <c r="E1091" s="4">
        <v>7.66</v>
      </c>
      <c r="F1091" s="4">
        <v>134.2</v>
      </c>
    </row>
    <row r="1092" ht="22.5" customHeight="1">
      <c r="C1092" s="4">
        <v>2.1403068E7</v>
      </c>
      <c r="D1092" s="17">
        <f t="shared" si="1"/>
        <v>21723116</v>
      </c>
      <c r="E1092" s="4">
        <v>7.66</v>
      </c>
      <c r="F1092" s="4">
        <v>134.2</v>
      </c>
    </row>
    <row r="1093" ht="22.5" customHeight="1">
      <c r="C1093" s="4">
        <v>2.1423071E7</v>
      </c>
      <c r="D1093" s="17">
        <f t="shared" si="1"/>
        <v>21743119</v>
      </c>
      <c r="E1093" s="4">
        <v>7.66</v>
      </c>
      <c r="F1093" s="4">
        <v>134.2</v>
      </c>
    </row>
    <row r="1094" ht="22.5" customHeight="1">
      <c r="C1094" s="4">
        <v>2.1443074E7</v>
      </c>
      <c r="D1094" s="17">
        <f t="shared" si="1"/>
        <v>21763122</v>
      </c>
      <c r="E1094" s="4">
        <v>7.66</v>
      </c>
      <c r="F1094" s="4">
        <v>134.2</v>
      </c>
    </row>
    <row r="1095" ht="22.5" customHeight="1">
      <c r="C1095" s="4">
        <v>2.1463076E7</v>
      </c>
      <c r="D1095" s="17">
        <f t="shared" si="1"/>
        <v>21783124</v>
      </c>
      <c r="E1095" s="4">
        <v>7.66</v>
      </c>
      <c r="F1095" s="4">
        <v>134.1</v>
      </c>
    </row>
    <row r="1096" ht="22.5" customHeight="1">
      <c r="C1096" s="4">
        <v>2.1483079E7</v>
      </c>
      <c r="D1096" s="17">
        <f t="shared" si="1"/>
        <v>21803127</v>
      </c>
      <c r="E1096" s="4">
        <v>7.66</v>
      </c>
      <c r="F1096" s="4">
        <v>134.2</v>
      </c>
    </row>
    <row r="1097" ht="22.5" customHeight="1">
      <c r="C1097" s="4">
        <v>2.1503082E7</v>
      </c>
      <c r="D1097" s="17">
        <f t="shared" si="1"/>
        <v>21823130</v>
      </c>
      <c r="E1097" s="4">
        <v>7.66</v>
      </c>
      <c r="F1097" s="4">
        <v>134.2</v>
      </c>
    </row>
    <row r="1098" ht="22.5" customHeight="1">
      <c r="C1098" s="4">
        <v>2.1523085E7</v>
      </c>
      <c r="D1098" s="17">
        <f t="shared" si="1"/>
        <v>21843133</v>
      </c>
      <c r="E1098" s="4">
        <v>7.66</v>
      </c>
      <c r="F1098" s="4">
        <v>134.2</v>
      </c>
    </row>
    <row r="1099" ht="22.5" customHeight="1">
      <c r="C1099" s="4">
        <v>2.1543088E7</v>
      </c>
      <c r="D1099" s="17">
        <f t="shared" si="1"/>
        <v>21863136</v>
      </c>
      <c r="E1099" s="4">
        <v>7.66</v>
      </c>
      <c r="F1099" s="4">
        <v>134.2</v>
      </c>
    </row>
    <row r="1100" ht="22.5" customHeight="1">
      <c r="C1100" s="4">
        <v>2.156309E7</v>
      </c>
      <c r="D1100" s="17">
        <f t="shared" si="1"/>
        <v>21883138</v>
      </c>
      <c r="E1100" s="4">
        <v>7.66</v>
      </c>
      <c r="F1100" s="4">
        <v>134.2</v>
      </c>
    </row>
    <row r="1101" ht="22.5" customHeight="1">
      <c r="C1101" s="4">
        <v>2.1583093E7</v>
      </c>
      <c r="D1101" s="17">
        <f t="shared" si="1"/>
        <v>21903141</v>
      </c>
      <c r="E1101" s="4">
        <v>7.66</v>
      </c>
      <c r="F1101" s="4">
        <v>134.2</v>
      </c>
    </row>
    <row r="1102" ht="22.5" customHeight="1">
      <c r="C1102" s="4">
        <v>2.1603096E7</v>
      </c>
      <c r="D1102" s="17">
        <f t="shared" si="1"/>
        <v>21923144</v>
      </c>
      <c r="E1102" s="4">
        <v>7.66</v>
      </c>
      <c r="F1102" s="4">
        <v>134.1</v>
      </c>
    </row>
    <row r="1103" ht="22.5" customHeight="1">
      <c r="C1103" s="4">
        <v>2.1623099E7</v>
      </c>
      <c r="D1103" s="17">
        <f t="shared" si="1"/>
        <v>21943147</v>
      </c>
      <c r="E1103" s="4">
        <v>7.66</v>
      </c>
      <c r="F1103" s="4">
        <v>134.1</v>
      </c>
    </row>
    <row r="1104" ht="22.5" customHeight="1">
      <c r="C1104" s="4">
        <v>2.1643102E7</v>
      </c>
      <c r="D1104" s="17">
        <f t="shared" si="1"/>
        <v>21963150</v>
      </c>
      <c r="E1104" s="4">
        <v>7.66</v>
      </c>
      <c r="F1104" s="4">
        <v>134.1</v>
      </c>
    </row>
    <row r="1105" ht="22.5" customHeight="1">
      <c r="C1105" s="4">
        <v>2.1663105E7</v>
      </c>
      <c r="D1105" s="17">
        <f t="shared" si="1"/>
        <v>21983153</v>
      </c>
      <c r="E1105" s="4">
        <v>7.66</v>
      </c>
      <c r="F1105" s="4">
        <v>134.1</v>
      </c>
    </row>
    <row r="1106" ht="22.5" customHeight="1">
      <c r="C1106" s="4">
        <v>2.1683108E7</v>
      </c>
      <c r="D1106" s="17">
        <f t="shared" si="1"/>
        <v>22003156</v>
      </c>
      <c r="E1106" s="4">
        <v>7.66</v>
      </c>
      <c r="F1106" s="4">
        <v>134.1</v>
      </c>
    </row>
    <row r="1107" ht="22.5" customHeight="1">
      <c r="C1107" s="4">
        <v>2.1703111E7</v>
      </c>
      <c r="D1107" s="17">
        <f t="shared" si="1"/>
        <v>22023159</v>
      </c>
      <c r="E1107" s="4">
        <v>7.66</v>
      </c>
      <c r="F1107" s="4">
        <v>134.1</v>
      </c>
    </row>
    <row r="1108" ht="22.5" customHeight="1">
      <c r="C1108" s="4">
        <v>2.1723114E7</v>
      </c>
      <c r="D1108" s="17">
        <f t="shared" si="1"/>
        <v>22043162</v>
      </c>
      <c r="E1108" s="4">
        <v>7.66</v>
      </c>
      <c r="F1108" s="4">
        <v>134.1</v>
      </c>
    </row>
    <row r="1109" ht="22.5" customHeight="1">
      <c r="C1109" s="4">
        <v>2.1743117E7</v>
      </c>
      <c r="D1109" s="17">
        <f t="shared" si="1"/>
        <v>22063165</v>
      </c>
      <c r="E1109" s="4">
        <v>7.66</v>
      </c>
      <c r="F1109" s="4">
        <v>134.1</v>
      </c>
    </row>
    <row r="1110" ht="22.5" customHeight="1">
      <c r="C1110" s="4">
        <v>2.176312E7</v>
      </c>
      <c r="D1110" s="17">
        <f t="shared" si="1"/>
        <v>22083168</v>
      </c>
      <c r="E1110" s="4">
        <v>7.66</v>
      </c>
      <c r="F1110" s="4">
        <v>134.1</v>
      </c>
    </row>
    <row r="1111" ht="22.5" customHeight="1">
      <c r="C1111" s="4">
        <v>2.1783122E7</v>
      </c>
      <c r="D1111" s="17">
        <f t="shared" si="1"/>
        <v>22103170</v>
      </c>
      <c r="E1111" s="4">
        <v>7.66</v>
      </c>
      <c r="F1111" s="4">
        <v>134.0</v>
      </c>
    </row>
    <row r="1112" ht="22.5" customHeight="1">
      <c r="C1112" s="4">
        <v>2.1803125E7</v>
      </c>
      <c r="D1112" s="17">
        <f t="shared" si="1"/>
        <v>22123173</v>
      </c>
      <c r="E1112" s="4">
        <v>7.66</v>
      </c>
      <c r="F1112" s="4">
        <v>134.1</v>
      </c>
    </row>
    <row r="1113" ht="22.5" customHeight="1">
      <c r="C1113" s="4">
        <v>2.1823128E7</v>
      </c>
      <c r="D1113" s="17">
        <f t="shared" si="1"/>
        <v>22143176</v>
      </c>
      <c r="E1113" s="4">
        <v>7.66</v>
      </c>
      <c r="F1113" s="4">
        <v>134.1</v>
      </c>
    </row>
    <row r="1114" ht="22.5" customHeight="1">
      <c r="C1114" s="4">
        <v>2.1843131E7</v>
      </c>
      <c r="D1114" s="17">
        <f t="shared" si="1"/>
        <v>22163179</v>
      </c>
      <c r="E1114" s="4">
        <v>7.66</v>
      </c>
      <c r="F1114" s="4">
        <v>134.0</v>
      </c>
    </row>
    <row r="1115" ht="22.5" customHeight="1">
      <c r="C1115" s="4">
        <v>2.1863134E7</v>
      </c>
      <c r="D1115" s="17">
        <f t="shared" si="1"/>
        <v>22183182</v>
      </c>
      <c r="E1115" s="4">
        <v>7.66</v>
      </c>
      <c r="F1115" s="4">
        <v>134.1</v>
      </c>
    </row>
    <row r="1116" ht="22.5" customHeight="1">
      <c r="C1116" s="4">
        <v>2.1883137E7</v>
      </c>
      <c r="D1116" s="17">
        <f t="shared" si="1"/>
        <v>22203185</v>
      </c>
      <c r="E1116" s="4">
        <v>7.66</v>
      </c>
      <c r="F1116" s="4">
        <v>134.1</v>
      </c>
    </row>
    <row r="1117" ht="22.5" customHeight="1">
      <c r="C1117" s="4">
        <v>2.1903139E7</v>
      </c>
      <c r="D1117" s="17">
        <f t="shared" si="1"/>
        <v>22223187</v>
      </c>
      <c r="E1117" s="4">
        <v>7.66</v>
      </c>
      <c r="F1117" s="4">
        <v>134.1</v>
      </c>
    </row>
    <row r="1118" ht="22.5" customHeight="1">
      <c r="C1118" s="4">
        <v>2.1923142E7</v>
      </c>
      <c r="D1118" s="17">
        <f t="shared" si="1"/>
        <v>22243190</v>
      </c>
      <c r="E1118" s="4">
        <v>7.66</v>
      </c>
      <c r="F1118" s="4">
        <v>134.0</v>
      </c>
    </row>
    <row r="1119" ht="22.5" customHeight="1">
      <c r="C1119" s="4">
        <v>2.1943145E7</v>
      </c>
      <c r="D1119" s="17">
        <f t="shared" si="1"/>
        <v>22263193</v>
      </c>
      <c r="E1119" s="4">
        <v>7.66</v>
      </c>
      <c r="F1119" s="4">
        <v>134.0</v>
      </c>
    </row>
    <row r="1120" ht="22.5" customHeight="1">
      <c r="C1120" s="4">
        <v>2.1963149E7</v>
      </c>
      <c r="D1120" s="17">
        <f t="shared" si="1"/>
        <v>22283197</v>
      </c>
      <c r="E1120" s="4">
        <v>7.66</v>
      </c>
      <c r="F1120" s="4">
        <v>134.0</v>
      </c>
    </row>
    <row r="1121" ht="22.5" customHeight="1">
      <c r="C1121" s="4">
        <v>2.1983152E7</v>
      </c>
      <c r="D1121" s="17">
        <f t="shared" si="1"/>
        <v>22303200</v>
      </c>
      <c r="E1121" s="4">
        <v>7.65</v>
      </c>
      <c r="F1121" s="4">
        <v>134.0</v>
      </c>
    </row>
    <row r="1122" ht="22.5" customHeight="1">
      <c r="C1122" s="4">
        <v>2.2003154E7</v>
      </c>
      <c r="D1122" s="17">
        <f t="shared" si="1"/>
        <v>22323202</v>
      </c>
      <c r="E1122" s="4">
        <v>7.65</v>
      </c>
      <c r="F1122" s="4">
        <v>134.0</v>
      </c>
    </row>
    <row r="1123" ht="22.5" customHeight="1">
      <c r="C1123" s="4">
        <v>2.2023157E7</v>
      </c>
      <c r="D1123" s="17">
        <f t="shared" si="1"/>
        <v>22343205</v>
      </c>
      <c r="E1123" s="4">
        <v>7.66</v>
      </c>
      <c r="F1123" s="4">
        <v>134.0</v>
      </c>
    </row>
    <row r="1124" ht="22.5" customHeight="1">
      <c r="C1124" s="4">
        <v>2.204316E7</v>
      </c>
      <c r="D1124" s="17">
        <f t="shared" si="1"/>
        <v>22363208</v>
      </c>
      <c r="E1124" s="4">
        <v>7.65</v>
      </c>
      <c r="F1124" s="4">
        <v>133.9</v>
      </c>
    </row>
    <row r="1125" ht="22.5" customHeight="1">
      <c r="C1125" s="4">
        <v>2.2063163E7</v>
      </c>
      <c r="D1125" s="17">
        <f t="shared" si="1"/>
        <v>22383211</v>
      </c>
      <c r="E1125" s="4">
        <v>7.65</v>
      </c>
      <c r="F1125" s="4">
        <v>134.0</v>
      </c>
    </row>
    <row r="1126" ht="22.5" customHeight="1">
      <c r="C1126" s="4">
        <v>2.2083166E7</v>
      </c>
      <c r="D1126" s="17">
        <f t="shared" si="1"/>
        <v>22403214</v>
      </c>
      <c r="E1126" s="4">
        <v>7.65</v>
      </c>
      <c r="F1126" s="4">
        <v>134.0</v>
      </c>
    </row>
    <row r="1127" ht="22.5" customHeight="1">
      <c r="C1127" s="4">
        <v>2.2103169E7</v>
      </c>
      <c r="D1127" s="17">
        <f t="shared" si="1"/>
        <v>22423217</v>
      </c>
      <c r="E1127" s="4">
        <v>7.65</v>
      </c>
      <c r="F1127" s="4">
        <v>134.0</v>
      </c>
    </row>
    <row r="1128" ht="22.5" customHeight="1">
      <c r="C1128" s="4">
        <v>2.2123171E7</v>
      </c>
      <c r="D1128" s="17">
        <f t="shared" si="1"/>
        <v>22443219</v>
      </c>
      <c r="E1128" s="4">
        <v>7.65</v>
      </c>
      <c r="F1128" s="4">
        <v>134.0</v>
      </c>
    </row>
    <row r="1129" ht="22.5" customHeight="1">
      <c r="C1129" s="4">
        <v>2.2143174E7</v>
      </c>
      <c r="D1129" s="17">
        <f t="shared" si="1"/>
        <v>22463222</v>
      </c>
      <c r="E1129" s="4">
        <v>7.65</v>
      </c>
      <c r="F1129" s="4">
        <v>134.0</v>
      </c>
    </row>
    <row r="1130" ht="22.5" customHeight="1">
      <c r="C1130" s="4">
        <v>2.2163177E7</v>
      </c>
      <c r="D1130" s="17">
        <f t="shared" si="1"/>
        <v>22483225</v>
      </c>
      <c r="E1130" s="4">
        <v>7.65</v>
      </c>
      <c r="F1130" s="4">
        <v>134.0</v>
      </c>
    </row>
    <row r="1131" ht="22.5" customHeight="1">
      <c r="C1131" s="4">
        <v>2.218318E7</v>
      </c>
      <c r="D1131" s="17">
        <f t="shared" si="1"/>
        <v>22503228</v>
      </c>
      <c r="E1131" s="4">
        <v>7.65</v>
      </c>
      <c r="F1131" s="4">
        <v>134.0</v>
      </c>
    </row>
    <row r="1132" ht="22.5" customHeight="1">
      <c r="C1132" s="4">
        <v>2.2203183E7</v>
      </c>
      <c r="D1132" s="17">
        <f t="shared" si="1"/>
        <v>22523231</v>
      </c>
      <c r="E1132" s="4">
        <v>7.65</v>
      </c>
      <c r="F1132" s="4">
        <v>134.0</v>
      </c>
    </row>
    <row r="1133" ht="22.5" customHeight="1">
      <c r="C1133" s="4">
        <v>2.2223185E7</v>
      </c>
      <c r="D1133" s="17">
        <f t="shared" si="1"/>
        <v>22543233</v>
      </c>
      <c r="E1133" s="4">
        <v>7.65</v>
      </c>
      <c r="F1133" s="4">
        <v>134.0</v>
      </c>
    </row>
    <row r="1134" ht="22.5" customHeight="1">
      <c r="C1134" s="4">
        <v>2.2243188E7</v>
      </c>
      <c r="D1134" s="17">
        <f t="shared" si="1"/>
        <v>22563236</v>
      </c>
      <c r="E1134" s="4">
        <v>7.65</v>
      </c>
      <c r="F1134" s="4">
        <v>133.9</v>
      </c>
    </row>
    <row r="1135" ht="22.5" customHeight="1">
      <c r="C1135" s="4">
        <v>2.2263192E7</v>
      </c>
      <c r="D1135" s="17">
        <f t="shared" si="1"/>
        <v>22583240</v>
      </c>
      <c r="E1135" s="4">
        <v>7.65</v>
      </c>
      <c r="F1135" s="4">
        <v>134.0</v>
      </c>
    </row>
    <row r="1136" ht="22.5" customHeight="1">
      <c r="C1136" s="4">
        <v>2.2283195E7</v>
      </c>
      <c r="D1136" s="17">
        <f t="shared" si="1"/>
        <v>22603243</v>
      </c>
      <c r="E1136" s="4">
        <v>7.65</v>
      </c>
      <c r="F1136" s="4">
        <v>133.9</v>
      </c>
    </row>
    <row r="1137" ht="22.5" customHeight="1">
      <c r="C1137" s="4">
        <v>2.2303198E7</v>
      </c>
      <c r="D1137" s="17">
        <f t="shared" si="1"/>
        <v>22623246</v>
      </c>
      <c r="E1137" s="4">
        <v>7.65</v>
      </c>
      <c r="F1137" s="4">
        <v>134.0</v>
      </c>
    </row>
    <row r="1138" ht="22.5" customHeight="1">
      <c r="C1138" s="4">
        <v>2.2323201E7</v>
      </c>
      <c r="D1138" s="17">
        <f t="shared" si="1"/>
        <v>22643249</v>
      </c>
      <c r="E1138" s="4">
        <v>7.65</v>
      </c>
      <c r="F1138" s="4">
        <v>134.0</v>
      </c>
    </row>
    <row r="1139" ht="22.5" customHeight="1">
      <c r="C1139" s="4">
        <v>2.2343203E7</v>
      </c>
      <c r="D1139" s="17">
        <f t="shared" si="1"/>
        <v>22663251</v>
      </c>
      <c r="E1139" s="4">
        <v>7.65</v>
      </c>
      <c r="F1139" s="4">
        <v>133.9</v>
      </c>
    </row>
    <row r="1140" ht="22.5" customHeight="1">
      <c r="C1140" s="4">
        <v>2.2363206E7</v>
      </c>
      <c r="D1140" s="17">
        <f t="shared" si="1"/>
        <v>22683254</v>
      </c>
      <c r="E1140" s="4">
        <v>7.65</v>
      </c>
      <c r="F1140" s="4">
        <v>133.9</v>
      </c>
    </row>
    <row r="1141" ht="22.5" customHeight="1">
      <c r="C1141" s="4">
        <v>2.2383209E7</v>
      </c>
      <c r="D1141" s="17">
        <f t="shared" si="1"/>
        <v>22703257</v>
      </c>
      <c r="E1141" s="4">
        <v>7.65</v>
      </c>
      <c r="F1141" s="4">
        <v>134.0</v>
      </c>
    </row>
    <row r="1142" ht="22.5" customHeight="1">
      <c r="C1142" s="4">
        <v>2.2403212E7</v>
      </c>
      <c r="D1142" s="17">
        <f t="shared" si="1"/>
        <v>22723260</v>
      </c>
      <c r="E1142" s="4">
        <v>7.65</v>
      </c>
      <c r="F1142" s="4">
        <v>133.9</v>
      </c>
    </row>
    <row r="1143" ht="22.5" customHeight="1">
      <c r="C1143" s="4">
        <v>2.2423215E7</v>
      </c>
      <c r="D1143" s="17">
        <f t="shared" si="1"/>
        <v>22743263</v>
      </c>
      <c r="E1143" s="4">
        <v>7.65</v>
      </c>
      <c r="F1143" s="4">
        <v>133.9</v>
      </c>
    </row>
    <row r="1144" ht="22.5" customHeight="1">
      <c r="C1144" s="4">
        <v>2.2443217E7</v>
      </c>
      <c r="D1144" s="17">
        <f t="shared" si="1"/>
        <v>22763265</v>
      </c>
      <c r="E1144" s="4">
        <v>7.65</v>
      </c>
      <c r="F1144" s="4">
        <v>134.0</v>
      </c>
    </row>
    <row r="1145" ht="22.5" customHeight="1">
      <c r="C1145" s="4">
        <v>2.246322E7</v>
      </c>
      <c r="D1145" s="17">
        <f t="shared" si="1"/>
        <v>22783268</v>
      </c>
      <c r="E1145" s="4">
        <v>7.65</v>
      </c>
      <c r="F1145" s="4">
        <v>133.9</v>
      </c>
    </row>
    <row r="1146" ht="22.5" customHeight="1">
      <c r="C1146" s="4">
        <v>2.2483223E7</v>
      </c>
      <c r="D1146" s="17">
        <f t="shared" si="1"/>
        <v>22803271</v>
      </c>
      <c r="E1146" s="4">
        <v>7.65</v>
      </c>
      <c r="F1146" s="4">
        <v>134.0</v>
      </c>
    </row>
    <row r="1147" ht="22.5" customHeight="1">
      <c r="C1147" s="4">
        <v>2.2503226E7</v>
      </c>
      <c r="D1147" s="17">
        <f t="shared" si="1"/>
        <v>22823274</v>
      </c>
      <c r="E1147" s="4">
        <v>7.65</v>
      </c>
      <c r="F1147" s="4">
        <v>133.9</v>
      </c>
    </row>
    <row r="1148" ht="22.5" customHeight="1">
      <c r="C1148" s="4">
        <v>2.2523229E7</v>
      </c>
      <c r="D1148" s="17">
        <f t="shared" si="1"/>
        <v>22843277</v>
      </c>
      <c r="E1148" s="4">
        <v>7.65</v>
      </c>
      <c r="F1148" s="4">
        <v>133.9</v>
      </c>
    </row>
    <row r="1149" ht="22.5" customHeight="1">
      <c r="C1149" s="4">
        <v>2.2543232E7</v>
      </c>
      <c r="D1149" s="17">
        <f t="shared" si="1"/>
        <v>22863280</v>
      </c>
      <c r="E1149" s="4">
        <v>7.64</v>
      </c>
      <c r="F1149" s="4">
        <v>133.9</v>
      </c>
    </row>
    <row r="1150" ht="22.5" customHeight="1">
      <c r="C1150" s="4">
        <v>2.2563235E7</v>
      </c>
      <c r="D1150" s="17">
        <f t="shared" si="1"/>
        <v>22883283</v>
      </c>
      <c r="E1150" s="4">
        <v>7.64</v>
      </c>
      <c r="F1150" s="4">
        <v>133.9</v>
      </c>
    </row>
    <row r="1151" ht="22.5" customHeight="1">
      <c r="C1151" s="4">
        <v>2.2583238E7</v>
      </c>
      <c r="D1151" s="17">
        <f t="shared" si="1"/>
        <v>22903286</v>
      </c>
      <c r="E1151" s="4">
        <v>7.65</v>
      </c>
      <c r="F1151" s="4">
        <v>133.9</v>
      </c>
    </row>
    <row r="1152" ht="22.5" customHeight="1">
      <c r="C1152" s="4">
        <v>2.2603241E7</v>
      </c>
      <c r="D1152" s="17">
        <f t="shared" si="1"/>
        <v>22923289</v>
      </c>
      <c r="E1152" s="4">
        <v>7.65</v>
      </c>
      <c r="F1152" s="4">
        <v>133.8</v>
      </c>
    </row>
    <row r="1153" ht="22.5" customHeight="1">
      <c r="C1153" s="4">
        <v>2.2623244E7</v>
      </c>
      <c r="D1153" s="17">
        <f t="shared" si="1"/>
        <v>22943292</v>
      </c>
      <c r="E1153" s="4">
        <v>7.64</v>
      </c>
      <c r="F1153" s="4">
        <v>133.8</v>
      </c>
    </row>
    <row r="1154" ht="22.5" customHeight="1">
      <c r="C1154" s="4">
        <v>2.2643247E7</v>
      </c>
      <c r="D1154" s="17">
        <f t="shared" si="1"/>
        <v>22963295</v>
      </c>
      <c r="E1154" s="4">
        <v>7.65</v>
      </c>
      <c r="F1154" s="4">
        <v>133.9</v>
      </c>
    </row>
    <row r="1155" ht="22.5" customHeight="1">
      <c r="C1155" s="4">
        <v>2.2663249E7</v>
      </c>
      <c r="D1155" s="17">
        <f t="shared" si="1"/>
        <v>22983297</v>
      </c>
      <c r="E1155" s="4">
        <v>7.65</v>
      </c>
      <c r="F1155" s="4">
        <v>133.9</v>
      </c>
    </row>
    <row r="1156" ht="22.5" customHeight="1">
      <c r="C1156" s="4">
        <v>2.2683252E7</v>
      </c>
      <c r="D1156" s="17">
        <f t="shared" si="1"/>
        <v>23003300</v>
      </c>
      <c r="E1156" s="4">
        <v>7.64</v>
      </c>
      <c r="F1156" s="4">
        <v>133.9</v>
      </c>
    </row>
    <row r="1157" ht="22.5" customHeight="1">
      <c r="C1157" s="4">
        <v>2.2703255E7</v>
      </c>
      <c r="D1157" s="17">
        <f t="shared" si="1"/>
        <v>23023303</v>
      </c>
      <c r="E1157" s="4">
        <v>7.64</v>
      </c>
      <c r="F1157" s="4">
        <v>133.9</v>
      </c>
    </row>
    <row r="1158" ht="22.5" customHeight="1">
      <c r="C1158" s="4">
        <v>2.2723258E7</v>
      </c>
      <c r="D1158" s="17">
        <f t="shared" si="1"/>
        <v>23043306</v>
      </c>
      <c r="E1158" s="4">
        <v>7.64</v>
      </c>
      <c r="F1158" s="4">
        <v>133.9</v>
      </c>
    </row>
    <row r="1159" ht="22.5" customHeight="1">
      <c r="C1159" s="4">
        <v>2.2743261E7</v>
      </c>
      <c r="D1159" s="17">
        <f t="shared" si="1"/>
        <v>23063309</v>
      </c>
      <c r="E1159" s="4">
        <v>7.64</v>
      </c>
      <c r="F1159" s="4">
        <v>133.8</v>
      </c>
    </row>
    <row r="1160" ht="22.5" customHeight="1">
      <c r="C1160" s="4">
        <v>2.2763264E7</v>
      </c>
      <c r="D1160" s="17">
        <f t="shared" si="1"/>
        <v>23083312</v>
      </c>
      <c r="E1160" s="4">
        <v>7.64</v>
      </c>
      <c r="F1160" s="4">
        <v>133.8</v>
      </c>
    </row>
    <row r="1161" ht="22.5" customHeight="1">
      <c r="C1161" s="4">
        <v>2.2783266E7</v>
      </c>
      <c r="D1161" s="17">
        <f t="shared" si="1"/>
        <v>23103314</v>
      </c>
      <c r="E1161" s="4">
        <v>7.64</v>
      </c>
      <c r="F1161" s="4">
        <v>133.8</v>
      </c>
    </row>
    <row r="1162" ht="22.5" customHeight="1">
      <c r="C1162" s="4">
        <v>2.2803269E7</v>
      </c>
      <c r="D1162" s="17">
        <f t="shared" si="1"/>
        <v>23123317</v>
      </c>
      <c r="E1162" s="4">
        <v>7.64</v>
      </c>
      <c r="F1162" s="4">
        <v>133.8</v>
      </c>
    </row>
    <row r="1163" ht="22.5" customHeight="1">
      <c r="C1163" s="4">
        <v>2.2823273E7</v>
      </c>
      <c r="D1163" s="17">
        <f t="shared" si="1"/>
        <v>23143321</v>
      </c>
      <c r="E1163" s="4">
        <v>7.64</v>
      </c>
      <c r="F1163" s="4">
        <v>133.8</v>
      </c>
    </row>
    <row r="1164" ht="22.5" customHeight="1">
      <c r="C1164" s="4">
        <v>2.2843276E7</v>
      </c>
      <c r="D1164" s="17">
        <f t="shared" si="1"/>
        <v>23163324</v>
      </c>
      <c r="E1164" s="4">
        <v>7.64</v>
      </c>
      <c r="F1164" s="4">
        <v>133.8</v>
      </c>
    </row>
    <row r="1165" ht="22.5" customHeight="1">
      <c r="C1165" s="4">
        <v>2.2863279E7</v>
      </c>
      <c r="D1165" s="17">
        <f t="shared" si="1"/>
        <v>23183327</v>
      </c>
      <c r="E1165" s="4">
        <v>7.64</v>
      </c>
      <c r="F1165" s="4">
        <v>133.8</v>
      </c>
    </row>
    <row r="1166" ht="22.5" customHeight="1">
      <c r="C1166" s="4">
        <v>2.2883281E7</v>
      </c>
      <c r="D1166" s="17">
        <f t="shared" si="1"/>
        <v>23203329</v>
      </c>
      <c r="E1166" s="4">
        <v>7.64</v>
      </c>
      <c r="F1166" s="4">
        <v>133.8</v>
      </c>
    </row>
    <row r="1167" ht="22.5" customHeight="1">
      <c r="C1167" s="4">
        <v>2.2903284E7</v>
      </c>
      <c r="D1167" s="17">
        <f t="shared" si="1"/>
        <v>23223332</v>
      </c>
      <c r="E1167" s="4">
        <v>7.64</v>
      </c>
      <c r="F1167" s="4">
        <v>133.8</v>
      </c>
    </row>
    <row r="1168" ht="22.5" customHeight="1">
      <c r="C1168" s="4">
        <v>2.2923287E7</v>
      </c>
      <c r="D1168" s="17">
        <f t="shared" si="1"/>
        <v>23243335</v>
      </c>
      <c r="E1168" s="4">
        <v>7.64</v>
      </c>
      <c r="F1168" s="4">
        <v>133.8</v>
      </c>
    </row>
    <row r="1169" ht="22.5" customHeight="1">
      <c r="C1169" s="4">
        <v>2.294329E7</v>
      </c>
      <c r="D1169" s="17">
        <f t="shared" si="1"/>
        <v>23263338</v>
      </c>
      <c r="E1169" s="4">
        <v>7.64</v>
      </c>
      <c r="F1169" s="4">
        <v>133.8</v>
      </c>
    </row>
    <row r="1170" ht="22.5" customHeight="1">
      <c r="C1170" s="4">
        <v>2.2963293E7</v>
      </c>
      <c r="D1170" s="17">
        <f t="shared" si="1"/>
        <v>23283341</v>
      </c>
      <c r="E1170" s="4">
        <v>7.64</v>
      </c>
      <c r="F1170" s="4">
        <v>133.7</v>
      </c>
    </row>
    <row r="1171" ht="22.5" customHeight="1">
      <c r="C1171" s="4">
        <v>2.2983296E7</v>
      </c>
      <c r="D1171" s="17">
        <f t="shared" si="1"/>
        <v>23303344</v>
      </c>
      <c r="E1171" s="4">
        <v>7.64</v>
      </c>
      <c r="F1171" s="4">
        <v>133.8</v>
      </c>
    </row>
    <row r="1172" ht="22.5" customHeight="1">
      <c r="C1172" s="4">
        <v>2.3003298E7</v>
      </c>
      <c r="D1172" s="17">
        <f t="shared" si="1"/>
        <v>23323346</v>
      </c>
      <c r="E1172" s="4">
        <v>7.64</v>
      </c>
      <c r="F1172" s="4">
        <v>133.8</v>
      </c>
    </row>
    <row r="1173" ht="22.5" customHeight="1">
      <c r="C1173" s="4">
        <v>2.3023301E7</v>
      </c>
      <c r="D1173" s="17">
        <f t="shared" si="1"/>
        <v>23343349</v>
      </c>
      <c r="E1173" s="4">
        <v>7.64</v>
      </c>
      <c r="F1173" s="4">
        <v>133.8</v>
      </c>
    </row>
    <row r="1174" ht="22.5" customHeight="1">
      <c r="C1174" s="4">
        <v>2.3043304E7</v>
      </c>
      <c r="D1174" s="17">
        <f t="shared" si="1"/>
        <v>23363352</v>
      </c>
      <c r="E1174" s="4">
        <v>7.64</v>
      </c>
      <c r="F1174" s="4">
        <v>133.8</v>
      </c>
    </row>
    <row r="1175" ht="22.5" customHeight="1">
      <c r="C1175" s="4">
        <v>2.3063307E7</v>
      </c>
      <c r="D1175" s="17">
        <f t="shared" si="1"/>
        <v>23383355</v>
      </c>
      <c r="E1175" s="4">
        <v>7.64</v>
      </c>
      <c r="F1175" s="4">
        <v>133.8</v>
      </c>
    </row>
    <row r="1176" ht="22.5" customHeight="1">
      <c r="C1176" s="4">
        <v>2.308331E7</v>
      </c>
      <c r="D1176" s="17">
        <f t="shared" si="1"/>
        <v>23403358</v>
      </c>
      <c r="E1176" s="4">
        <v>7.64</v>
      </c>
      <c r="F1176" s="4">
        <v>133.7</v>
      </c>
    </row>
    <row r="1177" ht="22.5" customHeight="1">
      <c r="C1177" s="4">
        <v>2.3103313E7</v>
      </c>
      <c r="D1177" s="17">
        <f t="shared" si="1"/>
        <v>23423361</v>
      </c>
      <c r="E1177" s="4">
        <v>7.64</v>
      </c>
      <c r="F1177" s="4">
        <v>133.8</v>
      </c>
    </row>
    <row r="1178" ht="22.5" customHeight="1">
      <c r="C1178" s="4">
        <v>2.3123316E7</v>
      </c>
      <c r="D1178" s="17">
        <f t="shared" si="1"/>
        <v>23443364</v>
      </c>
      <c r="E1178" s="4">
        <v>7.64</v>
      </c>
      <c r="F1178" s="4">
        <v>133.8</v>
      </c>
    </row>
    <row r="1179" ht="22.5" customHeight="1">
      <c r="C1179" s="4">
        <v>2.3143319E7</v>
      </c>
      <c r="D1179" s="17">
        <f t="shared" si="1"/>
        <v>23463367</v>
      </c>
      <c r="E1179" s="4">
        <v>7.64</v>
      </c>
      <c r="F1179" s="4">
        <v>133.7</v>
      </c>
    </row>
    <row r="1180" ht="22.5" customHeight="1">
      <c r="C1180" s="4">
        <v>2.3163322E7</v>
      </c>
      <c r="D1180" s="17">
        <f t="shared" si="1"/>
        <v>23483370</v>
      </c>
      <c r="E1180" s="4">
        <v>7.64</v>
      </c>
      <c r="F1180" s="4">
        <v>133.7</v>
      </c>
    </row>
    <row r="1181" ht="22.5" customHeight="1">
      <c r="C1181" s="4">
        <v>2.3183325E7</v>
      </c>
      <c r="D1181" s="17">
        <f t="shared" si="1"/>
        <v>23503373</v>
      </c>
      <c r="E1181" s="4">
        <v>7.64</v>
      </c>
      <c r="F1181" s="4">
        <v>133.7</v>
      </c>
    </row>
    <row r="1182" ht="22.5" customHeight="1">
      <c r="C1182" s="4">
        <v>2.3203328E7</v>
      </c>
      <c r="D1182" s="17">
        <f t="shared" si="1"/>
        <v>23523376</v>
      </c>
      <c r="E1182" s="4">
        <v>7.64</v>
      </c>
      <c r="F1182" s="4">
        <v>133.7</v>
      </c>
    </row>
    <row r="1183" ht="22.5" customHeight="1">
      <c r="C1183" s="4">
        <v>2.322333E7</v>
      </c>
      <c r="D1183" s="17">
        <f t="shared" si="1"/>
        <v>23543378</v>
      </c>
      <c r="E1183" s="4">
        <v>7.64</v>
      </c>
      <c r="F1183" s="4">
        <v>133.7</v>
      </c>
    </row>
    <row r="1184" ht="22.5" customHeight="1">
      <c r="C1184" s="4">
        <v>2.3243333E7</v>
      </c>
      <c r="D1184" s="17">
        <f t="shared" si="1"/>
        <v>23563381</v>
      </c>
      <c r="E1184" s="4">
        <v>7.64</v>
      </c>
      <c r="F1184" s="4">
        <v>133.7</v>
      </c>
    </row>
    <row r="1185" ht="22.5" customHeight="1">
      <c r="C1185" s="4">
        <v>2.3263336E7</v>
      </c>
      <c r="D1185" s="17">
        <f t="shared" si="1"/>
        <v>23583384</v>
      </c>
      <c r="E1185" s="4">
        <v>7.64</v>
      </c>
      <c r="F1185" s="4">
        <v>133.7</v>
      </c>
    </row>
    <row r="1186" ht="22.5" customHeight="1">
      <c r="C1186" s="4">
        <v>2.3283339E7</v>
      </c>
      <c r="D1186" s="17">
        <f t="shared" si="1"/>
        <v>23603387</v>
      </c>
      <c r="E1186" s="4">
        <v>7.64</v>
      </c>
      <c r="F1186" s="4">
        <v>133.7</v>
      </c>
    </row>
    <row r="1187" ht="22.5" customHeight="1">
      <c r="C1187" s="4">
        <v>2.3303342E7</v>
      </c>
      <c r="D1187" s="17">
        <f t="shared" si="1"/>
        <v>23623390</v>
      </c>
      <c r="E1187" s="4">
        <v>7.64</v>
      </c>
      <c r="F1187" s="4">
        <v>133.7</v>
      </c>
    </row>
    <row r="1188" ht="22.5" customHeight="1">
      <c r="C1188" s="4">
        <v>2.3323344E7</v>
      </c>
      <c r="D1188" s="17">
        <f t="shared" si="1"/>
        <v>23643392</v>
      </c>
      <c r="E1188" s="4">
        <v>7.64</v>
      </c>
      <c r="F1188" s="4">
        <v>133.7</v>
      </c>
    </row>
    <row r="1189" ht="22.5" customHeight="1">
      <c r="C1189" s="4">
        <v>2.3343347E7</v>
      </c>
      <c r="D1189" s="17">
        <f t="shared" si="1"/>
        <v>23663395</v>
      </c>
      <c r="E1189" s="4">
        <v>7.64</v>
      </c>
      <c r="F1189" s="4">
        <v>133.7</v>
      </c>
    </row>
    <row r="1190" ht="22.5" customHeight="1">
      <c r="C1190" s="4">
        <v>2.336335E7</v>
      </c>
      <c r="D1190" s="17">
        <f t="shared" si="1"/>
        <v>23683398</v>
      </c>
      <c r="E1190" s="4">
        <v>7.64</v>
      </c>
      <c r="F1190" s="4">
        <v>133.7</v>
      </c>
    </row>
    <row r="1191" ht="22.5" customHeight="1">
      <c r="C1191" s="4">
        <v>2.3383354E7</v>
      </c>
      <c r="D1191" s="17">
        <f t="shared" si="1"/>
        <v>23703402</v>
      </c>
      <c r="E1191" s="4">
        <v>7.64</v>
      </c>
      <c r="F1191" s="4">
        <v>133.7</v>
      </c>
    </row>
    <row r="1192" ht="22.5" customHeight="1">
      <c r="C1192" s="4">
        <v>2.3403357E7</v>
      </c>
      <c r="D1192" s="17">
        <f t="shared" si="1"/>
        <v>23723405</v>
      </c>
      <c r="E1192" s="4">
        <v>7.64</v>
      </c>
      <c r="F1192" s="4">
        <v>133.7</v>
      </c>
    </row>
    <row r="1193" ht="22.5" customHeight="1">
      <c r="C1193" s="4">
        <v>2.342336E7</v>
      </c>
      <c r="D1193" s="17">
        <f t="shared" si="1"/>
        <v>23743408</v>
      </c>
      <c r="E1193" s="4">
        <v>7.64</v>
      </c>
      <c r="F1193" s="4">
        <v>133.7</v>
      </c>
    </row>
    <row r="1194" ht="22.5" customHeight="1">
      <c r="C1194" s="4">
        <v>2.3443362E7</v>
      </c>
      <c r="D1194" s="17">
        <f t="shared" si="1"/>
        <v>23763410</v>
      </c>
      <c r="E1194" s="4">
        <v>7.64</v>
      </c>
      <c r="F1194" s="4">
        <v>133.7</v>
      </c>
    </row>
    <row r="1195" ht="22.5" customHeight="1">
      <c r="C1195" s="4">
        <v>2.3463365E7</v>
      </c>
      <c r="D1195" s="17">
        <f t="shared" si="1"/>
        <v>23783413</v>
      </c>
      <c r="E1195" s="4">
        <v>7.64</v>
      </c>
      <c r="F1195" s="4">
        <v>133.6</v>
      </c>
    </row>
    <row r="1196" ht="22.5" customHeight="1">
      <c r="C1196" s="4">
        <v>2.3483368E7</v>
      </c>
      <c r="D1196" s="17">
        <f t="shared" si="1"/>
        <v>23803416</v>
      </c>
      <c r="E1196" s="4">
        <v>7.64</v>
      </c>
      <c r="F1196" s="4">
        <v>133.7</v>
      </c>
    </row>
    <row r="1197" ht="22.5" customHeight="1">
      <c r="C1197" s="4">
        <v>2.3503371E7</v>
      </c>
      <c r="D1197" s="17">
        <f t="shared" si="1"/>
        <v>23823419</v>
      </c>
      <c r="E1197" s="4">
        <v>7.64</v>
      </c>
      <c r="F1197" s="4">
        <v>133.7</v>
      </c>
    </row>
    <row r="1198" ht="22.5" customHeight="1">
      <c r="C1198" s="4">
        <v>2.3523374E7</v>
      </c>
      <c r="D1198" s="17">
        <f t="shared" si="1"/>
        <v>23843422</v>
      </c>
      <c r="E1198" s="4">
        <v>7.64</v>
      </c>
      <c r="F1198" s="4">
        <v>133.6</v>
      </c>
    </row>
    <row r="1199" ht="22.5" customHeight="1">
      <c r="C1199" s="4">
        <v>2.3543376E7</v>
      </c>
      <c r="D1199" s="17">
        <f t="shared" si="1"/>
        <v>23863424</v>
      </c>
      <c r="E1199" s="4">
        <v>7.64</v>
      </c>
      <c r="F1199" s="4">
        <v>133.7</v>
      </c>
    </row>
    <row r="1200" ht="22.5" customHeight="1">
      <c r="C1200" s="4">
        <v>2.3563379E7</v>
      </c>
      <c r="D1200" s="17">
        <f t="shared" si="1"/>
        <v>23883427</v>
      </c>
      <c r="E1200" s="4">
        <v>7.64</v>
      </c>
      <c r="F1200" s="4">
        <v>133.7</v>
      </c>
    </row>
    <row r="1201" ht="22.5" customHeight="1">
      <c r="C1201" s="4">
        <v>2.3583382E7</v>
      </c>
      <c r="D1201" s="17">
        <f t="shared" si="1"/>
        <v>23903430</v>
      </c>
      <c r="E1201" s="4">
        <v>7.64</v>
      </c>
      <c r="F1201" s="4">
        <v>133.7</v>
      </c>
    </row>
    <row r="1202" ht="22.5" customHeight="1">
      <c r="C1202" s="4">
        <v>2.3603385E7</v>
      </c>
      <c r="D1202" s="17">
        <f t="shared" si="1"/>
        <v>23923433</v>
      </c>
      <c r="E1202" s="4">
        <v>7.64</v>
      </c>
      <c r="F1202" s="4">
        <v>133.7</v>
      </c>
    </row>
    <row r="1203" ht="22.5" customHeight="1">
      <c r="C1203" s="4">
        <v>2.3623388E7</v>
      </c>
      <c r="D1203" s="17">
        <f t="shared" si="1"/>
        <v>23943436</v>
      </c>
      <c r="E1203" s="4">
        <v>7.63</v>
      </c>
      <c r="F1203" s="4">
        <v>133.7</v>
      </c>
    </row>
    <row r="1204" ht="22.5" customHeight="1">
      <c r="C1204" s="4">
        <v>2.364339E7</v>
      </c>
      <c r="D1204" s="17">
        <f t="shared" si="1"/>
        <v>23963438</v>
      </c>
      <c r="E1204" s="4">
        <v>7.64</v>
      </c>
      <c r="F1204" s="4">
        <v>133.6</v>
      </c>
    </row>
    <row r="1205" ht="22.5" customHeight="1">
      <c r="C1205" s="4">
        <v>2.3663394E7</v>
      </c>
      <c r="D1205" s="17">
        <f t="shared" si="1"/>
        <v>23983442</v>
      </c>
      <c r="E1205" s="4">
        <v>7.63</v>
      </c>
      <c r="F1205" s="4">
        <v>133.6</v>
      </c>
    </row>
    <row r="1206" ht="22.5" customHeight="1">
      <c r="C1206" s="4">
        <v>2.3683397E7</v>
      </c>
      <c r="D1206" s="17">
        <f t="shared" si="1"/>
        <v>24003445</v>
      </c>
      <c r="E1206" s="4">
        <v>7.63</v>
      </c>
      <c r="F1206" s="4">
        <v>133.6</v>
      </c>
    </row>
    <row r="1207" ht="22.5" customHeight="1">
      <c r="C1207" s="4">
        <v>2.37034E7</v>
      </c>
      <c r="D1207" s="17">
        <f t="shared" si="1"/>
        <v>24023448</v>
      </c>
      <c r="E1207" s="4">
        <v>7.63</v>
      </c>
      <c r="F1207" s="4">
        <v>133.6</v>
      </c>
    </row>
    <row r="1208" ht="22.5" customHeight="1">
      <c r="C1208" s="4">
        <v>2.3723403E7</v>
      </c>
      <c r="D1208" s="17">
        <f t="shared" si="1"/>
        <v>24043451</v>
      </c>
      <c r="E1208" s="4">
        <v>7.63</v>
      </c>
      <c r="F1208" s="4">
        <v>133.6</v>
      </c>
    </row>
    <row r="1209" ht="22.5" customHeight="1">
      <c r="C1209" s="4">
        <v>2.3743406E7</v>
      </c>
      <c r="D1209" s="17">
        <f t="shared" si="1"/>
        <v>24063454</v>
      </c>
      <c r="E1209" s="4">
        <v>7.63</v>
      </c>
      <c r="F1209" s="4">
        <v>133.6</v>
      </c>
    </row>
    <row r="1210" ht="22.5" customHeight="1">
      <c r="C1210" s="4">
        <v>2.3763408E7</v>
      </c>
      <c r="D1210" s="17">
        <f t="shared" si="1"/>
        <v>24083456</v>
      </c>
      <c r="E1210" s="4">
        <v>7.63</v>
      </c>
      <c r="F1210" s="4">
        <v>133.7</v>
      </c>
    </row>
    <row r="1211" ht="22.5" customHeight="1">
      <c r="C1211" s="4">
        <v>2.3783411E7</v>
      </c>
      <c r="D1211" s="17">
        <f t="shared" si="1"/>
        <v>24103459</v>
      </c>
      <c r="E1211" s="4">
        <v>7.63</v>
      </c>
      <c r="F1211" s="4">
        <v>133.6</v>
      </c>
    </row>
    <row r="1212" ht="22.5" customHeight="1">
      <c r="C1212" s="4">
        <v>2.3803414E7</v>
      </c>
      <c r="D1212" s="17">
        <f t="shared" si="1"/>
        <v>24123462</v>
      </c>
      <c r="E1212" s="4">
        <v>7.63</v>
      </c>
      <c r="F1212" s="4">
        <v>133.6</v>
      </c>
    </row>
    <row r="1213" ht="22.5" customHeight="1">
      <c r="C1213" s="4">
        <v>2.3823417E7</v>
      </c>
      <c r="D1213" s="17">
        <f t="shared" si="1"/>
        <v>24143465</v>
      </c>
      <c r="E1213" s="4">
        <v>7.63</v>
      </c>
      <c r="F1213" s="4">
        <v>133.5</v>
      </c>
    </row>
    <row r="1214" ht="22.5" customHeight="1">
      <c r="C1214" s="4">
        <v>2.384342E7</v>
      </c>
      <c r="D1214" s="17">
        <f t="shared" si="1"/>
        <v>24163468</v>
      </c>
      <c r="E1214" s="4">
        <v>7.63</v>
      </c>
      <c r="F1214" s="4">
        <v>133.6</v>
      </c>
    </row>
    <row r="1215" ht="22.5" customHeight="1">
      <c r="C1215" s="4">
        <v>2.3863422E7</v>
      </c>
      <c r="D1215" s="17">
        <f t="shared" si="1"/>
        <v>24183470</v>
      </c>
      <c r="E1215" s="4">
        <v>7.63</v>
      </c>
      <c r="F1215" s="4">
        <v>133.6</v>
      </c>
    </row>
    <row r="1216" ht="22.5" customHeight="1">
      <c r="C1216" s="4">
        <v>2.3883425E7</v>
      </c>
      <c r="D1216" s="17">
        <f t="shared" si="1"/>
        <v>24203473</v>
      </c>
      <c r="E1216" s="4">
        <v>7.63</v>
      </c>
      <c r="F1216" s="4">
        <v>133.5</v>
      </c>
    </row>
    <row r="1217" ht="22.5" customHeight="1">
      <c r="C1217" s="4">
        <v>2.3903428E7</v>
      </c>
      <c r="D1217" s="17">
        <f t="shared" si="1"/>
        <v>24223476</v>
      </c>
      <c r="E1217" s="4">
        <v>7.63</v>
      </c>
      <c r="F1217" s="4">
        <v>133.6</v>
      </c>
    </row>
    <row r="1218" ht="22.5" customHeight="1">
      <c r="C1218" s="4">
        <v>2.3923432E7</v>
      </c>
      <c r="D1218" s="17">
        <f t="shared" si="1"/>
        <v>24243480</v>
      </c>
      <c r="E1218" s="4">
        <v>7.63</v>
      </c>
      <c r="F1218" s="4">
        <v>133.5</v>
      </c>
    </row>
    <row r="1219" ht="22.5" customHeight="1">
      <c r="C1219" s="4">
        <v>2.3943435E7</v>
      </c>
      <c r="D1219" s="17">
        <f t="shared" si="1"/>
        <v>24263483</v>
      </c>
      <c r="E1219" s="4">
        <v>7.63</v>
      </c>
      <c r="F1219" s="4">
        <v>133.6</v>
      </c>
    </row>
    <row r="1220" ht="22.5" customHeight="1">
      <c r="C1220" s="4">
        <v>2.3963438E7</v>
      </c>
      <c r="D1220" s="17">
        <f t="shared" si="1"/>
        <v>24283486</v>
      </c>
      <c r="E1220" s="4">
        <v>7.63</v>
      </c>
      <c r="F1220" s="4">
        <v>133.6</v>
      </c>
    </row>
    <row r="1221" ht="22.5" customHeight="1">
      <c r="C1221" s="4">
        <v>2.398344E7</v>
      </c>
      <c r="D1221" s="17">
        <f t="shared" si="1"/>
        <v>24303488</v>
      </c>
      <c r="E1221" s="4">
        <v>7.63</v>
      </c>
      <c r="F1221" s="4">
        <v>133.6</v>
      </c>
    </row>
    <row r="1222" ht="22.5" customHeight="1">
      <c r="C1222" s="4">
        <v>2.4003443E7</v>
      </c>
      <c r="D1222" s="17">
        <f t="shared" si="1"/>
        <v>24323491</v>
      </c>
      <c r="E1222" s="4">
        <v>7.63</v>
      </c>
      <c r="F1222" s="4">
        <v>133.6</v>
      </c>
    </row>
    <row r="1223" ht="22.5" customHeight="1">
      <c r="C1223" s="4">
        <v>2.4023446E7</v>
      </c>
      <c r="D1223" s="17">
        <f t="shared" si="1"/>
        <v>24343494</v>
      </c>
      <c r="E1223" s="4">
        <v>7.63</v>
      </c>
      <c r="F1223" s="4">
        <v>133.5</v>
      </c>
    </row>
    <row r="1224" ht="22.5" customHeight="1">
      <c r="C1224" s="4">
        <v>2.4043449E7</v>
      </c>
      <c r="D1224" s="17">
        <f t="shared" si="1"/>
        <v>24363497</v>
      </c>
      <c r="E1224" s="4">
        <v>7.63</v>
      </c>
      <c r="F1224" s="4">
        <v>133.6</v>
      </c>
    </row>
    <row r="1225" ht="22.5" customHeight="1">
      <c r="C1225" s="4">
        <v>2.4063452E7</v>
      </c>
      <c r="D1225" s="17">
        <f t="shared" si="1"/>
        <v>24383500</v>
      </c>
      <c r="E1225" s="4">
        <v>7.63</v>
      </c>
      <c r="F1225" s="4">
        <v>133.6</v>
      </c>
    </row>
    <row r="1226" ht="22.5" customHeight="1">
      <c r="C1226" s="4">
        <v>2.4083454E7</v>
      </c>
      <c r="D1226" s="17">
        <f t="shared" si="1"/>
        <v>24403502</v>
      </c>
      <c r="E1226" s="4">
        <v>7.63</v>
      </c>
      <c r="F1226" s="4">
        <v>133.6</v>
      </c>
    </row>
    <row r="1227" ht="22.5" customHeight="1">
      <c r="C1227" s="4">
        <v>2.4103457E7</v>
      </c>
      <c r="D1227" s="17">
        <f t="shared" si="1"/>
        <v>24423505</v>
      </c>
      <c r="E1227" s="4">
        <v>7.63</v>
      </c>
      <c r="F1227" s="4">
        <v>133.5</v>
      </c>
    </row>
    <row r="1228" ht="22.5" customHeight="1">
      <c r="C1228" s="4">
        <v>2.412346E7</v>
      </c>
      <c r="D1228" s="17">
        <f t="shared" si="1"/>
        <v>24443508</v>
      </c>
      <c r="E1228" s="4">
        <v>7.62</v>
      </c>
      <c r="F1228" s="4">
        <v>133.6</v>
      </c>
    </row>
    <row r="1229" ht="22.5" customHeight="1">
      <c r="C1229" s="4">
        <v>2.4143463E7</v>
      </c>
      <c r="D1229" s="17">
        <f t="shared" si="1"/>
        <v>24463511</v>
      </c>
      <c r="E1229" s="4">
        <v>7.63</v>
      </c>
      <c r="F1229" s="4">
        <v>133.5</v>
      </c>
    </row>
    <row r="1230" ht="22.5" customHeight="1">
      <c r="C1230" s="4">
        <v>2.4163466E7</v>
      </c>
      <c r="D1230" s="17">
        <f t="shared" si="1"/>
        <v>24483514</v>
      </c>
      <c r="E1230" s="4">
        <v>7.63</v>
      </c>
      <c r="F1230" s="4">
        <v>133.5</v>
      </c>
    </row>
    <row r="1231" ht="22.5" customHeight="1">
      <c r="C1231" s="4">
        <v>2.4183469E7</v>
      </c>
      <c r="D1231" s="17">
        <f t="shared" si="1"/>
        <v>24503517</v>
      </c>
      <c r="E1231" s="4">
        <v>7.62</v>
      </c>
      <c r="F1231" s="4">
        <v>133.5</v>
      </c>
    </row>
    <row r="1232" ht="22.5" customHeight="1">
      <c r="C1232" s="4">
        <v>2.4203472E7</v>
      </c>
      <c r="D1232" s="17">
        <f t="shared" si="1"/>
        <v>24523520</v>
      </c>
      <c r="E1232" s="4">
        <v>7.62</v>
      </c>
      <c r="F1232" s="4">
        <v>133.5</v>
      </c>
    </row>
    <row r="1233" ht="22.5" customHeight="1">
      <c r="C1233" s="4">
        <v>2.4223475E7</v>
      </c>
      <c r="D1233" s="17">
        <f t="shared" si="1"/>
        <v>24543523</v>
      </c>
      <c r="E1233" s="4">
        <v>7.63</v>
      </c>
      <c r="F1233" s="4">
        <v>133.5</v>
      </c>
    </row>
    <row r="1234" ht="22.5" customHeight="1">
      <c r="C1234" s="4">
        <v>2.4243478E7</v>
      </c>
      <c r="D1234" s="17">
        <f t="shared" si="1"/>
        <v>24563526</v>
      </c>
      <c r="E1234" s="4">
        <v>7.62</v>
      </c>
      <c r="F1234" s="4">
        <v>133.5</v>
      </c>
    </row>
    <row r="1235" ht="22.5" customHeight="1">
      <c r="C1235" s="4">
        <v>2.4263481E7</v>
      </c>
      <c r="D1235" s="17">
        <f t="shared" si="1"/>
        <v>24583529</v>
      </c>
      <c r="E1235" s="4">
        <v>7.63</v>
      </c>
      <c r="F1235" s="4">
        <v>133.5</v>
      </c>
    </row>
    <row r="1236" ht="22.5" customHeight="1">
      <c r="C1236" s="4">
        <v>2.4283484E7</v>
      </c>
      <c r="D1236" s="17">
        <f t="shared" si="1"/>
        <v>24603532</v>
      </c>
      <c r="E1236" s="4">
        <v>7.62</v>
      </c>
      <c r="F1236" s="4">
        <v>133.5</v>
      </c>
    </row>
    <row r="1237" ht="22.5" customHeight="1">
      <c r="C1237" s="4">
        <v>2.4303486E7</v>
      </c>
      <c r="D1237" s="17">
        <f t="shared" si="1"/>
        <v>24623534</v>
      </c>
      <c r="E1237" s="4">
        <v>7.62</v>
      </c>
      <c r="F1237" s="4">
        <v>133.5</v>
      </c>
    </row>
    <row r="1238" ht="22.5" customHeight="1">
      <c r="C1238" s="4">
        <v>2.4323489E7</v>
      </c>
      <c r="D1238" s="17">
        <f t="shared" si="1"/>
        <v>24643537</v>
      </c>
      <c r="E1238" s="4">
        <v>7.62</v>
      </c>
      <c r="F1238" s="4">
        <v>133.5</v>
      </c>
    </row>
    <row r="1239" ht="22.5" customHeight="1">
      <c r="C1239" s="4">
        <v>2.4343492E7</v>
      </c>
      <c r="D1239" s="17">
        <f t="shared" si="1"/>
        <v>24663540</v>
      </c>
      <c r="E1239" s="4">
        <v>7.62</v>
      </c>
      <c r="F1239" s="4">
        <v>133.5</v>
      </c>
    </row>
    <row r="1240" ht="22.5" customHeight="1">
      <c r="C1240" s="4">
        <v>2.4363495E7</v>
      </c>
      <c r="D1240" s="17">
        <f t="shared" si="1"/>
        <v>24683543</v>
      </c>
      <c r="E1240" s="4">
        <v>7.62</v>
      </c>
      <c r="F1240" s="4">
        <v>133.5</v>
      </c>
    </row>
    <row r="1241" ht="22.5" customHeight="1">
      <c r="C1241" s="4">
        <v>2.4383498E7</v>
      </c>
      <c r="D1241" s="17">
        <f t="shared" si="1"/>
        <v>24703546</v>
      </c>
      <c r="E1241" s="4">
        <v>7.62</v>
      </c>
      <c r="F1241" s="4">
        <v>133.5</v>
      </c>
    </row>
    <row r="1242" ht="22.5" customHeight="1">
      <c r="C1242" s="4">
        <v>2.4403501E7</v>
      </c>
      <c r="D1242" s="17">
        <f t="shared" si="1"/>
        <v>24723549</v>
      </c>
      <c r="E1242" s="4">
        <v>7.62</v>
      </c>
      <c r="F1242" s="4">
        <v>133.4</v>
      </c>
    </row>
    <row r="1243" ht="22.5" customHeight="1">
      <c r="C1243" s="4">
        <v>2.4423503E7</v>
      </c>
      <c r="D1243" s="17">
        <f t="shared" si="1"/>
        <v>24743551</v>
      </c>
      <c r="E1243" s="4">
        <v>7.62</v>
      </c>
      <c r="F1243" s="4">
        <v>133.4</v>
      </c>
    </row>
    <row r="1244" ht="22.5" customHeight="1">
      <c r="C1244" s="4">
        <v>2.4443506E7</v>
      </c>
      <c r="D1244" s="17">
        <f t="shared" si="1"/>
        <v>24763554</v>
      </c>
      <c r="E1244" s="4">
        <v>7.62</v>
      </c>
      <c r="F1244" s="4">
        <v>133.5</v>
      </c>
    </row>
    <row r="1245" ht="22.5" customHeight="1">
      <c r="C1245" s="4">
        <v>2.4463509E7</v>
      </c>
      <c r="D1245" s="17">
        <f t="shared" si="1"/>
        <v>24783557</v>
      </c>
      <c r="E1245" s="4">
        <v>7.62</v>
      </c>
      <c r="F1245" s="4">
        <v>133.5</v>
      </c>
    </row>
    <row r="1246" ht="22.5" customHeight="1">
      <c r="C1246" s="4">
        <v>2.4483513E7</v>
      </c>
      <c r="D1246" s="17">
        <f t="shared" si="1"/>
        <v>24803561</v>
      </c>
      <c r="E1246" s="4">
        <v>7.62</v>
      </c>
      <c r="F1246" s="4">
        <v>133.5</v>
      </c>
    </row>
    <row r="1247" ht="22.5" customHeight="1">
      <c r="C1247" s="4">
        <v>2.4503516E7</v>
      </c>
      <c r="D1247" s="17">
        <f t="shared" si="1"/>
        <v>24823564</v>
      </c>
      <c r="E1247" s="4">
        <v>7.62</v>
      </c>
      <c r="F1247" s="4">
        <v>133.4</v>
      </c>
    </row>
    <row r="1248" ht="22.5" customHeight="1">
      <c r="C1248" s="4">
        <v>2.4523518E7</v>
      </c>
      <c r="D1248" s="17">
        <f t="shared" si="1"/>
        <v>24843566</v>
      </c>
      <c r="E1248" s="4">
        <v>7.62</v>
      </c>
      <c r="F1248" s="4">
        <v>133.4</v>
      </c>
    </row>
    <row r="1249" ht="22.5" customHeight="1">
      <c r="C1249" s="4">
        <v>2.4543521E7</v>
      </c>
      <c r="D1249" s="17">
        <f t="shared" si="1"/>
        <v>24863569</v>
      </c>
      <c r="E1249" s="4">
        <v>7.62</v>
      </c>
      <c r="F1249" s="4">
        <v>133.4</v>
      </c>
    </row>
    <row r="1250" ht="22.5" customHeight="1">
      <c r="C1250" s="4">
        <v>2.4563524E7</v>
      </c>
      <c r="D1250" s="17">
        <f t="shared" si="1"/>
        <v>24883572</v>
      </c>
      <c r="E1250" s="4">
        <v>7.62</v>
      </c>
      <c r="F1250" s="4">
        <v>133.4</v>
      </c>
    </row>
    <row r="1251" ht="22.5" customHeight="1">
      <c r="C1251" s="4">
        <v>2.4583527E7</v>
      </c>
      <c r="D1251" s="17">
        <f t="shared" si="1"/>
        <v>24903575</v>
      </c>
      <c r="E1251" s="4">
        <v>7.62</v>
      </c>
      <c r="F1251" s="4">
        <v>133.4</v>
      </c>
    </row>
    <row r="1252" ht="22.5" customHeight="1">
      <c r="C1252" s="4">
        <v>2.460353E7</v>
      </c>
      <c r="D1252" s="17">
        <f t="shared" si="1"/>
        <v>24923578</v>
      </c>
      <c r="E1252" s="4">
        <v>7.62</v>
      </c>
      <c r="F1252" s="4">
        <v>133.4</v>
      </c>
    </row>
    <row r="1253" ht="22.5" customHeight="1">
      <c r="C1253" s="4">
        <v>2.4623533E7</v>
      </c>
      <c r="D1253" s="17">
        <f t="shared" si="1"/>
        <v>24943581</v>
      </c>
      <c r="E1253" s="4">
        <v>7.62</v>
      </c>
      <c r="F1253" s="4">
        <v>133.4</v>
      </c>
    </row>
    <row r="1254" ht="22.5" customHeight="1">
      <c r="C1254" s="4">
        <v>2.4643535E7</v>
      </c>
      <c r="D1254" s="17">
        <f t="shared" si="1"/>
        <v>24963583</v>
      </c>
      <c r="E1254" s="4">
        <v>7.62</v>
      </c>
      <c r="F1254" s="4">
        <v>133.4</v>
      </c>
    </row>
    <row r="1255" ht="22.5" customHeight="1">
      <c r="C1255" s="4">
        <v>2.4663538E7</v>
      </c>
      <c r="D1255" s="17">
        <f t="shared" si="1"/>
        <v>24983586</v>
      </c>
      <c r="E1255" s="4">
        <v>7.62</v>
      </c>
      <c r="F1255" s="4">
        <v>133.4</v>
      </c>
    </row>
    <row r="1256" ht="22.5" customHeight="1">
      <c r="C1256" s="4">
        <v>2.4683541E7</v>
      </c>
      <c r="D1256" s="17">
        <f t="shared" si="1"/>
        <v>25003589</v>
      </c>
      <c r="E1256" s="4">
        <v>7.62</v>
      </c>
      <c r="F1256" s="4">
        <v>133.4</v>
      </c>
    </row>
    <row r="1257" ht="22.5" customHeight="1">
      <c r="C1257" s="4">
        <v>2.4703544E7</v>
      </c>
      <c r="D1257" s="17">
        <f t="shared" si="1"/>
        <v>25023592</v>
      </c>
      <c r="E1257" s="4">
        <v>7.62</v>
      </c>
      <c r="F1257" s="4">
        <v>133.3</v>
      </c>
    </row>
    <row r="1258" ht="22.5" customHeight="1">
      <c r="C1258" s="4">
        <v>2.4723547E7</v>
      </c>
      <c r="D1258" s="17">
        <f t="shared" si="1"/>
        <v>25043595</v>
      </c>
      <c r="E1258" s="4">
        <v>7.62</v>
      </c>
      <c r="F1258" s="4">
        <v>133.4</v>
      </c>
    </row>
    <row r="1259" ht="22.5" customHeight="1">
      <c r="C1259" s="4">
        <v>2.474355E7</v>
      </c>
      <c r="D1259" s="17">
        <f t="shared" si="1"/>
        <v>25063598</v>
      </c>
      <c r="E1259" s="4">
        <v>7.62</v>
      </c>
      <c r="F1259" s="4">
        <v>133.4</v>
      </c>
    </row>
    <row r="1260" ht="22.5" customHeight="1">
      <c r="C1260" s="4">
        <v>2.4763553E7</v>
      </c>
      <c r="D1260" s="17">
        <f t="shared" si="1"/>
        <v>25083601</v>
      </c>
      <c r="E1260" s="4">
        <v>7.62</v>
      </c>
      <c r="F1260" s="4">
        <v>133.4</v>
      </c>
    </row>
    <row r="1261" ht="22.5" customHeight="1">
      <c r="C1261" s="4">
        <v>2.4783556E7</v>
      </c>
      <c r="D1261" s="17">
        <f t="shared" si="1"/>
        <v>25103604</v>
      </c>
      <c r="E1261" s="4">
        <v>7.62</v>
      </c>
      <c r="F1261" s="4">
        <v>133.3</v>
      </c>
    </row>
    <row r="1262" ht="22.5" customHeight="1">
      <c r="C1262" s="4">
        <v>2.4803559E7</v>
      </c>
      <c r="D1262" s="17">
        <f t="shared" si="1"/>
        <v>25123607</v>
      </c>
      <c r="E1262" s="4">
        <v>7.62</v>
      </c>
      <c r="F1262" s="4">
        <v>133.4</v>
      </c>
    </row>
    <row r="1263" ht="22.5" customHeight="1">
      <c r="C1263" s="4">
        <v>2.4823562E7</v>
      </c>
      <c r="D1263" s="17">
        <f t="shared" si="1"/>
        <v>25143610</v>
      </c>
      <c r="E1263" s="4">
        <v>7.62</v>
      </c>
      <c r="F1263" s="4">
        <v>133.4</v>
      </c>
    </row>
    <row r="1264" ht="22.5" customHeight="1">
      <c r="C1264" s="4">
        <v>2.4843565E7</v>
      </c>
      <c r="D1264" s="17">
        <f t="shared" si="1"/>
        <v>25163613</v>
      </c>
      <c r="E1264" s="4">
        <v>7.62</v>
      </c>
      <c r="F1264" s="4">
        <v>133.4</v>
      </c>
    </row>
    <row r="1265" ht="22.5" customHeight="1">
      <c r="C1265" s="4">
        <v>2.4863567E7</v>
      </c>
      <c r="D1265" s="17">
        <f t="shared" si="1"/>
        <v>25183615</v>
      </c>
      <c r="E1265" s="4">
        <v>7.62</v>
      </c>
      <c r="F1265" s="4">
        <v>133.4</v>
      </c>
    </row>
    <row r="1266" ht="22.5" customHeight="1">
      <c r="C1266" s="4">
        <v>2.488357E7</v>
      </c>
      <c r="D1266" s="17">
        <f t="shared" si="1"/>
        <v>25203618</v>
      </c>
      <c r="E1266" s="4">
        <v>7.62</v>
      </c>
      <c r="F1266" s="4">
        <v>133.4</v>
      </c>
    </row>
    <row r="1267" ht="22.5" customHeight="1">
      <c r="C1267" s="4">
        <v>2.4903573E7</v>
      </c>
      <c r="D1267" s="17">
        <f t="shared" si="1"/>
        <v>25223621</v>
      </c>
      <c r="E1267" s="4">
        <v>7.62</v>
      </c>
      <c r="F1267" s="4">
        <v>133.3</v>
      </c>
    </row>
    <row r="1268" ht="22.5" customHeight="1">
      <c r="C1268" s="4">
        <v>2.4923576E7</v>
      </c>
      <c r="D1268" s="17">
        <f t="shared" si="1"/>
        <v>25243624</v>
      </c>
      <c r="E1268" s="4">
        <v>7.62</v>
      </c>
      <c r="F1268" s="4">
        <v>133.3</v>
      </c>
    </row>
    <row r="1269" ht="22.5" customHeight="1">
      <c r="C1269" s="4">
        <v>2.4943579E7</v>
      </c>
      <c r="D1269" s="17">
        <f t="shared" si="1"/>
        <v>25263627</v>
      </c>
      <c r="E1269" s="4">
        <v>7.62</v>
      </c>
      <c r="F1269" s="4">
        <v>133.3</v>
      </c>
    </row>
    <row r="1270" ht="22.5" customHeight="1">
      <c r="C1270" s="4">
        <v>2.4963581E7</v>
      </c>
      <c r="D1270" s="17">
        <f t="shared" si="1"/>
        <v>25283629</v>
      </c>
      <c r="E1270" s="4">
        <v>7.62</v>
      </c>
      <c r="F1270" s="4">
        <v>133.3</v>
      </c>
    </row>
    <row r="1271" ht="22.5" customHeight="1">
      <c r="C1271" s="4">
        <v>2.4983584E7</v>
      </c>
      <c r="D1271" s="17">
        <f t="shared" si="1"/>
        <v>25303632</v>
      </c>
      <c r="E1271" s="4">
        <v>7.62</v>
      </c>
      <c r="F1271" s="4">
        <v>133.3</v>
      </c>
    </row>
    <row r="1272" ht="22.5" customHeight="1">
      <c r="C1272" s="4">
        <v>2.5003587E7</v>
      </c>
      <c r="D1272" s="17">
        <f t="shared" si="1"/>
        <v>25323635</v>
      </c>
      <c r="E1272" s="4">
        <v>7.62</v>
      </c>
      <c r="F1272" s="4">
        <v>133.4</v>
      </c>
    </row>
    <row r="1273" ht="22.5" customHeight="1">
      <c r="C1273" s="4">
        <v>2.5023591E7</v>
      </c>
      <c r="D1273" s="17">
        <f t="shared" si="1"/>
        <v>25343639</v>
      </c>
      <c r="E1273" s="4">
        <v>7.62</v>
      </c>
      <c r="F1273" s="4">
        <v>133.3</v>
      </c>
    </row>
    <row r="1274" ht="22.5" customHeight="1">
      <c r="C1274" s="4">
        <v>2.5043594E7</v>
      </c>
      <c r="D1274" s="17">
        <f t="shared" si="1"/>
        <v>25363642</v>
      </c>
      <c r="E1274" s="4">
        <v>7.62</v>
      </c>
      <c r="F1274" s="4">
        <v>133.3</v>
      </c>
    </row>
    <row r="1275" ht="22.5" customHeight="1">
      <c r="C1275" s="4">
        <v>2.5063597E7</v>
      </c>
      <c r="D1275" s="17">
        <f t="shared" si="1"/>
        <v>25383645</v>
      </c>
      <c r="E1275" s="4">
        <v>7.62</v>
      </c>
      <c r="F1275" s="4">
        <v>133.3</v>
      </c>
    </row>
    <row r="1276" ht="22.5" customHeight="1">
      <c r="C1276" s="4">
        <v>2.5083599E7</v>
      </c>
      <c r="D1276" s="17">
        <f t="shared" si="1"/>
        <v>25403647</v>
      </c>
      <c r="E1276" s="4">
        <v>7.62</v>
      </c>
      <c r="F1276" s="4">
        <v>133.3</v>
      </c>
    </row>
    <row r="1277" ht="22.5" customHeight="1">
      <c r="C1277" s="4">
        <v>2.5103602E7</v>
      </c>
      <c r="D1277" s="17">
        <f t="shared" si="1"/>
        <v>25423650</v>
      </c>
      <c r="E1277" s="4">
        <v>7.62</v>
      </c>
      <c r="F1277" s="4">
        <v>133.3</v>
      </c>
    </row>
    <row r="1278" ht="22.5" customHeight="1">
      <c r="C1278" s="4">
        <v>2.5123605E7</v>
      </c>
      <c r="D1278" s="17">
        <f t="shared" si="1"/>
        <v>25443653</v>
      </c>
      <c r="E1278" s="4">
        <v>7.62</v>
      </c>
      <c r="F1278" s="4">
        <v>133.3</v>
      </c>
    </row>
    <row r="1279" ht="22.5" customHeight="1">
      <c r="C1279" s="4">
        <v>2.5143608E7</v>
      </c>
      <c r="D1279" s="17">
        <f t="shared" si="1"/>
        <v>25463656</v>
      </c>
      <c r="E1279" s="4">
        <v>7.62</v>
      </c>
      <c r="F1279" s="4">
        <v>133.2</v>
      </c>
    </row>
    <row r="1280" ht="22.5" customHeight="1">
      <c r="C1280" s="4">
        <v>2.5163611E7</v>
      </c>
      <c r="D1280" s="17">
        <f t="shared" si="1"/>
        <v>25483659</v>
      </c>
      <c r="E1280" s="4">
        <v>7.62</v>
      </c>
      <c r="F1280" s="4">
        <v>133.3</v>
      </c>
    </row>
    <row r="1281" ht="22.5" customHeight="1">
      <c r="C1281" s="4">
        <v>2.5183613E7</v>
      </c>
      <c r="D1281" s="17">
        <f t="shared" si="1"/>
        <v>25503661</v>
      </c>
      <c r="E1281" s="4">
        <v>7.61</v>
      </c>
      <c r="F1281" s="4">
        <v>133.3</v>
      </c>
    </row>
    <row r="1282" ht="22.5" customHeight="1">
      <c r="C1282" s="4">
        <v>2.5203616E7</v>
      </c>
      <c r="D1282" s="17">
        <f t="shared" si="1"/>
        <v>25523664</v>
      </c>
      <c r="E1282" s="4">
        <v>7.62</v>
      </c>
      <c r="F1282" s="4">
        <v>133.3</v>
      </c>
    </row>
    <row r="1283" ht="22.5" customHeight="1">
      <c r="C1283" s="4">
        <v>2.5223619E7</v>
      </c>
      <c r="D1283" s="17">
        <f t="shared" si="1"/>
        <v>25543667</v>
      </c>
      <c r="E1283" s="4">
        <v>7.61</v>
      </c>
      <c r="F1283" s="4">
        <v>133.3</v>
      </c>
    </row>
    <row r="1284" ht="22.5" customHeight="1">
      <c r="C1284" s="4">
        <v>2.5243622E7</v>
      </c>
      <c r="D1284" s="17">
        <f t="shared" si="1"/>
        <v>25563670</v>
      </c>
      <c r="E1284" s="4">
        <v>7.62</v>
      </c>
      <c r="F1284" s="4">
        <v>133.2</v>
      </c>
    </row>
    <row r="1285" ht="22.5" customHeight="1">
      <c r="C1285" s="4">
        <v>2.5263625E7</v>
      </c>
      <c r="D1285" s="17">
        <f t="shared" si="1"/>
        <v>25583673</v>
      </c>
      <c r="E1285" s="4">
        <v>7.61</v>
      </c>
      <c r="F1285" s="4">
        <v>133.2</v>
      </c>
    </row>
    <row r="1286" ht="22.5" customHeight="1">
      <c r="C1286" s="4">
        <v>2.5283629E7</v>
      </c>
      <c r="D1286" s="17">
        <f t="shared" si="1"/>
        <v>25603677</v>
      </c>
      <c r="E1286" s="4">
        <v>7.61</v>
      </c>
      <c r="F1286" s="4">
        <v>133.3</v>
      </c>
    </row>
    <row r="1287" ht="22.5" customHeight="1">
      <c r="C1287" s="4">
        <v>2.5303631E7</v>
      </c>
      <c r="D1287" s="17">
        <f t="shared" si="1"/>
        <v>25623679</v>
      </c>
      <c r="E1287" s="4">
        <v>7.61</v>
      </c>
      <c r="F1287" s="4">
        <v>133.3</v>
      </c>
    </row>
    <row r="1288" ht="22.5" customHeight="1">
      <c r="C1288" s="4">
        <v>2.5323634E7</v>
      </c>
      <c r="D1288" s="17">
        <f t="shared" si="1"/>
        <v>25643682</v>
      </c>
      <c r="E1288" s="4">
        <v>7.61</v>
      </c>
      <c r="F1288" s="4">
        <v>133.3</v>
      </c>
    </row>
    <row r="1289" ht="22.5" customHeight="1">
      <c r="C1289" s="4">
        <v>2.5343637E7</v>
      </c>
      <c r="D1289" s="17">
        <f t="shared" si="1"/>
        <v>25663685</v>
      </c>
      <c r="E1289" s="4">
        <v>7.61</v>
      </c>
      <c r="F1289" s="4">
        <v>133.2</v>
      </c>
    </row>
    <row r="1290" ht="22.5" customHeight="1">
      <c r="C1290" s="4">
        <v>2.536364E7</v>
      </c>
      <c r="D1290" s="17">
        <f t="shared" si="1"/>
        <v>25683688</v>
      </c>
      <c r="E1290" s="4">
        <v>7.61</v>
      </c>
      <c r="F1290" s="4">
        <v>133.3</v>
      </c>
    </row>
    <row r="1291" ht="22.5" customHeight="1">
      <c r="C1291" s="4">
        <v>2.5383643E7</v>
      </c>
      <c r="D1291" s="17">
        <f t="shared" si="1"/>
        <v>25703691</v>
      </c>
      <c r="E1291" s="4">
        <v>7.61</v>
      </c>
      <c r="F1291" s="4">
        <v>133.3</v>
      </c>
    </row>
    <row r="1292" ht="22.5" customHeight="1">
      <c r="C1292" s="4">
        <v>2.5403645E7</v>
      </c>
      <c r="D1292" s="17">
        <f t="shared" si="1"/>
        <v>25723693</v>
      </c>
      <c r="E1292" s="4">
        <v>7.61</v>
      </c>
      <c r="F1292" s="4">
        <v>133.2</v>
      </c>
    </row>
    <row r="1293" ht="22.5" customHeight="1">
      <c r="C1293" s="4">
        <v>2.5423648E7</v>
      </c>
      <c r="D1293" s="17">
        <f t="shared" si="1"/>
        <v>25743696</v>
      </c>
      <c r="E1293" s="4">
        <v>7.61</v>
      </c>
      <c r="F1293" s="4">
        <v>133.2</v>
      </c>
    </row>
    <row r="1294" ht="22.5" customHeight="1">
      <c r="C1294" s="4">
        <v>2.5443651E7</v>
      </c>
      <c r="D1294" s="17">
        <f t="shared" si="1"/>
        <v>25763699</v>
      </c>
      <c r="E1294" s="4">
        <v>7.61</v>
      </c>
      <c r="F1294" s="4">
        <v>133.2</v>
      </c>
    </row>
    <row r="1295" ht="22.5" customHeight="1">
      <c r="C1295" s="4">
        <v>2.5463654E7</v>
      </c>
      <c r="D1295" s="17">
        <f t="shared" si="1"/>
        <v>25783702</v>
      </c>
      <c r="E1295" s="4">
        <v>7.61</v>
      </c>
      <c r="F1295" s="4">
        <v>133.2</v>
      </c>
    </row>
    <row r="1296" ht="22.5" customHeight="1">
      <c r="C1296" s="4">
        <v>2.5483657E7</v>
      </c>
      <c r="D1296" s="17">
        <f t="shared" si="1"/>
        <v>25803705</v>
      </c>
      <c r="E1296" s="4">
        <v>7.61</v>
      </c>
      <c r="F1296" s="4">
        <v>133.2</v>
      </c>
    </row>
    <row r="1297" ht="22.5" customHeight="1">
      <c r="C1297" s="4">
        <v>2.550366E7</v>
      </c>
      <c r="D1297" s="17">
        <f t="shared" si="1"/>
        <v>25823708</v>
      </c>
      <c r="E1297" s="4">
        <v>7.61</v>
      </c>
      <c r="F1297" s="4">
        <v>133.2</v>
      </c>
    </row>
    <row r="1298" ht="22.5" customHeight="1">
      <c r="C1298" s="4">
        <v>2.5523662E7</v>
      </c>
      <c r="D1298" s="17">
        <f t="shared" si="1"/>
        <v>25843710</v>
      </c>
      <c r="E1298" s="4">
        <v>7.61</v>
      </c>
      <c r="F1298" s="4">
        <v>133.2</v>
      </c>
    </row>
    <row r="1299" ht="22.5" customHeight="1">
      <c r="C1299" s="4">
        <v>2.5543666E7</v>
      </c>
      <c r="D1299" s="17">
        <f t="shared" si="1"/>
        <v>25863714</v>
      </c>
      <c r="E1299" s="4">
        <v>7.61</v>
      </c>
      <c r="F1299" s="4">
        <v>133.2</v>
      </c>
    </row>
    <row r="1300" ht="22.5" customHeight="1">
      <c r="C1300" s="4">
        <v>2.5563669E7</v>
      </c>
      <c r="D1300" s="17">
        <f t="shared" si="1"/>
        <v>25883717</v>
      </c>
      <c r="E1300" s="4">
        <v>7.61</v>
      </c>
      <c r="F1300" s="4">
        <v>133.2</v>
      </c>
    </row>
    <row r="1301" ht="22.5" customHeight="1">
      <c r="C1301" s="4">
        <v>2.5583672E7</v>
      </c>
      <c r="D1301" s="17">
        <f t="shared" si="1"/>
        <v>25903720</v>
      </c>
      <c r="E1301" s="4">
        <v>7.61</v>
      </c>
      <c r="F1301" s="4">
        <v>133.2</v>
      </c>
    </row>
    <row r="1302" ht="22.5" customHeight="1">
      <c r="C1302" s="4">
        <v>2.5603675E7</v>
      </c>
      <c r="D1302" s="17">
        <f t="shared" si="1"/>
        <v>25923723</v>
      </c>
      <c r="E1302" s="4">
        <v>7.61</v>
      </c>
      <c r="F1302" s="4">
        <v>133.1</v>
      </c>
    </row>
    <row r="1303" ht="22.5" customHeight="1">
      <c r="C1303" s="4">
        <v>2.5623677E7</v>
      </c>
      <c r="D1303" s="17">
        <f t="shared" si="1"/>
        <v>25943725</v>
      </c>
      <c r="E1303" s="4">
        <v>7.61</v>
      </c>
      <c r="F1303" s="4">
        <v>133.1</v>
      </c>
    </row>
    <row r="1304" ht="22.5" customHeight="1">
      <c r="C1304" s="4">
        <v>2.564368E7</v>
      </c>
      <c r="D1304" s="17">
        <f t="shared" si="1"/>
        <v>25963728</v>
      </c>
      <c r="E1304" s="4">
        <v>7.61</v>
      </c>
      <c r="F1304" s="4">
        <v>133.1</v>
      </c>
    </row>
    <row r="1305" ht="22.5" customHeight="1">
      <c r="C1305" s="4">
        <v>2.5663683E7</v>
      </c>
      <c r="D1305" s="17">
        <f t="shared" si="1"/>
        <v>25983731</v>
      </c>
      <c r="E1305" s="4">
        <v>7.61</v>
      </c>
      <c r="F1305" s="4">
        <v>133.1</v>
      </c>
    </row>
    <row r="1306" ht="22.5" customHeight="1">
      <c r="C1306" s="4">
        <v>2.5683686E7</v>
      </c>
      <c r="D1306" s="17">
        <f t="shared" si="1"/>
        <v>26003734</v>
      </c>
      <c r="E1306" s="4">
        <v>7.61</v>
      </c>
      <c r="F1306" s="4">
        <v>133.2</v>
      </c>
    </row>
    <row r="1307" ht="22.5" customHeight="1">
      <c r="C1307" s="4">
        <v>2.5703689E7</v>
      </c>
      <c r="D1307" s="17">
        <f t="shared" si="1"/>
        <v>26023737</v>
      </c>
      <c r="E1307" s="4">
        <v>7.61</v>
      </c>
      <c r="F1307" s="4">
        <v>133.1</v>
      </c>
    </row>
    <row r="1308" ht="22.5" customHeight="1">
      <c r="C1308" s="4">
        <v>2.5723692E7</v>
      </c>
      <c r="D1308" s="17">
        <f t="shared" si="1"/>
        <v>26043740</v>
      </c>
      <c r="E1308" s="4">
        <v>7.61</v>
      </c>
      <c r="F1308" s="4">
        <v>133.2</v>
      </c>
    </row>
    <row r="1309" ht="22.5" customHeight="1">
      <c r="C1309" s="4">
        <v>2.5743694E7</v>
      </c>
      <c r="D1309" s="17">
        <f t="shared" si="1"/>
        <v>26063742</v>
      </c>
      <c r="E1309" s="4">
        <v>7.61</v>
      </c>
      <c r="F1309" s="4">
        <v>133.1</v>
      </c>
    </row>
    <row r="1310" ht="22.5" customHeight="1">
      <c r="C1310" s="4">
        <v>2.5763697E7</v>
      </c>
      <c r="D1310" s="17">
        <f t="shared" si="1"/>
        <v>26083745</v>
      </c>
      <c r="E1310" s="4">
        <v>7.61</v>
      </c>
      <c r="F1310" s="4">
        <v>133.1</v>
      </c>
    </row>
    <row r="1311" ht="22.5" customHeight="1">
      <c r="C1311" s="4">
        <v>2.57837E7</v>
      </c>
      <c r="D1311" s="17">
        <f t="shared" si="1"/>
        <v>26103748</v>
      </c>
      <c r="E1311" s="4">
        <v>7.6</v>
      </c>
      <c r="F1311" s="4">
        <v>133.1</v>
      </c>
    </row>
    <row r="1312" ht="22.5" customHeight="1">
      <c r="C1312" s="4">
        <v>2.5803704E7</v>
      </c>
      <c r="D1312" s="17">
        <f t="shared" si="1"/>
        <v>26123752</v>
      </c>
      <c r="E1312" s="4">
        <v>7.6</v>
      </c>
      <c r="F1312" s="4">
        <v>133.2</v>
      </c>
    </row>
    <row r="1313" ht="22.5" customHeight="1">
      <c r="C1313" s="4">
        <v>2.5823707E7</v>
      </c>
      <c r="D1313" s="17">
        <f t="shared" si="1"/>
        <v>26143755</v>
      </c>
      <c r="E1313" s="4">
        <v>7.6</v>
      </c>
      <c r="F1313" s="4">
        <v>133.1</v>
      </c>
    </row>
    <row r="1314" ht="22.5" customHeight="1">
      <c r="C1314" s="4">
        <v>2.5843709E7</v>
      </c>
      <c r="D1314" s="17">
        <f t="shared" si="1"/>
        <v>26163757</v>
      </c>
      <c r="E1314" s="4">
        <v>7.61</v>
      </c>
      <c r="F1314" s="4">
        <v>133.1</v>
      </c>
    </row>
    <row r="1315" ht="22.5" customHeight="1">
      <c r="C1315" s="4">
        <v>2.5863712E7</v>
      </c>
      <c r="D1315" s="17">
        <f t="shared" si="1"/>
        <v>26183760</v>
      </c>
      <c r="E1315" s="4">
        <v>7.6</v>
      </c>
      <c r="F1315" s="4">
        <v>133.1</v>
      </c>
    </row>
    <row r="1316" ht="22.5" customHeight="1">
      <c r="C1316" s="4">
        <v>2.5883715E7</v>
      </c>
      <c r="D1316" s="17">
        <f t="shared" si="1"/>
        <v>26203763</v>
      </c>
      <c r="E1316" s="4">
        <v>7.6</v>
      </c>
      <c r="F1316" s="4">
        <v>133.1</v>
      </c>
    </row>
    <row r="1317" ht="22.5" customHeight="1">
      <c r="C1317" s="4">
        <v>2.5903718E7</v>
      </c>
      <c r="D1317" s="17">
        <f t="shared" si="1"/>
        <v>26223766</v>
      </c>
      <c r="E1317" s="4">
        <v>7.6</v>
      </c>
      <c r="F1317" s="4">
        <v>133.1</v>
      </c>
    </row>
    <row r="1318" ht="22.5" customHeight="1">
      <c r="C1318" s="4">
        <v>2.5923721E7</v>
      </c>
      <c r="D1318" s="17">
        <f t="shared" si="1"/>
        <v>26243769</v>
      </c>
      <c r="E1318" s="4">
        <v>7.6</v>
      </c>
      <c r="F1318" s="4">
        <v>133.1</v>
      </c>
    </row>
    <row r="1319" ht="22.5" customHeight="1">
      <c r="C1319" s="4">
        <v>2.5943724E7</v>
      </c>
      <c r="D1319" s="17">
        <f t="shared" si="1"/>
        <v>26263772</v>
      </c>
      <c r="E1319" s="4">
        <v>7.6</v>
      </c>
      <c r="F1319" s="4">
        <v>133.1</v>
      </c>
    </row>
    <row r="1320" ht="22.5" customHeight="1">
      <c r="C1320" s="4">
        <v>2.5963726E7</v>
      </c>
      <c r="D1320" s="17">
        <f t="shared" si="1"/>
        <v>26283774</v>
      </c>
      <c r="E1320" s="4">
        <v>7.6</v>
      </c>
      <c r="F1320" s="4">
        <v>133.1</v>
      </c>
    </row>
    <row r="1321" ht="22.5" customHeight="1">
      <c r="C1321" s="4">
        <v>2.5983729E7</v>
      </c>
      <c r="D1321" s="17">
        <f t="shared" si="1"/>
        <v>26303777</v>
      </c>
      <c r="E1321" s="4">
        <v>7.6</v>
      </c>
      <c r="F1321" s="4">
        <v>133.1</v>
      </c>
    </row>
    <row r="1322" ht="22.5" customHeight="1">
      <c r="C1322" s="4">
        <v>2.6003732E7</v>
      </c>
      <c r="D1322" s="17">
        <f t="shared" si="1"/>
        <v>26323780</v>
      </c>
      <c r="E1322" s="4">
        <v>7.6</v>
      </c>
      <c r="F1322" s="4">
        <v>133.0</v>
      </c>
    </row>
    <row r="1323" ht="22.5" customHeight="1">
      <c r="C1323" s="4">
        <v>2.6023735E7</v>
      </c>
      <c r="D1323" s="17">
        <f t="shared" si="1"/>
        <v>26343783</v>
      </c>
      <c r="E1323" s="4">
        <v>7.6</v>
      </c>
      <c r="F1323" s="4">
        <v>133.1</v>
      </c>
    </row>
    <row r="1324" ht="22.5" customHeight="1">
      <c r="C1324" s="4">
        <v>2.6043738E7</v>
      </c>
      <c r="D1324" s="17">
        <f t="shared" si="1"/>
        <v>26363786</v>
      </c>
      <c r="E1324" s="4">
        <v>7.6</v>
      </c>
      <c r="F1324" s="4">
        <v>133.0</v>
      </c>
    </row>
    <row r="1325" ht="22.5" customHeight="1">
      <c r="C1325" s="4">
        <v>2.606374E7</v>
      </c>
      <c r="D1325" s="17">
        <f t="shared" si="1"/>
        <v>26383788</v>
      </c>
      <c r="E1325" s="4">
        <v>7.6</v>
      </c>
      <c r="F1325" s="4">
        <v>133.1</v>
      </c>
    </row>
    <row r="1326" ht="22.5" customHeight="1">
      <c r="C1326" s="4">
        <v>2.6083743E7</v>
      </c>
      <c r="D1326" s="17">
        <f t="shared" si="1"/>
        <v>26403791</v>
      </c>
      <c r="E1326" s="4">
        <v>7.6</v>
      </c>
      <c r="F1326" s="4">
        <v>133.1</v>
      </c>
    </row>
    <row r="1327" ht="22.5" customHeight="1">
      <c r="C1327" s="4">
        <v>2.6103747E7</v>
      </c>
      <c r="D1327" s="17">
        <f t="shared" si="1"/>
        <v>26423795</v>
      </c>
      <c r="E1327" s="4">
        <v>7.6</v>
      </c>
      <c r="F1327" s="4">
        <v>133.0</v>
      </c>
    </row>
    <row r="1328" ht="22.5" customHeight="1">
      <c r="C1328" s="4">
        <v>2.612375E7</v>
      </c>
      <c r="D1328" s="17">
        <f t="shared" si="1"/>
        <v>26443798</v>
      </c>
      <c r="E1328" s="4">
        <v>7.6</v>
      </c>
      <c r="F1328" s="4">
        <v>133.0</v>
      </c>
    </row>
    <row r="1329" ht="22.5" customHeight="1">
      <c r="C1329" s="4">
        <v>2.6143753E7</v>
      </c>
      <c r="D1329" s="17">
        <f t="shared" si="1"/>
        <v>26463801</v>
      </c>
      <c r="E1329" s="4">
        <v>7.6</v>
      </c>
      <c r="F1329" s="4">
        <v>133.0</v>
      </c>
    </row>
    <row r="1330" ht="22.5" customHeight="1">
      <c r="C1330" s="4">
        <v>2.6163756E7</v>
      </c>
      <c r="D1330" s="17">
        <f t="shared" si="1"/>
        <v>26483804</v>
      </c>
      <c r="E1330" s="4">
        <v>7.6</v>
      </c>
      <c r="F1330" s="4">
        <v>133.0</v>
      </c>
    </row>
    <row r="1331" ht="22.5" customHeight="1">
      <c r="C1331" s="4">
        <v>2.6183758E7</v>
      </c>
      <c r="D1331" s="17">
        <f t="shared" si="1"/>
        <v>26503806</v>
      </c>
      <c r="E1331" s="4">
        <v>7.6</v>
      </c>
      <c r="F1331" s="4">
        <v>133.0</v>
      </c>
    </row>
    <row r="1332" ht="22.5" customHeight="1">
      <c r="C1332" s="4">
        <v>2.6203761E7</v>
      </c>
      <c r="D1332" s="17">
        <f t="shared" si="1"/>
        <v>26523809</v>
      </c>
      <c r="E1332" s="4">
        <v>7.6</v>
      </c>
      <c r="F1332" s="4">
        <v>133.0</v>
      </c>
    </row>
    <row r="1333" ht="22.5" customHeight="1">
      <c r="C1333" s="4">
        <v>2.6223764E7</v>
      </c>
      <c r="D1333" s="17">
        <f t="shared" si="1"/>
        <v>26543812</v>
      </c>
      <c r="E1333" s="4">
        <v>7.6</v>
      </c>
      <c r="F1333" s="4">
        <v>133.0</v>
      </c>
    </row>
    <row r="1334" ht="22.5" customHeight="1">
      <c r="C1334" s="4">
        <v>2.6243767E7</v>
      </c>
      <c r="D1334" s="17">
        <f t="shared" si="1"/>
        <v>26563815</v>
      </c>
      <c r="E1334" s="4">
        <v>7.6</v>
      </c>
      <c r="F1334" s="4">
        <v>133.0</v>
      </c>
    </row>
    <row r="1335" ht="22.5" customHeight="1">
      <c r="C1335" s="4">
        <v>2.626377E7</v>
      </c>
      <c r="D1335" s="17">
        <f t="shared" si="1"/>
        <v>26583818</v>
      </c>
      <c r="E1335" s="4">
        <v>7.6</v>
      </c>
      <c r="F1335" s="4">
        <v>133.0</v>
      </c>
    </row>
    <row r="1336" ht="22.5" customHeight="1">
      <c r="C1336" s="4">
        <v>2.6283772E7</v>
      </c>
      <c r="D1336" s="17">
        <f t="shared" si="1"/>
        <v>26603820</v>
      </c>
      <c r="E1336" s="4">
        <v>7.6</v>
      </c>
      <c r="F1336" s="4">
        <v>133.0</v>
      </c>
    </row>
    <row r="1337" ht="22.5" customHeight="1">
      <c r="C1337" s="4">
        <v>2.6303775E7</v>
      </c>
      <c r="D1337" s="17">
        <f t="shared" si="1"/>
        <v>26623823</v>
      </c>
      <c r="E1337" s="4">
        <v>7.6</v>
      </c>
      <c r="F1337" s="4">
        <v>133.0</v>
      </c>
    </row>
    <row r="1338" ht="22.5" customHeight="1">
      <c r="C1338" s="4">
        <v>2.6323778E7</v>
      </c>
      <c r="D1338" s="17">
        <f t="shared" si="1"/>
        <v>26643826</v>
      </c>
      <c r="E1338" s="4">
        <v>7.6</v>
      </c>
      <c r="F1338" s="4">
        <v>133.0</v>
      </c>
    </row>
    <row r="1339" ht="22.5" customHeight="1">
      <c r="C1339" s="4">
        <v>2.6343781E7</v>
      </c>
      <c r="D1339" s="17">
        <f t="shared" si="1"/>
        <v>26663829</v>
      </c>
      <c r="E1339" s="4">
        <v>7.6</v>
      </c>
      <c r="F1339" s="4">
        <v>133.0</v>
      </c>
    </row>
    <row r="1340" ht="22.5" customHeight="1">
      <c r="C1340" s="4">
        <v>2.6363784E7</v>
      </c>
      <c r="D1340" s="17">
        <f t="shared" si="1"/>
        <v>26683832</v>
      </c>
      <c r="E1340" s="4">
        <v>7.6</v>
      </c>
      <c r="F1340" s="4">
        <v>133.0</v>
      </c>
    </row>
    <row r="1341" ht="22.5" customHeight="1">
      <c r="C1341" s="4">
        <v>2.6383787E7</v>
      </c>
      <c r="D1341" s="17">
        <f t="shared" si="1"/>
        <v>26703835</v>
      </c>
      <c r="E1341" s="4">
        <v>7.6</v>
      </c>
      <c r="F1341" s="4">
        <v>132.9</v>
      </c>
    </row>
    <row r="1342" ht="22.5" customHeight="1">
      <c r="C1342" s="4">
        <v>2.6403789E7</v>
      </c>
      <c r="D1342" s="17">
        <f t="shared" si="1"/>
        <v>26723837</v>
      </c>
      <c r="E1342" s="4">
        <v>7.6</v>
      </c>
      <c r="F1342" s="4">
        <v>133.0</v>
      </c>
    </row>
    <row r="1343" ht="22.5" customHeight="1">
      <c r="C1343" s="4">
        <v>2.6423793E7</v>
      </c>
      <c r="D1343" s="17">
        <f t="shared" si="1"/>
        <v>26743841</v>
      </c>
      <c r="E1343" s="4">
        <v>7.6</v>
      </c>
      <c r="F1343" s="4">
        <v>132.9</v>
      </c>
    </row>
    <row r="1344" ht="22.5" customHeight="1">
      <c r="C1344" s="4">
        <v>2.6443796E7</v>
      </c>
      <c r="D1344" s="17">
        <f t="shared" si="1"/>
        <v>26763844</v>
      </c>
      <c r="E1344" s="4">
        <v>7.6</v>
      </c>
      <c r="F1344" s="4">
        <v>132.9</v>
      </c>
    </row>
    <row r="1345" ht="22.5" customHeight="1">
      <c r="C1345" s="4">
        <v>2.6463799E7</v>
      </c>
      <c r="D1345" s="17">
        <f t="shared" si="1"/>
        <v>26783847</v>
      </c>
      <c r="E1345" s="4">
        <v>7.6</v>
      </c>
      <c r="F1345" s="4">
        <v>132.9</v>
      </c>
    </row>
    <row r="1346" ht="22.5" customHeight="1">
      <c r="C1346" s="4">
        <v>2.6483802E7</v>
      </c>
      <c r="D1346" s="17">
        <f t="shared" si="1"/>
        <v>26803850</v>
      </c>
      <c r="E1346" s="4">
        <v>7.6</v>
      </c>
      <c r="F1346" s="4">
        <v>132.8</v>
      </c>
    </row>
    <row r="1347" ht="22.5" customHeight="1">
      <c r="C1347" s="4">
        <v>2.6503804E7</v>
      </c>
      <c r="D1347" s="17">
        <f t="shared" si="1"/>
        <v>26823852</v>
      </c>
      <c r="E1347" s="4">
        <v>7.6</v>
      </c>
      <c r="F1347" s="4">
        <v>132.9</v>
      </c>
    </row>
    <row r="1348" ht="22.5" customHeight="1">
      <c r="C1348" s="4">
        <v>2.6523807E7</v>
      </c>
      <c r="D1348" s="17">
        <f t="shared" si="1"/>
        <v>26843855</v>
      </c>
      <c r="E1348" s="4">
        <v>7.59</v>
      </c>
      <c r="F1348" s="4">
        <v>132.9</v>
      </c>
    </row>
    <row r="1349" ht="22.5" customHeight="1">
      <c r="C1349" s="4">
        <v>2.654381E7</v>
      </c>
      <c r="D1349" s="17">
        <f t="shared" si="1"/>
        <v>26863858</v>
      </c>
      <c r="E1349" s="4">
        <v>7.59</v>
      </c>
      <c r="F1349" s="4">
        <v>132.9</v>
      </c>
    </row>
    <row r="1350" ht="22.5" customHeight="1">
      <c r="C1350" s="4">
        <v>2.6563813E7</v>
      </c>
      <c r="D1350" s="17">
        <f t="shared" si="1"/>
        <v>26883861</v>
      </c>
      <c r="E1350" s="4">
        <v>7.59</v>
      </c>
      <c r="F1350" s="4">
        <v>132.9</v>
      </c>
    </row>
    <row r="1351" ht="22.5" customHeight="1">
      <c r="C1351" s="4">
        <v>2.6583816E7</v>
      </c>
      <c r="D1351" s="17">
        <f t="shared" si="1"/>
        <v>26903864</v>
      </c>
      <c r="E1351" s="4">
        <v>7.59</v>
      </c>
      <c r="F1351" s="4">
        <v>132.9</v>
      </c>
    </row>
    <row r="1352" ht="22.5" customHeight="1">
      <c r="C1352" s="4">
        <v>2.6603819E7</v>
      </c>
      <c r="D1352" s="17">
        <f t="shared" si="1"/>
        <v>26923867</v>
      </c>
      <c r="E1352" s="4">
        <v>7.59</v>
      </c>
      <c r="F1352" s="4">
        <v>132.8</v>
      </c>
    </row>
    <row r="1353" ht="22.5" customHeight="1">
      <c r="C1353" s="4">
        <v>2.6623821E7</v>
      </c>
      <c r="D1353" s="17">
        <f t="shared" si="1"/>
        <v>26943869</v>
      </c>
      <c r="E1353" s="4">
        <v>7.59</v>
      </c>
      <c r="F1353" s="4">
        <v>132.8</v>
      </c>
    </row>
    <row r="1354" ht="22.5" customHeight="1">
      <c r="C1354" s="4">
        <v>2.6643824E7</v>
      </c>
      <c r="D1354" s="17">
        <f t="shared" si="1"/>
        <v>26963872</v>
      </c>
      <c r="E1354" s="4">
        <v>7.59</v>
      </c>
      <c r="F1354" s="4">
        <v>132.9</v>
      </c>
    </row>
    <row r="1355" ht="22.5" customHeight="1">
      <c r="C1355" s="4">
        <v>2.6663827E7</v>
      </c>
      <c r="D1355" s="17">
        <f t="shared" si="1"/>
        <v>26983875</v>
      </c>
      <c r="E1355" s="4">
        <v>7.59</v>
      </c>
      <c r="F1355" s="4">
        <v>132.8</v>
      </c>
    </row>
    <row r="1356" ht="22.5" customHeight="1">
      <c r="C1356" s="4">
        <v>2.668383E7</v>
      </c>
      <c r="D1356" s="17">
        <f t="shared" si="1"/>
        <v>27003878</v>
      </c>
      <c r="E1356" s="4">
        <v>7.59</v>
      </c>
      <c r="F1356" s="4">
        <v>132.8</v>
      </c>
    </row>
    <row r="1357" ht="22.5" customHeight="1">
      <c r="C1357" s="4">
        <v>2.6703834E7</v>
      </c>
      <c r="D1357" s="17">
        <f t="shared" si="1"/>
        <v>27023882</v>
      </c>
      <c r="E1357" s="4">
        <v>7.59</v>
      </c>
      <c r="F1357" s="4">
        <v>132.9</v>
      </c>
    </row>
    <row r="1358" ht="22.5" customHeight="1">
      <c r="C1358" s="4">
        <v>2.6723836E7</v>
      </c>
      <c r="D1358" s="17">
        <f t="shared" si="1"/>
        <v>27043884</v>
      </c>
      <c r="E1358" s="4">
        <v>7.59</v>
      </c>
      <c r="F1358" s="4">
        <v>132.8</v>
      </c>
    </row>
    <row r="1359" ht="22.5" customHeight="1">
      <c r="C1359" s="4">
        <v>2.6743839E7</v>
      </c>
      <c r="D1359" s="17">
        <f t="shared" si="1"/>
        <v>27063887</v>
      </c>
      <c r="E1359" s="4">
        <v>7.59</v>
      </c>
      <c r="F1359" s="4">
        <v>132.9</v>
      </c>
    </row>
    <row r="1360" ht="22.5" customHeight="1">
      <c r="C1360" s="4">
        <v>2.6763842E7</v>
      </c>
      <c r="D1360" s="17">
        <f t="shared" si="1"/>
        <v>27083890</v>
      </c>
      <c r="E1360" s="4">
        <v>7.59</v>
      </c>
      <c r="F1360" s="4">
        <v>132.8</v>
      </c>
    </row>
    <row r="1361" ht="22.5" customHeight="1">
      <c r="C1361" s="4">
        <v>2.6783845E7</v>
      </c>
      <c r="D1361" s="17">
        <f t="shared" si="1"/>
        <v>27103893</v>
      </c>
      <c r="E1361" s="4">
        <v>7.59</v>
      </c>
      <c r="F1361" s="4">
        <v>132.8</v>
      </c>
    </row>
    <row r="1362" ht="22.5" customHeight="1">
      <c r="C1362" s="4">
        <v>2.6803848E7</v>
      </c>
      <c r="D1362" s="17">
        <f t="shared" si="1"/>
        <v>27123896</v>
      </c>
      <c r="E1362" s="4">
        <v>7.59</v>
      </c>
      <c r="F1362" s="4">
        <v>132.8</v>
      </c>
    </row>
    <row r="1363" ht="22.5" customHeight="1">
      <c r="C1363" s="4">
        <v>2.6823851E7</v>
      </c>
      <c r="D1363" s="17">
        <f t="shared" si="1"/>
        <v>27143899</v>
      </c>
      <c r="E1363" s="4">
        <v>7.59</v>
      </c>
      <c r="F1363" s="4">
        <v>132.9</v>
      </c>
    </row>
    <row r="1364" ht="22.5" customHeight="1">
      <c r="C1364" s="4">
        <v>2.6843853E7</v>
      </c>
      <c r="D1364" s="17">
        <f t="shared" si="1"/>
        <v>27163901</v>
      </c>
      <c r="E1364" s="4">
        <v>7.59</v>
      </c>
      <c r="F1364" s="4">
        <v>132.8</v>
      </c>
    </row>
    <row r="1365" ht="22.5" customHeight="1">
      <c r="C1365" s="4">
        <v>2.6863856E7</v>
      </c>
      <c r="D1365" s="17">
        <f t="shared" si="1"/>
        <v>27183904</v>
      </c>
      <c r="E1365" s="4">
        <v>7.59</v>
      </c>
      <c r="F1365" s="4">
        <v>132.8</v>
      </c>
    </row>
    <row r="1366" ht="22.5" customHeight="1">
      <c r="C1366" s="4">
        <v>2.6883859E7</v>
      </c>
      <c r="D1366" s="17">
        <f t="shared" si="1"/>
        <v>27203907</v>
      </c>
      <c r="E1366" s="4">
        <v>7.59</v>
      </c>
      <c r="F1366" s="4">
        <v>132.8</v>
      </c>
    </row>
    <row r="1367" ht="22.5" customHeight="1">
      <c r="C1367" s="4">
        <v>2.6903862E7</v>
      </c>
      <c r="D1367" s="17">
        <f t="shared" si="1"/>
        <v>27223910</v>
      </c>
      <c r="E1367" s="4">
        <v>7.59</v>
      </c>
      <c r="F1367" s="4">
        <v>132.9</v>
      </c>
    </row>
    <row r="1368" ht="22.5" customHeight="1">
      <c r="C1368" s="4">
        <v>2.6923865E7</v>
      </c>
      <c r="D1368" s="17">
        <f t="shared" si="1"/>
        <v>27243913</v>
      </c>
      <c r="E1368" s="4">
        <v>7.59</v>
      </c>
      <c r="F1368" s="4">
        <v>132.8</v>
      </c>
    </row>
    <row r="1369" ht="22.5" customHeight="1">
      <c r="C1369" s="4">
        <v>2.6943867E7</v>
      </c>
      <c r="D1369" s="17">
        <f t="shared" si="1"/>
        <v>27263915</v>
      </c>
      <c r="E1369" s="4">
        <v>7.59</v>
      </c>
      <c r="F1369" s="4">
        <v>132.8</v>
      </c>
    </row>
    <row r="1370" ht="22.5" customHeight="1">
      <c r="C1370" s="4">
        <v>2.696387E7</v>
      </c>
      <c r="D1370" s="17">
        <f t="shared" si="1"/>
        <v>27283918</v>
      </c>
      <c r="E1370" s="4">
        <v>7.59</v>
      </c>
      <c r="F1370" s="4">
        <v>132.8</v>
      </c>
    </row>
    <row r="1371" ht="22.5" customHeight="1">
      <c r="C1371" s="4">
        <v>2.6983874E7</v>
      </c>
      <c r="D1371" s="17">
        <f t="shared" si="1"/>
        <v>27303922</v>
      </c>
      <c r="E1371" s="4">
        <v>7.58</v>
      </c>
      <c r="F1371" s="4">
        <v>132.7</v>
      </c>
    </row>
    <row r="1372" ht="22.5" customHeight="1">
      <c r="C1372" s="4">
        <v>2.7003877E7</v>
      </c>
      <c r="D1372" s="17">
        <f t="shared" si="1"/>
        <v>27323925</v>
      </c>
      <c r="E1372" s="4">
        <v>7.59</v>
      </c>
      <c r="F1372" s="4">
        <v>132.8</v>
      </c>
    </row>
    <row r="1373" ht="22.5" customHeight="1">
      <c r="C1373" s="4">
        <v>2.702388E7</v>
      </c>
      <c r="D1373" s="17">
        <f t="shared" si="1"/>
        <v>27343928</v>
      </c>
      <c r="E1373" s="4">
        <v>7.58</v>
      </c>
      <c r="F1373" s="4">
        <v>132.8</v>
      </c>
    </row>
    <row r="1374" ht="22.5" customHeight="1">
      <c r="C1374" s="4">
        <v>2.7043883E7</v>
      </c>
      <c r="D1374" s="17">
        <f t="shared" si="1"/>
        <v>27363931</v>
      </c>
      <c r="E1374" s="4">
        <v>7.59</v>
      </c>
      <c r="F1374" s="4">
        <v>132.8</v>
      </c>
    </row>
    <row r="1375" ht="22.5" customHeight="1">
      <c r="C1375" s="4">
        <v>2.7063885E7</v>
      </c>
      <c r="D1375" s="17">
        <f t="shared" si="1"/>
        <v>27383933</v>
      </c>
      <c r="E1375" s="4">
        <v>7.58</v>
      </c>
      <c r="F1375" s="4">
        <v>132.7</v>
      </c>
    </row>
    <row r="1376" ht="22.5" customHeight="1">
      <c r="C1376" s="4">
        <v>2.7083888E7</v>
      </c>
      <c r="D1376" s="17">
        <f t="shared" si="1"/>
        <v>27403936</v>
      </c>
      <c r="E1376" s="4">
        <v>7.58</v>
      </c>
      <c r="F1376" s="4">
        <v>132.8</v>
      </c>
    </row>
    <row r="1377" ht="22.5" customHeight="1">
      <c r="C1377" s="4">
        <v>2.7103891E7</v>
      </c>
      <c r="D1377" s="17">
        <f t="shared" si="1"/>
        <v>27423939</v>
      </c>
      <c r="E1377" s="4">
        <v>7.58</v>
      </c>
      <c r="F1377" s="4">
        <v>132.7</v>
      </c>
    </row>
    <row r="1378" ht="22.5" customHeight="1">
      <c r="C1378" s="4">
        <v>2.7123894E7</v>
      </c>
      <c r="D1378" s="17">
        <f t="shared" si="1"/>
        <v>27443942</v>
      </c>
      <c r="E1378" s="4">
        <v>7.58</v>
      </c>
      <c r="F1378" s="4">
        <v>132.7</v>
      </c>
    </row>
    <row r="1379" ht="22.5" customHeight="1">
      <c r="C1379" s="4">
        <v>2.7143897E7</v>
      </c>
      <c r="D1379" s="17">
        <f t="shared" si="1"/>
        <v>27463945</v>
      </c>
      <c r="E1379" s="4">
        <v>7.58</v>
      </c>
      <c r="F1379" s="4">
        <v>132.7</v>
      </c>
    </row>
    <row r="1380" ht="22.5" customHeight="1">
      <c r="C1380" s="4">
        <v>2.7163899E7</v>
      </c>
      <c r="D1380" s="17">
        <f t="shared" si="1"/>
        <v>27483947</v>
      </c>
      <c r="E1380" s="4">
        <v>7.58</v>
      </c>
      <c r="F1380" s="4">
        <v>132.7</v>
      </c>
    </row>
    <row r="1381" ht="22.5" customHeight="1">
      <c r="C1381" s="4">
        <v>2.7183902E7</v>
      </c>
      <c r="D1381" s="17">
        <f t="shared" si="1"/>
        <v>27503950</v>
      </c>
      <c r="E1381" s="4">
        <v>7.58</v>
      </c>
      <c r="F1381" s="4">
        <v>132.8</v>
      </c>
    </row>
    <row r="1382" ht="22.5" customHeight="1">
      <c r="C1382" s="4">
        <v>2.7203905E7</v>
      </c>
      <c r="D1382" s="17">
        <f t="shared" si="1"/>
        <v>27523953</v>
      </c>
      <c r="E1382" s="4">
        <v>7.58</v>
      </c>
      <c r="F1382" s="4">
        <v>132.7</v>
      </c>
    </row>
    <row r="1383" ht="22.5" customHeight="1">
      <c r="C1383" s="4">
        <v>2.7223908E7</v>
      </c>
      <c r="D1383" s="17">
        <f t="shared" si="1"/>
        <v>27543956</v>
      </c>
      <c r="E1383" s="4">
        <v>7.58</v>
      </c>
      <c r="F1383" s="4">
        <v>132.7</v>
      </c>
    </row>
    <row r="1384" ht="22.5" customHeight="1">
      <c r="C1384" s="4">
        <v>2.7243911E7</v>
      </c>
      <c r="D1384" s="17">
        <f t="shared" si="1"/>
        <v>27563959</v>
      </c>
      <c r="E1384" s="4">
        <v>7.58</v>
      </c>
      <c r="F1384" s="4">
        <v>132.7</v>
      </c>
    </row>
    <row r="1385" ht="22.5" customHeight="1">
      <c r="C1385" s="4">
        <v>2.7263915E7</v>
      </c>
      <c r="D1385" s="17">
        <f t="shared" si="1"/>
        <v>27583963</v>
      </c>
      <c r="E1385" s="4">
        <v>7.58</v>
      </c>
      <c r="F1385" s="4">
        <v>132.7</v>
      </c>
    </row>
    <row r="1386" ht="22.5" customHeight="1">
      <c r="C1386" s="4">
        <v>2.7283917E7</v>
      </c>
      <c r="D1386" s="17">
        <f t="shared" si="1"/>
        <v>27603965</v>
      </c>
      <c r="E1386" s="4">
        <v>7.58</v>
      </c>
      <c r="F1386" s="4">
        <v>132.7</v>
      </c>
    </row>
    <row r="1387" ht="22.5" customHeight="1">
      <c r="C1387" s="4">
        <v>2.730392E7</v>
      </c>
      <c r="D1387" s="17">
        <f t="shared" si="1"/>
        <v>27623968</v>
      </c>
      <c r="E1387" s="4">
        <v>7.58</v>
      </c>
      <c r="F1387" s="4">
        <v>132.7</v>
      </c>
    </row>
    <row r="1388" ht="22.5" customHeight="1">
      <c r="C1388" s="4">
        <v>2.7323923E7</v>
      </c>
      <c r="D1388" s="17">
        <f t="shared" si="1"/>
        <v>27643971</v>
      </c>
      <c r="E1388" s="4">
        <v>7.58</v>
      </c>
      <c r="F1388" s="4">
        <v>132.7</v>
      </c>
    </row>
    <row r="1389" ht="22.5" customHeight="1">
      <c r="C1389" s="4">
        <v>2.7343926E7</v>
      </c>
      <c r="D1389" s="17">
        <f t="shared" si="1"/>
        <v>27663974</v>
      </c>
      <c r="E1389" s="4">
        <v>7.58</v>
      </c>
      <c r="F1389" s="4">
        <v>132.7</v>
      </c>
    </row>
    <row r="1390" ht="22.5" customHeight="1">
      <c r="C1390" s="4">
        <v>2.7363929E7</v>
      </c>
      <c r="D1390" s="17">
        <f t="shared" si="1"/>
        <v>27683977</v>
      </c>
      <c r="E1390" s="4">
        <v>7.58</v>
      </c>
      <c r="F1390" s="4">
        <v>132.6</v>
      </c>
    </row>
    <row r="1391" ht="22.5" customHeight="1">
      <c r="C1391" s="4">
        <v>2.7383931E7</v>
      </c>
      <c r="D1391" s="17">
        <f t="shared" si="1"/>
        <v>27703979</v>
      </c>
      <c r="E1391" s="4">
        <v>7.58</v>
      </c>
      <c r="F1391" s="4">
        <v>132.6</v>
      </c>
    </row>
    <row r="1392" ht="22.5" customHeight="1">
      <c r="C1392" s="4">
        <v>2.7403934E7</v>
      </c>
      <c r="D1392" s="17">
        <f t="shared" si="1"/>
        <v>27723982</v>
      </c>
      <c r="E1392" s="4">
        <v>7.58</v>
      </c>
      <c r="F1392" s="4">
        <v>132.6</v>
      </c>
    </row>
    <row r="1393" ht="22.5" customHeight="1">
      <c r="C1393" s="4">
        <v>2.7423937E7</v>
      </c>
      <c r="D1393" s="17">
        <f t="shared" si="1"/>
        <v>27743985</v>
      </c>
      <c r="E1393" s="4">
        <v>7.58</v>
      </c>
      <c r="F1393" s="4">
        <v>132.6</v>
      </c>
    </row>
    <row r="1394" ht="22.5" customHeight="1">
      <c r="C1394" s="4">
        <v>2.744394E7</v>
      </c>
      <c r="D1394" s="17">
        <f t="shared" si="1"/>
        <v>27763988</v>
      </c>
      <c r="E1394" s="4">
        <v>7.58</v>
      </c>
      <c r="F1394" s="4">
        <v>132.7</v>
      </c>
    </row>
    <row r="1395" ht="22.5" customHeight="1">
      <c r="C1395" s="4">
        <v>2.7463943E7</v>
      </c>
      <c r="D1395" s="17">
        <f t="shared" si="1"/>
        <v>27783991</v>
      </c>
      <c r="E1395" s="4">
        <v>7.58</v>
      </c>
      <c r="F1395" s="4">
        <v>132.7</v>
      </c>
    </row>
    <row r="1396" ht="22.5" customHeight="1">
      <c r="C1396" s="4">
        <v>2.7483945E7</v>
      </c>
      <c r="D1396" s="17">
        <f t="shared" si="1"/>
        <v>27803993</v>
      </c>
      <c r="E1396" s="4">
        <v>7.58</v>
      </c>
      <c r="F1396" s="4">
        <v>132.6</v>
      </c>
    </row>
    <row r="1397" ht="22.5" customHeight="1">
      <c r="C1397" s="4">
        <v>2.7503948E7</v>
      </c>
      <c r="D1397" s="17">
        <f t="shared" si="1"/>
        <v>27823996</v>
      </c>
      <c r="E1397" s="4">
        <v>7.58</v>
      </c>
      <c r="F1397" s="4">
        <v>132.6</v>
      </c>
    </row>
    <row r="1398" ht="22.5" customHeight="1">
      <c r="C1398" s="4">
        <v>2.7523951E7</v>
      </c>
      <c r="D1398" s="17">
        <f t="shared" si="1"/>
        <v>27843999</v>
      </c>
      <c r="E1398" s="4">
        <v>7.58</v>
      </c>
      <c r="F1398" s="4">
        <v>132.6</v>
      </c>
    </row>
    <row r="1399" ht="22.5" customHeight="1">
      <c r="C1399" s="4">
        <v>2.7543955E7</v>
      </c>
      <c r="D1399" s="17">
        <f t="shared" si="1"/>
        <v>27864003</v>
      </c>
      <c r="E1399" s="4">
        <v>7.58</v>
      </c>
      <c r="F1399" s="4">
        <v>132.6</v>
      </c>
    </row>
    <row r="1400" ht="22.5" customHeight="1">
      <c r="C1400" s="4">
        <v>2.7563958E7</v>
      </c>
      <c r="D1400" s="17">
        <f t="shared" si="1"/>
        <v>27884006</v>
      </c>
      <c r="E1400" s="4">
        <v>7.58</v>
      </c>
      <c r="F1400" s="4">
        <v>132.6</v>
      </c>
    </row>
    <row r="1401" ht="22.5" customHeight="1">
      <c r="C1401" s="4">
        <v>2.7583961E7</v>
      </c>
      <c r="D1401" s="17">
        <f t="shared" si="1"/>
        <v>27904009</v>
      </c>
      <c r="E1401" s="4">
        <v>7.58</v>
      </c>
      <c r="F1401" s="4">
        <v>132.6</v>
      </c>
    </row>
    <row r="1402" ht="22.5" customHeight="1">
      <c r="C1402" s="4">
        <v>2.7603963E7</v>
      </c>
      <c r="D1402" s="17">
        <f t="shared" si="1"/>
        <v>27924011</v>
      </c>
      <c r="E1402" s="4">
        <v>7.58</v>
      </c>
      <c r="F1402" s="4">
        <v>132.6</v>
      </c>
    </row>
    <row r="1403" ht="22.5" customHeight="1">
      <c r="C1403" s="4">
        <v>2.7623966E7</v>
      </c>
      <c r="D1403" s="17">
        <f t="shared" si="1"/>
        <v>27944014</v>
      </c>
      <c r="E1403" s="4">
        <v>7.58</v>
      </c>
      <c r="F1403" s="4">
        <v>132.6</v>
      </c>
    </row>
    <row r="1404" ht="22.5" customHeight="1">
      <c r="C1404" s="4">
        <v>2.7643969E7</v>
      </c>
      <c r="D1404" s="17">
        <f t="shared" si="1"/>
        <v>27964017</v>
      </c>
      <c r="E1404" s="4">
        <v>7.58</v>
      </c>
      <c r="F1404" s="4">
        <v>132.6</v>
      </c>
    </row>
    <row r="1405" ht="22.5" customHeight="1">
      <c r="C1405" s="4">
        <v>2.7663972E7</v>
      </c>
      <c r="D1405" s="17">
        <f t="shared" si="1"/>
        <v>27984020</v>
      </c>
      <c r="E1405" s="4">
        <v>7.58</v>
      </c>
      <c r="F1405" s="4">
        <v>132.6</v>
      </c>
    </row>
    <row r="1406" ht="22.5" customHeight="1">
      <c r="C1406" s="4">
        <v>2.7683975E7</v>
      </c>
      <c r="D1406" s="17">
        <f t="shared" si="1"/>
        <v>28004023</v>
      </c>
      <c r="E1406" s="4">
        <v>7.58</v>
      </c>
      <c r="F1406" s="4">
        <v>132.6</v>
      </c>
    </row>
    <row r="1407" ht="22.5" customHeight="1">
      <c r="C1407" s="4">
        <v>2.7703977E7</v>
      </c>
      <c r="D1407" s="17">
        <f t="shared" si="1"/>
        <v>28024025</v>
      </c>
      <c r="E1407" s="4">
        <v>7.58</v>
      </c>
      <c r="F1407" s="4">
        <v>132.5</v>
      </c>
    </row>
    <row r="1408" ht="22.5" customHeight="1">
      <c r="C1408" s="4">
        <v>2.772398E7</v>
      </c>
      <c r="D1408" s="17">
        <f t="shared" si="1"/>
        <v>28044028</v>
      </c>
      <c r="E1408" s="4">
        <v>7.58</v>
      </c>
      <c r="F1408" s="4">
        <v>132.5</v>
      </c>
    </row>
    <row r="1409" ht="22.5" customHeight="1">
      <c r="C1409" s="4">
        <v>2.7743983E7</v>
      </c>
      <c r="D1409" s="17">
        <f t="shared" si="1"/>
        <v>28064031</v>
      </c>
      <c r="E1409" s="4">
        <v>7.58</v>
      </c>
      <c r="F1409" s="4">
        <v>132.5</v>
      </c>
    </row>
    <row r="1410" ht="22.5" customHeight="1">
      <c r="C1410" s="4">
        <v>2.7763986E7</v>
      </c>
      <c r="D1410" s="17">
        <f t="shared" si="1"/>
        <v>28084034</v>
      </c>
      <c r="E1410" s="4">
        <v>7.58</v>
      </c>
      <c r="F1410" s="4">
        <v>132.4</v>
      </c>
    </row>
    <row r="1411" ht="22.5" customHeight="1">
      <c r="C1411" s="4">
        <v>2.7783989E7</v>
      </c>
      <c r="D1411" s="17">
        <f t="shared" si="1"/>
        <v>28104037</v>
      </c>
      <c r="E1411" s="4">
        <v>7.58</v>
      </c>
      <c r="F1411" s="4">
        <v>132.5</v>
      </c>
    </row>
    <row r="1412" ht="22.5" customHeight="1">
      <c r="C1412" s="4">
        <v>2.7803992E7</v>
      </c>
      <c r="D1412" s="17">
        <f t="shared" si="1"/>
        <v>28124040</v>
      </c>
      <c r="E1412" s="4">
        <v>7.58</v>
      </c>
      <c r="F1412" s="4">
        <v>132.6</v>
      </c>
    </row>
    <row r="1413" ht="22.5" customHeight="1">
      <c r="C1413" s="4">
        <v>2.7823995E7</v>
      </c>
      <c r="D1413" s="17">
        <f t="shared" si="1"/>
        <v>28144043</v>
      </c>
      <c r="E1413" s="4">
        <v>7.58</v>
      </c>
      <c r="F1413" s="4">
        <v>132.5</v>
      </c>
    </row>
    <row r="1414" ht="22.5" customHeight="1">
      <c r="C1414" s="4">
        <v>2.7843998E7</v>
      </c>
      <c r="D1414" s="17">
        <f t="shared" si="1"/>
        <v>28164046</v>
      </c>
      <c r="E1414" s="4">
        <v>7.57</v>
      </c>
      <c r="F1414" s="4">
        <v>132.4</v>
      </c>
    </row>
    <row r="1415" ht="22.5" customHeight="1">
      <c r="C1415" s="4">
        <v>2.7864001E7</v>
      </c>
      <c r="D1415" s="17">
        <f t="shared" si="1"/>
        <v>28184049</v>
      </c>
      <c r="E1415" s="4">
        <v>7.57</v>
      </c>
      <c r="F1415" s="4">
        <v>132.5</v>
      </c>
    </row>
    <row r="1416" ht="22.5" customHeight="1">
      <c r="C1416" s="4">
        <v>2.7884004E7</v>
      </c>
      <c r="D1416" s="17">
        <f t="shared" si="1"/>
        <v>28204052</v>
      </c>
      <c r="E1416" s="4">
        <v>7.57</v>
      </c>
      <c r="F1416" s="4">
        <v>132.5</v>
      </c>
    </row>
    <row r="1417" ht="22.5" customHeight="1">
      <c r="C1417" s="4">
        <v>2.7904007E7</v>
      </c>
      <c r="D1417" s="17">
        <f t="shared" si="1"/>
        <v>28224055</v>
      </c>
      <c r="E1417" s="4">
        <v>7.57</v>
      </c>
      <c r="F1417" s="4">
        <v>132.5</v>
      </c>
    </row>
    <row r="1418" ht="22.5" customHeight="1">
      <c r="C1418" s="4">
        <v>2.7924009E7</v>
      </c>
      <c r="D1418" s="17">
        <f t="shared" si="1"/>
        <v>28244057</v>
      </c>
      <c r="E1418" s="4">
        <v>7.57</v>
      </c>
      <c r="F1418" s="4">
        <v>132.5</v>
      </c>
    </row>
    <row r="1419" ht="22.5" customHeight="1">
      <c r="C1419" s="4">
        <v>2.7944012E7</v>
      </c>
      <c r="D1419" s="17">
        <f t="shared" si="1"/>
        <v>28264060</v>
      </c>
      <c r="E1419" s="4">
        <v>7.57</v>
      </c>
      <c r="F1419" s="4">
        <v>132.5</v>
      </c>
    </row>
    <row r="1420" ht="22.5" customHeight="1">
      <c r="C1420" s="4">
        <v>2.7964015E7</v>
      </c>
      <c r="D1420" s="17">
        <f t="shared" si="1"/>
        <v>28284063</v>
      </c>
      <c r="E1420" s="4">
        <v>7.57</v>
      </c>
      <c r="F1420" s="4">
        <v>132.5</v>
      </c>
    </row>
    <row r="1421" ht="22.5" customHeight="1">
      <c r="C1421" s="4">
        <v>2.7984018E7</v>
      </c>
      <c r="D1421" s="17">
        <f t="shared" si="1"/>
        <v>28304066</v>
      </c>
      <c r="E1421" s="4">
        <v>7.57</v>
      </c>
      <c r="F1421" s="4">
        <v>132.5</v>
      </c>
    </row>
    <row r="1422" ht="22.5" customHeight="1">
      <c r="C1422" s="4">
        <v>2.8004021E7</v>
      </c>
      <c r="D1422" s="17">
        <f t="shared" si="1"/>
        <v>28324069</v>
      </c>
      <c r="E1422" s="4">
        <v>7.57</v>
      </c>
      <c r="F1422" s="4">
        <v>132.4</v>
      </c>
    </row>
    <row r="1423" ht="22.5" customHeight="1">
      <c r="C1423" s="4">
        <v>2.8024024E7</v>
      </c>
      <c r="D1423" s="17">
        <f t="shared" si="1"/>
        <v>28344072</v>
      </c>
      <c r="E1423" s="4">
        <v>7.57</v>
      </c>
      <c r="F1423" s="4">
        <v>132.6</v>
      </c>
    </row>
    <row r="1424" ht="22.5" customHeight="1">
      <c r="C1424" s="4">
        <v>2.8044026E7</v>
      </c>
      <c r="D1424" s="17">
        <f t="shared" si="1"/>
        <v>28364074</v>
      </c>
      <c r="E1424" s="4">
        <v>7.57</v>
      </c>
      <c r="F1424" s="4">
        <v>132.5</v>
      </c>
    </row>
    <row r="1425" ht="22.5" customHeight="1">
      <c r="C1425" s="4">
        <v>2.8064029E7</v>
      </c>
      <c r="D1425" s="17">
        <f t="shared" si="1"/>
        <v>28384077</v>
      </c>
      <c r="E1425" s="4">
        <v>7.57</v>
      </c>
      <c r="F1425" s="4">
        <v>132.5</v>
      </c>
    </row>
    <row r="1426" ht="22.5" customHeight="1">
      <c r="C1426" s="4">
        <v>2.8084032E7</v>
      </c>
      <c r="D1426" s="17">
        <f t="shared" si="1"/>
        <v>28404080</v>
      </c>
      <c r="E1426" s="4">
        <v>7.57</v>
      </c>
      <c r="F1426" s="4">
        <v>132.4</v>
      </c>
    </row>
    <row r="1427" ht="22.5" customHeight="1">
      <c r="C1427" s="4">
        <v>2.8104036E7</v>
      </c>
      <c r="D1427" s="17">
        <f t="shared" si="1"/>
        <v>28424084</v>
      </c>
      <c r="E1427" s="4">
        <v>7.57</v>
      </c>
      <c r="F1427" s="4">
        <v>132.5</v>
      </c>
    </row>
    <row r="1428" ht="22.5" customHeight="1">
      <c r="C1428" s="4">
        <v>2.8124039E7</v>
      </c>
      <c r="D1428" s="17">
        <f t="shared" si="1"/>
        <v>28444087</v>
      </c>
      <c r="E1428" s="4">
        <v>7.57</v>
      </c>
      <c r="F1428" s="4">
        <v>132.4</v>
      </c>
    </row>
    <row r="1429" ht="22.5" customHeight="1">
      <c r="C1429" s="4">
        <v>2.8144041E7</v>
      </c>
      <c r="D1429" s="17">
        <f t="shared" si="1"/>
        <v>28464089</v>
      </c>
      <c r="E1429" s="4">
        <v>7.57</v>
      </c>
      <c r="F1429" s="4">
        <v>132.4</v>
      </c>
    </row>
    <row r="1430" ht="22.5" customHeight="1">
      <c r="C1430" s="4">
        <v>2.8164044E7</v>
      </c>
      <c r="D1430" s="17">
        <f t="shared" si="1"/>
        <v>28484092</v>
      </c>
      <c r="E1430" s="4">
        <v>7.57</v>
      </c>
      <c r="F1430" s="4">
        <v>132.5</v>
      </c>
    </row>
    <row r="1431" ht="22.5" customHeight="1">
      <c r="C1431" s="4">
        <v>2.8184047E7</v>
      </c>
      <c r="D1431" s="17">
        <f t="shared" si="1"/>
        <v>28504095</v>
      </c>
      <c r="E1431" s="4">
        <v>7.57</v>
      </c>
      <c r="F1431" s="4">
        <v>132.4</v>
      </c>
    </row>
    <row r="1432" ht="22.5" customHeight="1">
      <c r="C1432" s="4">
        <v>2.820405E7</v>
      </c>
      <c r="D1432" s="17">
        <f t="shared" si="1"/>
        <v>28524098</v>
      </c>
      <c r="E1432" s="4">
        <v>7.57</v>
      </c>
      <c r="F1432" s="4">
        <v>132.4</v>
      </c>
    </row>
    <row r="1433" ht="22.5" customHeight="1">
      <c r="C1433" s="4">
        <v>2.8224053E7</v>
      </c>
      <c r="D1433" s="17">
        <f t="shared" si="1"/>
        <v>28544101</v>
      </c>
      <c r="E1433" s="4">
        <v>7.57</v>
      </c>
      <c r="F1433" s="4">
        <v>132.3</v>
      </c>
    </row>
    <row r="1434" ht="22.5" customHeight="1">
      <c r="C1434" s="4">
        <v>2.8244056E7</v>
      </c>
      <c r="D1434" s="17">
        <f t="shared" si="1"/>
        <v>28564104</v>
      </c>
      <c r="E1434" s="4">
        <v>7.57</v>
      </c>
      <c r="F1434" s="4">
        <v>132.4</v>
      </c>
    </row>
    <row r="1435" ht="22.5" customHeight="1">
      <c r="C1435" s="4">
        <v>2.8264058E7</v>
      </c>
      <c r="D1435" s="17">
        <f t="shared" si="1"/>
        <v>28584106</v>
      </c>
      <c r="E1435" s="4">
        <v>7.56</v>
      </c>
      <c r="F1435" s="4">
        <v>132.4</v>
      </c>
    </row>
    <row r="1436" ht="22.5" customHeight="1">
      <c r="C1436" s="4">
        <v>2.8284061E7</v>
      </c>
      <c r="D1436" s="17">
        <f t="shared" si="1"/>
        <v>28604109</v>
      </c>
      <c r="E1436" s="4">
        <v>7.56</v>
      </c>
      <c r="F1436" s="4">
        <v>132.3</v>
      </c>
    </row>
    <row r="1437" ht="22.5" customHeight="1">
      <c r="C1437" s="4">
        <v>2.8304064E7</v>
      </c>
      <c r="D1437" s="17">
        <f t="shared" si="1"/>
        <v>28624112</v>
      </c>
      <c r="E1437" s="4">
        <v>7.56</v>
      </c>
      <c r="F1437" s="4">
        <v>132.3</v>
      </c>
    </row>
    <row r="1438" ht="22.5" customHeight="1">
      <c r="C1438" s="4">
        <v>2.8324067E7</v>
      </c>
      <c r="D1438" s="17">
        <f t="shared" si="1"/>
        <v>28644115</v>
      </c>
      <c r="E1438" s="4">
        <v>7.56</v>
      </c>
      <c r="F1438" s="4">
        <v>132.4</v>
      </c>
    </row>
    <row r="1439" ht="22.5" customHeight="1">
      <c r="C1439" s="4">
        <v>2.834407E7</v>
      </c>
      <c r="D1439" s="17">
        <f t="shared" si="1"/>
        <v>28664118</v>
      </c>
      <c r="E1439" s="4">
        <v>7.56</v>
      </c>
      <c r="F1439" s="4">
        <v>132.4</v>
      </c>
    </row>
    <row r="1440" ht="22.5" customHeight="1">
      <c r="C1440" s="4">
        <v>2.8364073E7</v>
      </c>
      <c r="D1440" s="17">
        <f t="shared" si="1"/>
        <v>28684121</v>
      </c>
      <c r="E1440" s="4">
        <v>7.56</v>
      </c>
      <c r="F1440" s="4">
        <v>132.3</v>
      </c>
    </row>
    <row r="1441" ht="22.5" customHeight="1">
      <c r="C1441" s="4">
        <v>2.8384076E7</v>
      </c>
      <c r="D1441" s="17">
        <f t="shared" si="1"/>
        <v>28704124</v>
      </c>
      <c r="E1441" s="4">
        <v>7.56</v>
      </c>
      <c r="F1441" s="4">
        <v>132.2</v>
      </c>
    </row>
    <row r="1442" ht="22.5" customHeight="1">
      <c r="C1442" s="4">
        <v>2.8404079E7</v>
      </c>
      <c r="D1442" s="17">
        <f t="shared" si="1"/>
        <v>28724127</v>
      </c>
      <c r="E1442" s="4">
        <v>7.56</v>
      </c>
      <c r="F1442" s="4">
        <v>132.4</v>
      </c>
    </row>
    <row r="1443" ht="22.5" customHeight="1">
      <c r="C1443" s="4">
        <v>2.8424082E7</v>
      </c>
      <c r="D1443" s="17">
        <f t="shared" si="1"/>
        <v>28744130</v>
      </c>
      <c r="E1443" s="4">
        <v>7.56</v>
      </c>
      <c r="F1443" s="4">
        <v>132.4</v>
      </c>
    </row>
    <row r="1444" ht="22.5" customHeight="1">
      <c r="C1444" s="4">
        <v>2.8444085E7</v>
      </c>
      <c r="D1444" s="17">
        <f t="shared" si="1"/>
        <v>28764133</v>
      </c>
      <c r="E1444" s="4">
        <v>7.56</v>
      </c>
      <c r="F1444" s="4">
        <v>132.2</v>
      </c>
    </row>
    <row r="1445" ht="22.5" customHeight="1">
      <c r="C1445" s="4">
        <v>2.8464088E7</v>
      </c>
      <c r="D1445" s="17">
        <f t="shared" si="1"/>
        <v>28784136</v>
      </c>
      <c r="E1445" s="4">
        <v>7.56</v>
      </c>
      <c r="F1445" s="4">
        <v>132.3</v>
      </c>
    </row>
    <row r="1446" ht="22.5" customHeight="1">
      <c r="C1446" s="4">
        <v>2.848409E7</v>
      </c>
      <c r="D1446" s="17">
        <f t="shared" si="1"/>
        <v>28804138</v>
      </c>
      <c r="E1446" s="4">
        <v>7.56</v>
      </c>
      <c r="F1446" s="4">
        <v>132.3</v>
      </c>
    </row>
    <row r="1447" ht="22.5" customHeight="1">
      <c r="C1447" s="4">
        <v>2.8504093E7</v>
      </c>
      <c r="D1447" s="17">
        <f t="shared" si="1"/>
        <v>28824141</v>
      </c>
      <c r="E1447" s="4">
        <v>7.56</v>
      </c>
      <c r="F1447" s="4">
        <v>132.3</v>
      </c>
    </row>
    <row r="1448" ht="22.5" customHeight="1">
      <c r="C1448" s="4">
        <v>2.8524096E7</v>
      </c>
      <c r="D1448" s="17">
        <f t="shared" si="1"/>
        <v>28844144</v>
      </c>
      <c r="E1448" s="4">
        <v>7.56</v>
      </c>
      <c r="F1448" s="4">
        <v>132.3</v>
      </c>
    </row>
    <row r="1449" ht="22.5" customHeight="1">
      <c r="C1449" s="4">
        <v>2.8544099E7</v>
      </c>
      <c r="D1449" s="17">
        <f t="shared" si="1"/>
        <v>28864147</v>
      </c>
      <c r="E1449" s="4">
        <v>7.56</v>
      </c>
      <c r="F1449" s="4">
        <v>132.2</v>
      </c>
    </row>
    <row r="1450" ht="22.5" customHeight="1">
      <c r="C1450" s="4">
        <v>2.8564102E7</v>
      </c>
      <c r="D1450" s="17">
        <f t="shared" si="1"/>
        <v>28884150</v>
      </c>
      <c r="E1450" s="4">
        <v>7.56</v>
      </c>
      <c r="F1450" s="4">
        <v>132.2</v>
      </c>
    </row>
    <row r="1451" ht="22.5" customHeight="1">
      <c r="C1451" s="4">
        <v>2.8584104E7</v>
      </c>
      <c r="D1451" s="17">
        <f t="shared" si="1"/>
        <v>28904152</v>
      </c>
      <c r="E1451" s="4">
        <v>7.56</v>
      </c>
      <c r="F1451" s="4">
        <v>132.2</v>
      </c>
    </row>
    <row r="1452" ht="22.5" customHeight="1">
      <c r="C1452" s="4">
        <v>2.8604107E7</v>
      </c>
      <c r="D1452" s="17">
        <f t="shared" si="1"/>
        <v>28924155</v>
      </c>
      <c r="E1452" s="4">
        <v>7.56</v>
      </c>
      <c r="F1452" s="4">
        <v>132.2</v>
      </c>
    </row>
    <row r="1453" ht="22.5" customHeight="1">
      <c r="C1453" s="4">
        <v>2.862411E7</v>
      </c>
      <c r="D1453" s="17">
        <f t="shared" si="1"/>
        <v>28944158</v>
      </c>
      <c r="E1453" s="4">
        <v>7.56</v>
      </c>
      <c r="F1453" s="4">
        <v>132.2</v>
      </c>
    </row>
    <row r="1454" ht="22.5" customHeight="1">
      <c r="C1454" s="4">
        <v>2.8644114E7</v>
      </c>
      <c r="D1454" s="17">
        <f t="shared" si="1"/>
        <v>28964162</v>
      </c>
      <c r="E1454" s="4">
        <v>7.56</v>
      </c>
      <c r="F1454" s="4">
        <v>132.2</v>
      </c>
    </row>
    <row r="1455" ht="22.5" customHeight="1">
      <c r="C1455" s="4">
        <v>2.8664117E7</v>
      </c>
      <c r="D1455" s="17">
        <f t="shared" si="1"/>
        <v>28984165</v>
      </c>
      <c r="E1455" s="4">
        <v>7.56</v>
      </c>
      <c r="F1455" s="4">
        <v>132.2</v>
      </c>
    </row>
    <row r="1456" ht="22.5" customHeight="1">
      <c r="C1456" s="4">
        <v>2.868412E7</v>
      </c>
      <c r="D1456" s="17">
        <f t="shared" si="1"/>
        <v>29004168</v>
      </c>
      <c r="E1456" s="4">
        <v>7.56</v>
      </c>
      <c r="F1456" s="4">
        <v>132.2</v>
      </c>
    </row>
    <row r="1457" ht="22.5" customHeight="1">
      <c r="C1457" s="4">
        <v>2.8704122E7</v>
      </c>
      <c r="D1457" s="17">
        <f t="shared" si="1"/>
        <v>29024170</v>
      </c>
      <c r="E1457" s="4">
        <v>7.56</v>
      </c>
      <c r="F1457" s="4">
        <v>132.2</v>
      </c>
    </row>
    <row r="1458" ht="22.5" customHeight="1">
      <c r="C1458" s="4">
        <v>2.8724125E7</v>
      </c>
      <c r="D1458" s="17">
        <f t="shared" si="1"/>
        <v>29044173</v>
      </c>
      <c r="E1458" s="4">
        <v>7.56</v>
      </c>
      <c r="F1458" s="4">
        <v>132.2</v>
      </c>
    </row>
    <row r="1459" ht="22.5" customHeight="1">
      <c r="C1459" s="4">
        <v>2.8744128E7</v>
      </c>
      <c r="D1459" s="17">
        <f t="shared" si="1"/>
        <v>29064176</v>
      </c>
      <c r="E1459" s="4">
        <v>7.56</v>
      </c>
      <c r="F1459" s="4">
        <v>132.1</v>
      </c>
    </row>
    <row r="1460" ht="22.5" customHeight="1">
      <c r="C1460" s="4">
        <v>2.8764131E7</v>
      </c>
      <c r="D1460" s="17">
        <f t="shared" si="1"/>
        <v>29084179</v>
      </c>
      <c r="E1460" s="4">
        <v>7.56</v>
      </c>
      <c r="F1460" s="4">
        <v>132.2</v>
      </c>
    </row>
    <row r="1461" ht="22.5" customHeight="1">
      <c r="C1461" s="4">
        <v>2.8784134E7</v>
      </c>
      <c r="D1461" s="17">
        <f t="shared" si="1"/>
        <v>29104182</v>
      </c>
      <c r="E1461" s="4">
        <v>7.56</v>
      </c>
      <c r="F1461" s="4">
        <v>132.2</v>
      </c>
    </row>
    <row r="1462" ht="22.5" customHeight="1">
      <c r="C1462" s="4">
        <v>2.8804136E7</v>
      </c>
      <c r="D1462" s="17">
        <f t="shared" si="1"/>
        <v>29124184</v>
      </c>
      <c r="E1462" s="4">
        <v>7.56</v>
      </c>
      <c r="F1462" s="4">
        <v>132.2</v>
      </c>
    </row>
    <row r="1463" ht="22.5" customHeight="1">
      <c r="C1463" s="4">
        <v>2.8824139E7</v>
      </c>
      <c r="D1463" s="17">
        <f t="shared" si="1"/>
        <v>29144187</v>
      </c>
      <c r="E1463" s="4">
        <v>7.56</v>
      </c>
      <c r="F1463" s="4">
        <v>132.1</v>
      </c>
    </row>
    <row r="1464" ht="22.5" customHeight="1">
      <c r="C1464" s="4">
        <v>2.8844142E7</v>
      </c>
      <c r="D1464" s="17">
        <f t="shared" si="1"/>
        <v>29164190</v>
      </c>
      <c r="E1464" s="4">
        <v>7.56</v>
      </c>
      <c r="F1464" s="4">
        <v>132.1</v>
      </c>
    </row>
    <row r="1465" ht="22.5" customHeight="1">
      <c r="C1465" s="4">
        <v>2.8864145E7</v>
      </c>
      <c r="D1465" s="17">
        <f t="shared" si="1"/>
        <v>29184193</v>
      </c>
      <c r="E1465" s="4">
        <v>7.55</v>
      </c>
      <c r="F1465" s="4">
        <v>132.2</v>
      </c>
    </row>
    <row r="1466" ht="22.5" customHeight="1">
      <c r="C1466" s="4">
        <v>2.8884148E7</v>
      </c>
      <c r="D1466" s="17">
        <f t="shared" si="1"/>
        <v>29204196</v>
      </c>
      <c r="E1466" s="4">
        <v>7.55</v>
      </c>
      <c r="F1466" s="4">
        <v>132.1</v>
      </c>
    </row>
    <row r="1467" ht="22.5" customHeight="1">
      <c r="C1467" s="4">
        <v>2.8904152E7</v>
      </c>
      <c r="D1467" s="17">
        <f t="shared" si="1"/>
        <v>29224200</v>
      </c>
      <c r="E1467" s="4">
        <v>7.55</v>
      </c>
      <c r="F1467" s="4">
        <v>132.1</v>
      </c>
    </row>
    <row r="1468" ht="22.5" customHeight="1">
      <c r="C1468" s="4">
        <v>2.8924154E7</v>
      </c>
      <c r="D1468" s="17">
        <f t="shared" si="1"/>
        <v>29244202</v>
      </c>
      <c r="E1468" s="4">
        <v>7.55</v>
      </c>
      <c r="F1468" s="4">
        <v>132.2</v>
      </c>
    </row>
    <row r="1469" ht="22.5" customHeight="1">
      <c r="C1469" s="4">
        <v>2.8944157E7</v>
      </c>
      <c r="D1469" s="17">
        <f t="shared" si="1"/>
        <v>29264205</v>
      </c>
      <c r="E1469" s="4">
        <v>7.55</v>
      </c>
      <c r="F1469" s="4">
        <v>132.2</v>
      </c>
    </row>
    <row r="1470" ht="22.5" customHeight="1">
      <c r="C1470" s="4">
        <v>2.896416E7</v>
      </c>
      <c r="D1470" s="17">
        <f t="shared" si="1"/>
        <v>29284208</v>
      </c>
      <c r="E1470" s="4">
        <v>7.55</v>
      </c>
      <c r="F1470" s="4">
        <v>132.0</v>
      </c>
    </row>
    <row r="1471" ht="22.5" customHeight="1">
      <c r="C1471" s="4">
        <v>2.8984163E7</v>
      </c>
      <c r="D1471" s="17">
        <f t="shared" si="1"/>
        <v>29304211</v>
      </c>
      <c r="E1471" s="4">
        <v>7.55</v>
      </c>
      <c r="F1471" s="4">
        <v>132.1</v>
      </c>
    </row>
    <row r="1472" ht="22.5" customHeight="1">
      <c r="C1472" s="4">
        <v>2.9004166E7</v>
      </c>
      <c r="D1472" s="17">
        <f t="shared" si="1"/>
        <v>29324214</v>
      </c>
      <c r="E1472" s="4">
        <v>7.55</v>
      </c>
      <c r="F1472" s="4">
        <v>132.1</v>
      </c>
    </row>
    <row r="1473" ht="22.5" customHeight="1">
      <c r="C1473" s="4">
        <v>2.9024168E7</v>
      </c>
      <c r="D1473" s="17">
        <f t="shared" si="1"/>
        <v>29344216</v>
      </c>
      <c r="E1473" s="4">
        <v>7.55</v>
      </c>
      <c r="F1473" s="4">
        <v>132.0</v>
      </c>
    </row>
    <row r="1474" ht="22.5" customHeight="1">
      <c r="C1474" s="4">
        <v>2.9044171E7</v>
      </c>
      <c r="D1474" s="17">
        <f t="shared" si="1"/>
        <v>29364219</v>
      </c>
      <c r="E1474" s="4">
        <v>7.55</v>
      </c>
      <c r="F1474" s="4">
        <v>132.0</v>
      </c>
    </row>
    <row r="1475" ht="22.5" customHeight="1">
      <c r="C1475" s="4">
        <v>2.9064174E7</v>
      </c>
      <c r="D1475" s="17">
        <f t="shared" si="1"/>
        <v>29384222</v>
      </c>
      <c r="E1475" s="4">
        <v>7.55</v>
      </c>
      <c r="F1475" s="4">
        <v>132.1</v>
      </c>
    </row>
    <row r="1476" ht="22.5" customHeight="1">
      <c r="C1476" s="4">
        <v>2.9084177E7</v>
      </c>
      <c r="D1476" s="17">
        <f t="shared" si="1"/>
        <v>29404225</v>
      </c>
      <c r="E1476" s="4">
        <v>7.55</v>
      </c>
      <c r="F1476" s="4">
        <v>132.1</v>
      </c>
    </row>
    <row r="1477" ht="22.5" customHeight="1">
      <c r="C1477" s="4">
        <v>2.910418E7</v>
      </c>
      <c r="D1477" s="17">
        <f t="shared" si="1"/>
        <v>29424228</v>
      </c>
      <c r="E1477" s="4">
        <v>7.55</v>
      </c>
      <c r="F1477" s="4">
        <v>132.1</v>
      </c>
    </row>
    <row r="1478" ht="22.5" customHeight="1">
      <c r="C1478" s="4">
        <v>2.9124183E7</v>
      </c>
      <c r="D1478" s="17">
        <f t="shared" si="1"/>
        <v>29444231</v>
      </c>
      <c r="E1478" s="4">
        <v>7.55</v>
      </c>
      <c r="F1478" s="4">
        <v>132.1</v>
      </c>
    </row>
    <row r="1479" ht="22.5" customHeight="1">
      <c r="C1479" s="4">
        <v>2.9144185E7</v>
      </c>
      <c r="D1479" s="17">
        <f t="shared" si="1"/>
        <v>29464233</v>
      </c>
      <c r="E1479" s="4">
        <v>7.55</v>
      </c>
      <c r="F1479" s="4">
        <v>132.1</v>
      </c>
    </row>
    <row r="1480" ht="22.5" customHeight="1">
      <c r="C1480" s="4">
        <v>2.9164188E7</v>
      </c>
      <c r="D1480" s="17">
        <f t="shared" si="1"/>
        <v>29484236</v>
      </c>
      <c r="E1480" s="4">
        <v>7.54</v>
      </c>
      <c r="F1480" s="4">
        <v>132.1</v>
      </c>
    </row>
    <row r="1481" ht="22.5" customHeight="1">
      <c r="C1481" s="4">
        <v>2.9184192E7</v>
      </c>
      <c r="D1481" s="17">
        <f t="shared" si="1"/>
        <v>29504240</v>
      </c>
      <c r="E1481" s="4">
        <v>7.54</v>
      </c>
      <c r="F1481" s="4">
        <v>132.0</v>
      </c>
    </row>
    <row r="1482" ht="22.5" customHeight="1">
      <c r="C1482" s="4">
        <v>2.9204195E7</v>
      </c>
      <c r="D1482" s="17">
        <f t="shared" si="1"/>
        <v>29524243</v>
      </c>
      <c r="E1482" s="4">
        <v>7.55</v>
      </c>
      <c r="F1482" s="4">
        <v>132.0</v>
      </c>
    </row>
    <row r="1483" ht="22.5" customHeight="1">
      <c r="C1483" s="4">
        <v>2.9224198E7</v>
      </c>
      <c r="D1483" s="17">
        <f t="shared" si="1"/>
        <v>29544246</v>
      </c>
      <c r="E1483" s="4">
        <v>7.55</v>
      </c>
      <c r="F1483" s="4">
        <v>132.0</v>
      </c>
    </row>
    <row r="1484" ht="22.5" customHeight="1">
      <c r="C1484" s="4">
        <v>2.92442E7</v>
      </c>
      <c r="D1484" s="17">
        <f t="shared" si="1"/>
        <v>29564248</v>
      </c>
      <c r="E1484" s="4">
        <v>7.54</v>
      </c>
      <c r="F1484" s="4">
        <v>132.0</v>
      </c>
    </row>
    <row r="1485" ht="22.5" customHeight="1">
      <c r="C1485" s="4">
        <v>2.9264203E7</v>
      </c>
      <c r="D1485" s="17">
        <f t="shared" si="1"/>
        <v>29584251</v>
      </c>
      <c r="E1485" s="4">
        <v>7.54</v>
      </c>
      <c r="F1485" s="4">
        <v>132.0</v>
      </c>
    </row>
    <row r="1486" ht="22.5" customHeight="1">
      <c r="C1486" s="4">
        <v>2.9284206E7</v>
      </c>
      <c r="D1486" s="17">
        <f t="shared" si="1"/>
        <v>29604254</v>
      </c>
      <c r="E1486" s="4">
        <v>7.54</v>
      </c>
      <c r="F1486" s="4">
        <v>131.9</v>
      </c>
    </row>
    <row r="1487" ht="22.5" customHeight="1">
      <c r="C1487" s="4">
        <v>2.9304209E7</v>
      </c>
      <c r="D1487" s="17">
        <f t="shared" si="1"/>
        <v>29624257</v>
      </c>
      <c r="E1487" s="4">
        <v>7.54</v>
      </c>
      <c r="F1487" s="4">
        <v>132.0</v>
      </c>
    </row>
    <row r="1488" ht="22.5" customHeight="1">
      <c r="C1488" s="4">
        <v>2.9324212E7</v>
      </c>
      <c r="D1488" s="17">
        <f t="shared" si="1"/>
        <v>29644260</v>
      </c>
      <c r="E1488" s="4">
        <v>7.54</v>
      </c>
      <c r="F1488" s="4">
        <v>132.0</v>
      </c>
    </row>
    <row r="1489" ht="22.5" customHeight="1">
      <c r="C1489" s="4">
        <v>2.9344215E7</v>
      </c>
      <c r="D1489" s="17">
        <f t="shared" si="1"/>
        <v>29664263</v>
      </c>
      <c r="E1489" s="4">
        <v>7.54</v>
      </c>
      <c r="F1489" s="4">
        <v>131.9</v>
      </c>
    </row>
    <row r="1490" ht="22.5" customHeight="1">
      <c r="C1490" s="4">
        <v>2.9364217E7</v>
      </c>
      <c r="D1490" s="17">
        <f t="shared" si="1"/>
        <v>29684265</v>
      </c>
      <c r="E1490" s="4">
        <v>7.54</v>
      </c>
      <c r="F1490" s="4">
        <v>131.9</v>
      </c>
    </row>
    <row r="1491" ht="22.5" customHeight="1">
      <c r="C1491" s="4">
        <v>2.938422E7</v>
      </c>
      <c r="D1491" s="17">
        <f t="shared" si="1"/>
        <v>29704268</v>
      </c>
      <c r="E1491" s="4">
        <v>7.54</v>
      </c>
      <c r="F1491" s="4">
        <v>132.0</v>
      </c>
    </row>
    <row r="1492" ht="22.5" customHeight="1">
      <c r="C1492" s="4">
        <v>2.9404223E7</v>
      </c>
      <c r="D1492" s="17">
        <f t="shared" si="1"/>
        <v>29724271</v>
      </c>
      <c r="E1492" s="4">
        <v>7.54</v>
      </c>
      <c r="F1492" s="4">
        <v>132.0</v>
      </c>
    </row>
    <row r="1493" ht="22.5" customHeight="1">
      <c r="C1493" s="4">
        <v>2.9424226E7</v>
      </c>
      <c r="D1493" s="17">
        <f t="shared" si="1"/>
        <v>29744274</v>
      </c>
      <c r="E1493" s="4">
        <v>7.54</v>
      </c>
      <c r="F1493" s="4">
        <v>131.9</v>
      </c>
    </row>
    <row r="1494" ht="22.5" customHeight="1">
      <c r="C1494" s="4">
        <v>2.9444229E7</v>
      </c>
      <c r="D1494" s="17">
        <f t="shared" si="1"/>
        <v>29764277</v>
      </c>
      <c r="E1494" s="4">
        <v>7.54</v>
      </c>
      <c r="F1494" s="4">
        <v>131.9</v>
      </c>
    </row>
    <row r="1495" ht="22.5" customHeight="1">
      <c r="C1495" s="4">
        <v>2.9464231E7</v>
      </c>
      <c r="D1495" s="17">
        <f t="shared" si="1"/>
        <v>29784279</v>
      </c>
      <c r="E1495" s="4">
        <v>7.54</v>
      </c>
      <c r="F1495" s="4">
        <v>131.9</v>
      </c>
    </row>
    <row r="1496" ht="22.5" customHeight="1">
      <c r="C1496" s="4">
        <v>2.9484235E7</v>
      </c>
      <c r="D1496" s="17">
        <f t="shared" si="1"/>
        <v>29804283</v>
      </c>
      <c r="E1496" s="4">
        <v>7.54</v>
      </c>
      <c r="F1496" s="4">
        <v>131.9</v>
      </c>
    </row>
    <row r="1497" ht="22.5" customHeight="1">
      <c r="C1497" s="4">
        <v>2.9504238E7</v>
      </c>
      <c r="D1497" s="17">
        <f t="shared" si="1"/>
        <v>29824286</v>
      </c>
      <c r="E1497" s="4">
        <v>7.54</v>
      </c>
      <c r="F1497" s="4">
        <v>131.9</v>
      </c>
    </row>
    <row r="1498" ht="22.5" customHeight="1">
      <c r="C1498" s="4">
        <v>2.9524241E7</v>
      </c>
      <c r="D1498" s="17">
        <f t="shared" si="1"/>
        <v>29844289</v>
      </c>
      <c r="E1498" s="4">
        <v>7.54</v>
      </c>
      <c r="F1498" s="4">
        <v>131.9</v>
      </c>
    </row>
    <row r="1499" ht="22.5" customHeight="1">
      <c r="C1499" s="4">
        <v>2.9544244E7</v>
      </c>
      <c r="D1499" s="17">
        <f t="shared" si="1"/>
        <v>29864292</v>
      </c>
      <c r="E1499" s="4">
        <v>7.54</v>
      </c>
      <c r="F1499" s="4">
        <v>131.9</v>
      </c>
    </row>
    <row r="1500" ht="22.5" customHeight="1">
      <c r="C1500" s="4">
        <v>2.9564247E7</v>
      </c>
      <c r="D1500" s="17">
        <f t="shared" si="1"/>
        <v>29884295</v>
      </c>
      <c r="E1500" s="4">
        <v>7.54</v>
      </c>
      <c r="F1500" s="4">
        <v>131.9</v>
      </c>
    </row>
    <row r="1501" ht="22.5" customHeight="1">
      <c r="C1501" s="4">
        <v>2.9584249E7</v>
      </c>
      <c r="D1501" s="17">
        <f t="shared" si="1"/>
        <v>29904297</v>
      </c>
      <c r="E1501" s="4">
        <v>7.54</v>
      </c>
      <c r="F1501" s="4">
        <v>131.9</v>
      </c>
    </row>
    <row r="1502" ht="22.5" customHeight="1">
      <c r="C1502" s="4">
        <v>2.9604252E7</v>
      </c>
      <c r="D1502" s="17">
        <f t="shared" si="1"/>
        <v>29924300</v>
      </c>
      <c r="E1502" s="4">
        <v>7.54</v>
      </c>
      <c r="F1502" s="4">
        <v>131.8</v>
      </c>
    </row>
    <row r="1503" ht="22.5" customHeight="1">
      <c r="C1503" s="4">
        <v>2.9624255E7</v>
      </c>
      <c r="D1503" s="17">
        <f t="shared" si="1"/>
        <v>29944303</v>
      </c>
      <c r="E1503" s="4">
        <v>7.54</v>
      </c>
      <c r="F1503" s="4">
        <v>131.8</v>
      </c>
    </row>
    <row r="1504" ht="22.5" customHeight="1">
      <c r="C1504" s="4">
        <v>2.9644258E7</v>
      </c>
      <c r="D1504" s="17">
        <f t="shared" si="1"/>
        <v>29964306</v>
      </c>
      <c r="E1504" s="4">
        <v>7.54</v>
      </c>
      <c r="F1504" s="4">
        <v>131.8</v>
      </c>
    </row>
    <row r="1505" ht="22.5" customHeight="1">
      <c r="C1505" s="4">
        <v>2.9664261E7</v>
      </c>
      <c r="D1505" s="17">
        <f t="shared" si="1"/>
        <v>29984309</v>
      </c>
      <c r="E1505" s="4">
        <v>7.54</v>
      </c>
      <c r="F1505" s="4">
        <v>131.8</v>
      </c>
    </row>
    <row r="1506" ht="22.5" customHeight="1">
      <c r="C1506" s="4">
        <v>2.9684263E7</v>
      </c>
      <c r="D1506" s="17">
        <f t="shared" si="1"/>
        <v>30004311</v>
      </c>
      <c r="E1506" s="4">
        <v>7.54</v>
      </c>
      <c r="F1506" s="4">
        <v>131.9</v>
      </c>
    </row>
    <row r="1507" ht="22.5" customHeight="1">
      <c r="C1507" s="4">
        <v>2.9704266E7</v>
      </c>
      <c r="D1507" s="17">
        <f t="shared" si="1"/>
        <v>30024314</v>
      </c>
      <c r="E1507" s="4">
        <v>7.54</v>
      </c>
      <c r="F1507" s="4">
        <v>131.8</v>
      </c>
    </row>
    <row r="1508" ht="22.5" customHeight="1">
      <c r="C1508" s="4">
        <v>2.9724269E7</v>
      </c>
      <c r="D1508" s="17">
        <f t="shared" si="1"/>
        <v>30044317</v>
      </c>
      <c r="E1508" s="4">
        <v>7.54</v>
      </c>
      <c r="F1508" s="4">
        <v>131.8</v>
      </c>
    </row>
    <row r="1509" ht="22.5" customHeight="1">
      <c r="C1509" s="4">
        <v>2.9744272E7</v>
      </c>
      <c r="D1509" s="17">
        <f t="shared" si="1"/>
        <v>30064320</v>
      </c>
      <c r="E1509" s="4">
        <v>7.54</v>
      </c>
      <c r="F1509" s="4">
        <v>131.8</v>
      </c>
    </row>
    <row r="1510" ht="22.5" customHeight="1">
      <c r="C1510" s="4">
        <v>2.9764276E7</v>
      </c>
      <c r="D1510" s="17">
        <f t="shared" si="1"/>
        <v>30084324</v>
      </c>
      <c r="E1510" s="4">
        <v>7.53</v>
      </c>
      <c r="F1510" s="4">
        <v>131.8</v>
      </c>
    </row>
    <row r="1511" ht="22.5" customHeight="1">
      <c r="C1511" s="4">
        <v>2.9784279E7</v>
      </c>
      <c r="D1511" s="17">
        <f t="shared" si="1"/>
        <v>30104327</v>
      </c>
      <c r="E1511" s="4">
        <v>7.53</v>
      </c>
      <c r="F1511" s="4">
        <v>131.8</v>
      </c>
    </row>
    <row r="1512" ht="22.5" customHeight="1">
      <c r="C1512" s="4">
        <v>2.9804281E7</v>
      </c>
      <c r="D1512" s="17">
        <f t="shared" si="1"/>
        <v>30124329</v>
      </c>
      <c r="E1512" s="4">
        <v>7.54</v>
      </c>
      <c r="F1512" s="4">
        <v>131.7</v>
      </c>
    </row>
    <row r="1513" ht="22.5" customHeight="1">
      <c r="C1513" s="4">
        <v>2.9824284E7</v>
      </c>
      <c r="D1513" s="17">
        <f t="shared" si="1"/>
        <v>30144332</v>
      </c>
      <c r="E1513" s="4">
        <v>7.53</v>
      </c>
      <c r="F1513" s="4">
        <v>131.7</v>
      </c>
    </row>
    <row r="1514" ht="22.5" customHeight="1">
      <c r="C1514" s="4">
        <v>2.9844287E7</v>
      </c>
      <c r="D1514" s="17">
        <f t="shared" si="1"/>
        <v>30164335</v>
      </c>
      <c r="E1514" s="4">
        <v>7.53</v>
      </c>
      <c r="F1514" s="4">
        <v>131.7</v>
      </c>
    </row>
    <row r="1515" ht="22.5" customHeight="1">
      <c r="C1515" s="4">
        <v>2.986429E7</v>
      </c>
      <c r="D1515" s="17">
        <f t="shared" si="1"/>
        <v>30184338</v>
      </c>
      <c r="E1515" s="4">
        <v>7.53</v>
      </c>
      <c r="F1515" s="4">
        <v>131.8</v>
      </c>
    </row>
    <row r="1516" ht="22.5" customHeight="1">
      <c r="C1516" s="4">
        <v>2.9884293E7</v>
      </c>
      <c r="D1516" s="17">
        <f t="shared" si="1"/>
        <v>30204341</v>
      </c>
      <c r="E1516" s="4">
        <v>7.53</v>
      </c>
      <c r="F1516" s="4">
        <v>131.7</v>
      </c>
    </row>
    <row r="1517" ht="22.5" customHeight="1">
      <c r="C1517" s="4">
        <v>2.9904295E7</v>
      </c>
      <c r="D1517" s="17">
        <f t="shared" si="1"/>
        <v>30224343</v>
      </c>
      <c r="E1517" s="4">
        <v>7.53</v>
      </c>
      <c r="F1517" s="4">
        <v>131.7</v>
      </c>
    </row>
    <row r="1518" ht="22.5" customHeight="1">
      <c r="C1518" s="4">
        <v>2.9924298E7</v>
      </c>
      <c r="D1518" s="17">
        <f t="shared" si="1"/>
        <v>30244346</v>
      </c>
      <c r="E1518" s="4">
        <v>7.53</v>
      </c>
      <c r="F1518" s="4">
        <v>131.7</v>
      </c>
    </row>
    <row r="1519" ht="22.5" customHeight="1">
      <c r="C1519" s="4">
        <v>2.9944301E7</v>
      </c>
      <c r="D1519" s="17">
        <f t="shared" si="1"/>
        <v>30264349</v>
      </c>
      <c r="E1519" s="4">
        <v>7.53</v>
      </c>
      <c r="F1519" s="4">
        <v>131.6</v>
      </c>
    </row>
    <row r="1520" ht="22.5" customHeight="1">
      <c r="C1520" s="4">
        <v>2.9964304E7</v>
      </c>
      <c r="D1520" s="17">
        <f t="shared" si="1"/>
        <v>30284352</v>
      </c>
      <c r="E1520" s="4">
        <v>7.53</v>
      </c>
      <c r="F1520" s="4">
        <v>131.7</v>
      </c>
    </row>
    <row r="1521" ht="22.5" customHeight="1">
      <c r="C1521" s="4">
        <v>2.9984307E7</v>
      </c>
      <c r="D1521" s="17">
        <f t="shared" si="1"/>
        <v>30304355</v>
      </c>
      <c r="E1521" s="4">
        <v>7.53</v>
      </c>
      <c r="F1521" s="4">
        <v>131.6</v>
      </c>
    </row>
    <row r="1522" ht="22.5" customHeight="1">
      <c r="C1522" s="4">
        <v>3.000431E7</v>
      </c>
      <c r="D1522" s="17">
        <f t="shared" si="1"/>
        <v>30324358</v>
      </c>
      <c r="E1522" s="4">
        <v>7.53</v>
      </c>
      <c r="F1522" s="4">
        <v>131.6</v>
      </c>
    </row>
    <row r="1523" ht="22.5" customHeight="1">
      <c r="C1523" s="4">
        <v>3.0024312E7</v>
      </c>
      <c r="D1523" s="17">
        <f t="shared" si="1"/>
        <v>30344360</v>
      </c>
      <c r="E1523" s="4">
        <v>7.53</v>
      </c>
      <c r="F1523" s="4">
        <v>131.6</v>
      </c>
    </row>
    <row r="1524" ht="22.5" customHeight="1">
      <c r="C1524" s="4">
        <v>3.0044316E7</v>
      </c>
      <c r="D1524" s="17">
        <f t="shared" si="1"/>
        <v>30364364</v>
      </c>
      <c r="E1524" s="4">
        <v>7.53</v>
      </c>
      <c r="F1524" s="4">
        <v>131.7</v>
      </c>
    </row>
    <row r="1525" ht="22.5" customHeight="1">
      <c r="C1525" s="4">
        <v>3.0064319E7</v>
      </c>
      <c r="D1525" s="17">
        <f t="shared" si="1"/>
        <v>30384367</v>
      </c>
      <c r="E1525" s="4">
        <v>7.52</v>
      </c>
      <c r="F1525" s="4">
        <v>131.6</v>
      </c>
    </row>
    <row r="1526" ht="22.5" customHeight="1">
      <c r="C1526" s="4">
        <v>3.0084322E7</v>
      </c>
      <c r="D1526" s="17">
        <f t="shared" si="1"/>
        <v>30404370</v>
      </c>
      <c r="E1526" s="4">
        <v>7.53</v>
      </c>
      <c r="F1526" s="4">
        <v>131.6</v>
      </c>
    </row>
    <row r="1527" ht="22.5" customHeight="1">
      <c r="C1527" s="4">
        <v>3.0104325E7</v>
      </c>
      <c r="D1527" s="17">
        <f t="shared" si="1"/>
        <v>30424373</v>
      </c>
      <c r="E1527" s="4">
        <v>7.52</v>
      </c>
      <c r="F1527" s="4">
        <v>131.6</v>
      </c>
    </row>
    <row r="1528" ht="22.5" customHeight="1">
      <c r="C1528" s="4">
        <v>3.0124327E7</v>
      </c>
      <c r="D1528" s="17">
        <f t="shared" si="1"/>
        <v>30444375</v>
      </c>
      <c r="E1528" s="4">
        <v>7.52</v>
      </c>
      <c r="F1528" s="4">
        <v>131.6</v>
      </c>
    </row>
    <row r="1529" ht="22.5" customHeight="1">
      <c r="C1529" s="4">
        <v>3.014433E7</v>
      </c>
      <c r="D1529" s="17">
        <f t="shared" si="1"/>
        <v>30464378</v>
      </c>
      <c r="E1529" s="4">
        <v>7.52</v>
      </c>
      <c r="F1529" s="4">
        <v>131.6</v>
      </c>
    </row>
    <row r="1530" ht="22.5" customHeight="1">
      <c r="C1530" s="4">
        <v>3.0164333E7</v>
      </c>
      <c r="D1530" s="17">
        <f t="shared" si="1"/>
        <v>30484381</v>
      </c>
      <c r="E1530" s="4">
        <v>7.52</v>
      </c>
      <c r="F1530" s="4">
        <v>131.6</v>
      </c>
    </row>
    <row r="1531" ht="22.5" customHeight="1">
      <c r="C1531" s="4">
        <v>3.0184336E7</v>
      </c>
      <c r="D1531" s="17">
        <f t="shared" si="1"/>
        <v>30504384</v>
      </c>
      <c r="E1531" s="4">
        <v>7.52</v>
      </c>
      <c r="F1531" s="4">
        <v>131.6</v>
      </c>
    </row>
    <row r="1532" ht="22.5" customHeight="1">
      <c r="C1532" s="4">
        <v>3.0204339E7</v>
      </c>
      <c r="D1532" s="17">
        <f t="shared" si="1"/>
        <v>30524387</v>
      </c>
      <c r="E1532" s="4">
        <v>7.52</v>
      </c>
      <c r="F1532" s="4">
        <v>131.6</v>
      </c>
    </row>
    <row r="1533" ht="22.5" customHeight="1">
      <c r="C1533" s="4">
        <v>3.0224342E7</v>
      </c>
      <c r="D1533" s="17">
        <f t="shared" si="1"/>
        <v>30544390</v>
      </c>
      <c r="E1533" s="4">
        <v>7.52</v>
      </c>
      <c r="F1533" s="4">
        <v>131.5</v>
      </c>
    </row>
    <row r="1534" ht="22.5" customHeight="1">
      <c r="C1534" s="4">
        <v>3.0244344E7</v>
      </c>
      <c r="D1534" s="17">
        <f t="shared" si="1"/>
        <v>30564392</v>
      </c>
      <c r="E1534" s="4">
        <v>7.52</v>
      </c>
      <c r="F1534" s="4">
        <v>131.6</v>
      </c>
    </row>
    <row r="1535" ht="22.5" customHeight="1">
      <c r="C1535" s="4">
        <v>3.0264347E7</v>
      </c>
      <c r="D1535" s="17">
        <f t="shared" si="1"/>
        <v>30584395</v>
      </c>
      <c r="E1535" s="4">
        <v>7.52</v>
      </c>
      <c r="F1535" s="4">
        <v>131.5</v>
      </c>
    </row>
    <row r="1536" ht="22.5" customHeight="1">
      <c r="C1536" s="4">
        <v>3.028435E7</v>
      </c>
      <c r="D1536" s="17">
        <f t="shared" si="1"/>
        <v>30604398</v>
      </c>
      <c r="E1536" s="4">
        <v>7.52</v>
      </c>
      <c r="F1536" s="4">
        <v>131.5</v>
      </c>
    </row>
    <row r="1537" ht="22.5" customHeight="1">
      <c r="C1537" s="4">
        <v>3.0304354E7</v>
      </c>
      <c r="D1537" s="17">
        <f t="shared" si="1"/>
        <v>30624402</v>
      </c>
      <c r="E1537" s="4">
        <v>7.52</v>
      </c>
      <c r="F1537" s="4">
        <v>131.6</v>
      </c>
    </row>
    <row r="1538" ht="22.5" customHeight="1">
      <c r="C1538" s="4">
        <v>3.0324357E7</v>
      </c>
      <c r="D1538" s="17">
        <f t="shared" si="1"/>
        <v>30644405</v>
      </c>
      <c r="E1538" s="4">
        <v>7.52</v>
      </c>
      <c r="F1538" s="4">
        <v>131.6</v>
      </c>
    </row>
    <row r="1539" ht="22.5" customHeight="1">
      <c r="C1539" s="4">
        <v>3.0344359E7</v>
      </c>
      <c r="D1539" s="17">
        <f t="shared" si="1"/>
        <v>30664407</v>
      </c>
      <c r="E1539" s="4">
        <v>7.52</v>
      </c>
      <c r="F1539" s="4">
        <v>131.5</v>
      </c>
    </row>
    <row r="1540" ht="22.5" customHeight="1">
      <c r="C1540" s="4">
        <v>3.0364362E7</v>
      </c>
      <c r="D1540" s="17">
        <f t="shared" si="1"/>
        <v>30684410</v>
      </c>
      <c r="E1540" s="4">
        <v>7.52</v>
      </c>
      <c r="F1540" s="4">
        <v>131.5</v>
      </c>
    </row>
    <row r="1541" ht="22.5" customHeight="1">
      <c r="C1541" s="4">
        <v>3.0384365E7</v>
      </c>
      <c r="D1541" s="17">
        <f t="shared" si="1"/>
        <v>30704413</v>
      </c>
      <c r="E1541" s="4">
        <v>7.52</v>
      </c>
      <c r="F1541" s="4">
        <v>131.4</v>
      </c>
    </row>
    <row r="1542" ht="22.5" customHeight="1">
      <c r="C1542" s="4">
        <v>3.0404368E7</v>
      </c>
      <c r="D1542" s="17">
        <f t="shared" si="1"/>
        <v>30724416</v>
      </c>
      <c r="E1542" s="4">
        <v>7.52</v>
      </c>
      <c r="F1542" s="4">
        <v>131.4</v>
      </c>
    </row>
    <row r="1543" ht="22.5" customHeight="1">
      <c r="C1543" s="4">
        <v>3.0424371E7</v>
      </c>
      <c r="D1543" s="17">
        <f t="shared" si="1"/>
        <v>30744419</v>
      </c>
      <c r="E1543" s="4">
        <v>7.52</v>
      </c>
      <c r="F1543" s="4">
        <v>131.4</v>
      </c>
    </row>
    <row r="1544" ht="22.5" customHeight="1">
      <c r="C1544" s="4">
        <v>3.0444374E7</v>
      </c>
      <c r="D1544" s="17">
        <f t="shared" si="1"/>
        <v>30764422</v>
      </c>
      <c r="E1544" s="4">
        <v>7.52</v>
      </c>
      <c r="F1544" s="4">
        <v>131.4</v>
      </c>
    </row>
    <row r="1545" ht="22.5" customHeight="1">
      <c r="C1545" s="4">
        <v>3.0464376E7</v>
      </c>
      <c r="D1545" s="17">
        <f t="shared" si="1"/>
        <v>30784424</v>
      </c>
      <c r="E1545" s="4">
        <v>7.52</v>
      </c>
      <c r="F1545" s="4">
        <v>131.4</v>
      </c>
    </row>
    <row r="1546" ht="22.5" customHeight="1">
      <c r="C1546" s="4">
        <v>3.0484379E7</v>
      </c>
      <c r="D1546" s="17">
        <f t="shared" si="1"/>
        <v>30804427</v>
      </c>
      <c r="E1546" s="4">
        <v>7.51</v>
      </c>
      <c r="F1546" s="4">
        <v>131.5</v>
      </c>
    </row>
    <row r="1547" ht="22.5" customHeight="1">
      <c r="C1547" s="4">
        <v>3.0504382E7</v>
      </c>
      <c r="D1547" s="17">
        <f t="shared" si="1"/>
        <v>30824430</v>
      </c>
      <c r="E1547" s="4">
        <v>7.52</v>
      </c>
      <c r="F1547" s="4">
        <v>131.4</v>
      </c>
    </row>
    <row r="1548" ht="22.5" customHeight="1">
      <c r="C1548" s="4">
        <v>3.0524385E7</v>
      </c>
      <c r="D1548" s="17">
        <f t="shared" si="1"/>
        <v>30844433</v>
      </c>
      <c r="E1548" s="4">
        <v>7.52</v>
      </c>
      <c r="F1548" s="4">
        <v>131.4</v>
      </c>
    </row>
    <row r="1549" ht="22.5" customHeight="1">
      <c r="C1549" s="4">
        <v>3.0544388E7</v>
      </c>
      <c r="D1549" s="17">
        <f t="shared" si="1"/>
        <v>30864436</v>
      </c>
      <c r="E1549" s="4">
        <v>7.51</v>
      </c>
      <c r="F1549" s="4">
        <v>131.4</v>
      </c>
    </row>
    <row r="1550" ht="22.5" customHeight="1">
      <c r="C1550" s="4">
        <v>3.056439E7</v>
      </c>
      <c r="D1550" s="17">
        <f t="shared" si="1"/>
        <v>30884438</v>
      </c>
      <c r="E1550" s="4">
        <v>7.51</v>
      </c>
      <c r="F1550" s="4">
        <v>131.4</v>
      </c>
    </row>
    <row r="1551" ht="22.5" customHeight="1">
      <c r="C1551" s="4">
        <v>3.0584394E7</v>
      </c>
      <c r="D1551" s="17">
        <f t="shared" si="1"/>
        <v>30904442</v>
      </c>
      <c r="E1551" s="4">
        <v>7.51</v>
      </c>
      <c r="F1551" s="4">
        <v>131.4</v>
      </c>
    </row>
    <row r="1552" ht="22.5" customHeight="1">
      <c r="C1552" s="4">
        <v>3.0604397E7</v>
      </c>
      <c r="D1552" s="17">
        <f t="shared" si="1"/>
        <v>30924445</v>
      </c>
      <c r="E1552" s="4">
        <v>7.51</v>
      </c>
      <c r="F1552" s="4">
        <v>131.3</v>
      </c>
    </row>
    <row r="1553" ht="22.5" customHeight="1">
      <c r="C1553" s="4">
        <v>3.06244E7</v>
      </c>
      <c r="D1553" s="17">
        <f t="shared" si="1"/>
        <v>30944448</v>
      </c>
      <c r="E1553" s="4">
        <v>7.51</v>
      </c>
      <c r="F1553" s="4">
        <v>131.4</v>
      </c>
    </row>
    <row r="1554" ht="22.5" customHeight="1">
      <c r="C1554" s="4">
        <v>3.0644403E7</v>
      </c>
      <c r="D1554" s="17">
        <f t="shared" si="1"/>
        <v>30964451</v>
      </c>
      <c r="E1554" s="4">
        <v>7.51</v>
      </c>
      <c r="F1554" s="4">
        <v>131.4</v>
      </c>
    </row>
    <row r="1555" ht="22.5" customHeight="1">
      <c r="C1555" s="4">
        <v>3.0664406E7</v>
      </c>
      <c r="D1555" s="17">
        <f t="shared" si="1"/>
        <v>30984454</v>
      </c>
      <c r="E1555" s="4">
        <v>7.51</v>
      </c>
      <c r="F1555" s="4">
        <v>131.3</v>
      </c>
    </row>
    <row r="1556" ht="22.5" customHeight="1">
      <c r="C1556" s="4">
        <v>3.0684408E7</v>
      </c>
      <c r="D1556" s="17">
        <f t="shared" si="1"/>
        <v>31004456</v>
      </c>
      <c r="E1556" s="4">
        <v>7.51</v>
      </c>
      <c r="F1556" s="4">
        <v>131.3</v>
      </c>
    </row>
    <row r="1557" ht="22.5" customHeight="1">
      <c r="C1557" s="4">
        <v>3.0704411E7</v>
      </c>
      <c r="D1557" s="17">
        <f t="shared" si="1"/>
        <v>31024459</v>
      </c>
      <c r="E1557" s="4">
        <v>7.51</v>
      </c>
      <c r="F1557" s="4">
        <v>131.3</v>
      </c>
    </row>
    <row r="1558" ht="22.5" customHeight="1">
      <c r="C1558" s="4">
        <v>3.0724414E7</v>
      </c>
      <c r="D1558" s="17">
        <f t="shared" si="1"/>
        <v>31044462</v>
      </c>
      <c r="E1558" s="4">
        <v>7.51</v>
      </c>
      <c r="F1558" s="4">
        <v>131.3</v>
      </c>
    </row>
    <row r="1559" ht="22.5" customHeight="1">
      <c r="C1559" s="4">
        <v>3.0744417E7</v>
      </c>
      <c r="D1559" s="17">
        <f t="shared" si="1"/>
        <v>31064465</v>
      </c>
      <c r="E1559" s="4">
        <v>7.51</v>
      </c>
      <c r="F1559" s="4">
        <v>131.3</v>
      </c>
    </row>
    <row r="1560" ht="22.5" customHeight="1">
      <c r="C1560" s="4">
        <v>3.076442E7</v>
      </c>
      <c r="D1560" s="17">
        <f t="shared" si="1"/>
        <v>31084468</v>
      </c>
      <c r="E1560" s="4">
        <v>7.51</v>
      </c>
      <c r="F1560" s="4">
        <v>131.3</v>
      </c>
    </row>
    <row r="1561" ht="22.5" customHeight="1">
      <c r="C1561" s="4">
        <v>3.0784422E7</v>
      </c>
      <c r="D1561" s="17">
        <f t="shared" si="1"/>
        <v>31104470</v>
      </c>
      <c r="E1561" s="4">
        <v>7.51</v>
      </c>
      <c r="F1561" s="4">
        <v>131.3</v>
      </c>
    </row>
    <row r="1562" ht="22.5" customHeight="1">
      <c r="C1562" s="4">
        <v>3.0804425E7</v>
      </c>
      <c r="D1562" s="17">
        <f t="shared" si="1"/>
        <v>31124473</v>
      </c>
      <c r="E1562" s="4">
        <v>7.51</v>
      </c>
      <c r="F1562" s="4">
        <v>131.3</v>
      </c>
    </row>
    <row r="1563" ht="22.5" customHeight="1">
      <c r="C1563" s="4">
        <v>3.0824428E7</v>
      </c>
      <c r="D1563" s="17">
        <f t="shared" si="1"/>
        <v>31144476</v>
      </c>
      <c r="E1563" s="4">
        <v>7.5</v>
      </c>
      <c r="F1563" s="4">
        <v>131.2</v>
      </c>
    </row>
    <row r="1564" ht="22.5" customHeight="1">
      <c r="C1564" s="4">
        <v>3.0844432E7</v>
      </c>
      <c r="D1564" s="17">
        <f t="shared" si="1"/>
        <v>31164480</v>
      </c>
      <c r="E1564" s="4">
        <v>7.51</v>
      </c>
      <c r="F1564" s="4">
        <v>131.3</v>
      </c>
    </row>
    <row r="1565" ht="22.5" customHeight="1">
      <c r="C1565" s="4">
        <v>3.0864435E7</v>
      </c>
      <c r="D1565" s="17">
        <f t="shared" si="1"/>
        <v>31184483</v>
      </c>
      <c r="E1565" s="4">
        <v>7.51</v>
      </c>
      <c r="F1565" s="4">
        <v>131.2</v>
      </c>
    </row>
    <row r="1566" ht="22.5" customHeight="1">
      <c r="C1566" s="4">
        <v>3.0884438E7</v>
      </c>
      <c r="D1566" s="17">
        <f t="shared" si="1"/>
        <v>31204486</v>
      </c>
      <c r="E1566" s="4">
        <v>7.51</v>
      </c>
      <c r="F1566" s="4">
        <v>131.3</v>
      </c>
    </row>
    <row r="1567" ht="22.5" customHeight="1">
      <c r="C1567" s="4">
        <v>3.090444E7</v>
      </c>
      <c r="D1567" s="17">
        <f t="shared" si="1"/>
        <v>31224488</v>
      </c>
      <c r="E1567" s="4">
        <v>7.5</v>
      </c>
      <c r="F1567" s="4">
        <v>131.2</v>
      </c>
    </row>
    <row r="1568" ht="22.5" customHeight="1">
      <c r="C1568" s="4">
        <v>3.0924443E7</v>
      </c>
      <c r="D1568" s="17">
        <f t="shared" si="1"/>
        <v>31244491</v>
      </c>
      <c r="E1568" s="4">
        <v>7.5</v>
      </c>
      <c r="F1568" s="4">
        <v>131.2</v>
      </c>
    </row>
    <row r="1569" ht="22.5" customHeight="1">
      <c r="C1569" s="4">
        <v>3.0944446E7</v>
      </c>
      <c r="D1569" s="17">
        <f t="shared" si="1"/>
        <v>31264494</v>
      </c>
      <c r="E1569" s="4">
        <v>7.5</v>
      </c>
      <c r="F1569" s="4">
        <v>131.2</v>
      </c>
    </row>
    <row r="1570" ht="22.5" customHeight="1">
      <c r="C1570" s="4">
        <v>3.0964449E7</v>
      </c>
      <c r="D1570" s="17">
        <f t="shared" si="1"/>
        <v>31284497</v>
      </c>
      <c r="E1570" s="4">
        <v>7.5</v>
      </c>
      <c r="F1570" s="4">
        <v>131.2</v>
      </c>
    </row>
    <row r="1571" ht="22.5" customHeight="1">
      <c r="C1571" s="4">
        <v>3.0984452E7</v>
      </c>
      <c r="D1571" s="17">
        <f t="shared" si="1"/>
        <v>31304500</v>
      </c>
      <c r="E1571" s="4">
        <v>7.5</v>
      </c>
      <c r="F1571" s="4">
        <v>131.2</v>
      </c>
    </row>
    <row r="1572" ht="22.5" customHeight="1">
      <c r="C1572" s="4">
        <v>3.1004454E7</v>
      </c>
      <c r="D1572" s="17">
        <f t="shared" si="1"/>
        <v>31324502</v>
      </c>
      <c r="E1572" s="4">
        <v>7.5</v>
      </c>
      <c r="F1572" s="4">
        <v>131.2</v>
      </c>
    </row>
    <row r="1573" ht="22.5" customHeight="1">
      <c r="C1573" s="4">
        <v>3.1024457E7</v>
      </c>
      <c r="D1573" s="17">
        <f t="shared" si="1"/>
        <v>31344505</v>
      </c>
      <c r="E1573" s="4">
        <v>7.5</v>
      </c>
      <c r="F1573" s="4">
        <v>131.2</v>
      </c>
    </row>
    <row r="1574" ht="22.5" customHeight="1">
      <c r="C1574" s="4">
        <v>3.104446E7</v>
      </c>
      <c r="D1574" s="17">
        <f t="shared" si="1"/>
        <v>31364508</v>
      </c>
      <c r="E1574" s="4">
        <v>7.5</v>
      </c>
      <c r="F1574" s="4">
        <v>131.2</v>
      </c>
    </row>
    <row r="1575" ht="22.5" customHeight="1">
      <c r="C1575" s="4">
        <v>3.1064463E7</v>
      </c>
      <c r="D1575" s="17">
        <f t="shared" si="1"/>
        <v>31384511</v>
      </c>
      <c r="E1575" s="4">
        <v>7.5</v>
      </c>
      <c r="F1575" s="4">
        <v>131.2</v>
      </c>
    </row>
    <row r="1576" ht="22.5" customHeight="1">
      <c r="C1576" s="4">
        <v>3.1084466E7</v>
      </c>
      <c r="D1576" s="17">
        <f t="shared" si="1"/>
        <v>31404514</v>
      </c>
      <c r="E1576" s="4">
        <v>7.5</v>
      </c>
      <c r="F1576" s="4">
        <v>131.1</v>
      </c>
    </row>
    <row r="1577" ht="22.5" customHeight="1">
      <c r="C1577" s="4">
        <v>3.1104468E7</v>
      </c>
      <c r="D1577" s="17">
        <f t="shared" si="1"/>
        <v>31424516</v>
      </c>
      <c r="E1577" s="4">
        <v>7.5</v>
      </c>
      <c r="F1577" s="4">
        <v>131.2</v>
      </c>
    </row>
    <row r="1578" ht="22.5" customHeight="1">
      <c r="C1578" s="4">
        <v>3.1124472E7</v>
      </c>
      <c r="D1578" s="17">
        <f t="shared" si="1"/>
        <v>31444520</v>
      </c>
      <c r="E1578" s="4">
        <v>7.5</v>
      </c>
      <c r="F1578" s="4">
        <v>131.1</v>
      </c>
    </row>
    <row r="1579" ht="22.5" customHeight="1">
      <c r="C1579" s="4">
        <v>3.1144475E7</v>
      </c>
      <c r="D1579" s="17">
        <f t="shared" si="1"/>
        <v>31464523</v>
      </c>
      <c r="E1579" s="4">
        <v>7.5</v>
      </c>
      <c r="F1579" s="4">
        <v>131.2</v>
      </c>
    </row>
    <row r="1580" ht="22.5" customHeight="1">
      <c r="C1580" s="4">
        <v>3.1164478E7</v>
      </c>
      <c r="D1580" s="17">
        <f t="shared" si="1"/>
        <v>31484526</v>
      </c>
      <c r="E1580" s="4">
        <v>7.5</v>
      </c>
      <c r="F1580" s="4">
        <v>131.1</v>
      </c>
    </row>
    <row r="1581" ht="22.5" customHeight="1">
      <c r="C1581" s="4">
        <v>3.1184481E7</v>
      </c>
      <c r="D1581" s="17">
        <f t="shared" si="1"/>
        <v>31504529</v>
      </c>
      <c r="E1581" s="4">
        <v>7.5</v>
      </c>
      <c r="F1581" s="4">
        <v>131.1</v>
      </c>
    </row>
    <row r="1582" ht="22.5" customHeight="1">
      <c r="C1582" s="4">
        <v>3.1204484E7</v>
      </c>
      <c r="D1582" s="17">
        <f t="shared" si="1"/>
        <v>31524532</v>
      </c>
      <c r="E1582" s="4">
        <v>7.5</v>
      </c>
      <c r="F1582" s="4">
        <v>131.1</v>
      </c>
    </row>
    <row r="1583" ht="22.5" customHeight="1">
      <c r="C1583" s="4">
        <v>3.1224486E7</v>
      </c>
      <c r="D1583" s="17">
        <f t="shared" si="1"/>
        <v>31544534</v>
      </c>
      <c r="E1583" s="4">
        <v>7.5</v>
      </c>
      <c r="F1583" s="4">
        <v>131.1</v>
      </c>
    </row>
    <row r="1584" ht="22.5" customHeight="1">
      <c r="C1584" s="4">
        <v>3.1244489E7</v>
      </c>
      <c r="D1584" s="17">
        <f t="shared" si="1"/>
        <v>31564537</v>
      </c>
      <c r="E1584" s="4">
        <v>7.5</v>
      </c>
      <c r="F1584" s="4">
        <v>131.1</v>
      </c>
    </row>
    <row r="1585" ht="22.5" customHeight="1">
      <c r="C1585" s="4">
        <v>3.1264492E7</v>
      </c>
      <c r="D1585" s="17">
        <f t="shared" si="1"/>
        <v>31584540</v>
      </c>
      <c r="E1585" s="4">
        <v>7.5</v>
      </c>
      <c r="F1585" s="4">
        <v>131.1</v>
      </c>
    </row>
    <row r="1586" ht="22.5" customHeight="1">
      <c r="C1586" s="4">
        <v>3.1284495E7</v>
      </c>
      <c r="D1586" s="17">
        <f t="shared" si="1"/>
        <v>31604543</v>
      </c>
      <c r="E1586" s="4">
        <v>7.49</v>
      </c>
      <c r="F1586" s="4">
        <v>131.1</v>
      </c>
    </row>
    <row r="1587" ht="22.5" customHeight="1">
      <c r="C1587" s="4">
        <v>3.1304498E7</v>
      </c>
      <c r="D1587" s="17">
        <f t="shared" si="1"/>
        <v>31624546</v>
      </c>
      <c r="E1587" s="4">
        <v>7.5</v>
      </c>
      <c r="F1587" s="4">
        <v>131.0</v>
      </c>
    </row>
    <row r="1588" ht="22.5" customHeight="1">
      <c r="C1588" s="4">
        <v>3.13245E7</v>
      </c>
      <c r="D1588" s="17">
        <f t="shared" si="1"/>
        <v>31644548</v>
      </c>
      <c r="E1588" s="4">
        <v>7.49</v>
      </c>
      <c r="F1588" s="4">
        <v>131.0</v>
      </c>
    </row>
    <row r="1589" ht="22.5" customHeight="1">
      <c r="C1589" s="4">
        <v>3.1344503E7</v>
      </c>
      <c r="D1589" s="17">
        <f t="shared" si="1"/>
        <v>31664551</v>
      </c>
      <c r="E1589" s="4">
        <v>7.49</v>
      </c>
      <c r="F1589" s="4">
        <v>130.9</v>
      </c>
    </row>
    <row r="1590" ht="22.5" customHeight="1">
      <c r="C1590" s="4">
        <v>3.1364506E7</v>
      </c>
      <c r="D1590" s="17">
        <f t="shared" si="1"/>
        <v>31684554</v>
      </c>
      <c r="E1590" s="4">
        <v>7.49</v>
      </c>
      <c r="F1590" s="4">
        <v>131.0</v>
      </c>
    </row>
    <row r="1591" ht="22.5" customHeight="1">
      <c r="C1591" s="4">
        <v>3.1384509E7</v>
      </c>
      <c r="D1591" s="17">
        <f t="shared" si="1"/>
        <v>31704557</v>
      </c>
      <c r="E1591" s="4">
        <v>7.49</v>
      </c>
      <c r="F1591" s="4">
        <v>131.0</v>
      </c>
    </row>
    <row r="1592" ht="22.5" customHeight="1">
      <c r="C1592" s="4">
        <v>3.1404512E7</v>
      </c>
      <c r="D1592" s="17">
        <f t="shared" si="1"/>
        <v>31724560</v>
      </c>
      <c r="E1592" s="4">
        <v>7.49</v>
      </c>
      <c r="F1592" s="4">
        <v>131.0</v>
      </c>
    </row>
    <row r="1593" ht="22.5" customHeight="1">
      <c r="C1593" s="4">
        <v>3.1424516E7</v>
      </c>
      <c r="D1593" s="17">
        <f t="shared" si="1"/>
        <v>31744564</v>
      </c>
      <c r="E1593" s="4">
        <v>7.49</v>
      </c>
      <c r="F1593" s="4">
        <v>131.0</v>
      </c>
    </row>
    <row r="1594" ht="22.5" customHeight="1">
      <c r="C1594" s="4">
        <v>3.1444518E7</v>
      </c>
      <c r="D1594" s="17">
        <f t="shared" si="1"/>
        <v>31764566</v>
      </c>
      <c r="E1594" s="4">
        <v>7.49</v>
      </c>
      <c r="F1594" s="4">
        <v>131.0</v>
      </c>
    </row>
    <row r="1595" ht="22.5" customHeight="1">
      <c r="C1595" s="4">
        <v>3.1464521E7</v>
      </c>
      <c r="D1595" s="17">
        <f t="shared" si="1"/>
        <v>31784569</v>
      </c>
      <c r="E1595" s="4">
        <v>7.49</v>
      </c>
      <c r="F1595" s="4">
        <v>130.9</v>
      </c>
    </row>
    <row r="1596" ht="22.5" customHeight="1">
      <c r="C1596" s="4">
        <v>3.1484524E7</v>
      </c>
      <c r="D1596" s="17">
        <f t="shared" si="1"/>
        <v>31804572</v>
      </c>
      <c r="E1596" s="4">
        <v>7.49</v>
      </c>
      <c r="F1596" s="4">
        <v>130.9</v>
      </c>
    </row>
    <row r="1597" ht="22.5" customHeight="1">
      <c r="C1597" s="4">
        <v>3.1504527E7</v>
      </c>
      <c r="D1597" s="17">
        <f t="shared" si="1"/>
        <v>31824575</v>
      </c>
      <c r="E1597" s="4">
        <v>7.49</v>
      </c>
      <c r="F1597" s="4">
        <v>130.9</v>
      </c>
    </row>
    <row r="1598" ht="22.5" customHeight="1">
      <c r="C1598" s="4">
        <v>3.152453E7</v>
      </c>
      <c r="D1598" s="17">
        <f t="shared" si="1"/>
        <v>31844578</v>
      </c>
      <c r="E1598" s="4">
        <v>7.49</v>
      </c>
      <c r="F1598" s="4">
        <v>130.9</v>
      </c>
    </row>
    <row r="1599" ht="22.5" customHeight="1">
      <c r="C1599" s="4">
        <v>3.1544532E7</v>
      </c>
      <c r="D1599" s="17">
        <f t="shared" si="1"/>
        <v>31864580</v>
      </c>
      <c r="E1599" s="4">
        <v>7.49</v>
      </c>
      <c r="F1599" s="4">
        <v>131.0</v>
      </c>
    </row>
    <row r="1600" ht="22.5" customHeight="1">
      <c r="C1600" s="4">
        <v>3.1564535E7</v>
      </c>
      <c r="D1600" s="17">
        <f t="shared" si="1"/>
        <v>31884583</v>
      </c>
      <c r="E1600" s="4">
        <v>7.49</v>
      </c>
      <c r="F1600" s="4">
        <v>130.9</v>
      </c>
    </row>
    <row r="1601" ht="22.5" customHeight="1">
      <c r="C1601" s="4">
        <v>3.1584538E7</v>
      </c>
      <c r="D1601" s="17">
        <f t="shared" si="1"/>
        <v>31904586</v>
      </c>
      <c r="E1601" s="4">
        <v>7.49</v>
      </c>
      <c r="F1601" s="4">
        <v>130.9</v>
      </c>
    </row>
    <row r="1602" ht="22.5" customHeight="1">
      <c r="C1602" s="4">
        <v>3.1604541E7</v>
      </c>
      <c r="D1602" s="17">
        <f t="shared" si="1"/>
        <v>31924589</v>
      </c>
      <c r="E1602" s="4">
        <v>7.49</v>
      </c>
      <c r="F1602" s="4">
        <v>130.9</v>
      </c>
    </row>
    <row r="1603" ht="22.5" customHeight="1">
      <c r="C1603" s="4">
        <v>3.1624544E7</v>
      </c>
      <c r="D1603" s="17">
        <f t="shared" si="1"/>
        <v>31944592</v>
      </c>
      <c r="E1603" s="4">
        <v>7.49</v>
      </c>
      <c r="F1603" s="4">
        <v>130.9</v>
      </c>
    </row>
    <row r="1604" ht="22.5" customHeight="1">
      <c r="C1604" s="4">
        <v>3.1644547E7</v>
      </c>
      <c r="D1604" s="17">
        <f t="shared" si="1"/>
        <v>31964595</v>
      </c>
      <c r="E1604" s="4">
        <v>7.49</v>
      </c>
      <c r="F1604" s="4">
        <v>130.9</v>
      </c>
    </row>
    <row r="1605" ht="22.5" customHeight="1">
      <c r="C1605" s="4">
        <v>3.1664549E7</v>
      </c>
      <c r="D1605" s="17">
        <f t="shared" si="1"/>
        <v>31984597</v>
      </c>
      <c r="E1605" s="4">
        <v>7.48</v>
      </c>
      <c r="F1605" s="4">
        <v>130.9</v>
      </c>
    </row>
    <row r="1606" ht="22.5" customHeight="1">
      <c r="C1606" s="4">
        <v>3.1684552E7</v>
      </c>
      <c r="D1606" s="17">
        <f t="shared" si="1"/>
        <v>32004600</v>
      </c>
      <c r="E1606" s="4">
        <v>7.48</v>
      </c>
      <c r="F1606" s="4">
        <v>130.8</v>
      </c>
    </row>
    <row r="1607" ht="22.5" customHeight="1">
      <c r="C1607" s="4">
        <v>3.1704556E7</v>
      </c>
      <c r="D1607" s="17">
        <f t="shared" si="1"/>
        <v>32024604</v>
      </c>
      <c r="E1607" s="4">
        <v>7.48</v>
      </c>
      <c r="F1607" s="4">
        <v>130.8</v>
      </c>
    </row>
    <row r="1608" ht="22.5" customHeight="1">
      <c r="C1608" s="4">
        <v>3.1724559E7</v>
      </c>
      <c r="D1608" s="17">
        <f t="shared" si="1"/>
        <v>32044607</v>
      </c>
      <c r="E1608" s="4">
        <v>7.48</v>
      </c>
      <c r="F1608" s="4">
        <v>130.9</v>
      </c>
    </row>
    <row r="1609" ht="22.5" customHeight="1">
      <c r="C1609" s="4">
        <v>3.1744562E7</v>
      </c>
      <c r="D1609" s="17">
        <f t="shared" si="1"/>
        <v>32064610</v>
      </c>
      <c r="E1609" s="4">
        <v>7.48</v>
      </c>
      <c r="F1609" s="4">
        <v>130.8</v>
      </c>
    </row>
    <row r="1610" ht="22.5" customHeight="1">
      <c r="C1610" s="4">
        <v>3.1764564E7</v>
      </c>
      <c r="D1610" s="17">
        <f t="shared" si="1"/>
        <v>32084612</v>
      </c>
      <c r="E1610" s="4">
        <v>7.48</v>
      </c>
      <c r="F1610" s="4">
        <v>130.8</v>
      </c>
    </row>
    <row r="1611" ht="22.5" customHeight="1">
      <c r="C1611" s="4">
        <v>3.1784567E7</v>
      </c>
      <c r="D1611" s="17">
        <f t="shared" si="1"/>
        <v>32104615</v>
      </c>
      <c r="E1611" s="4">
        <v>7.48</v>
      </c>
      <c r="F1611" s="4">
        <v>130.9</v>
      </c>
    </row>
    <row r="1612" ht="22.5" customHeight="1">
      <c r="C1612" s="4">
        <v>3.180457E7</v>
      </c>
      <c r="D1612" s="17">
        <f t="shared" si="1"/>
        <v>32124618</v>
      </c>
      <c r="E1612" s="4">
        <v>7.48</v>
      </c>
      <c r="F1612" s="4">
        <v>130.8</v>
      </c>
    </row>
    <row r="1613" ht="22.5" customHeight="1">
      <c r="C1613" s="4">
        <v>3.1824573E7</v>
      </c>
      <c r="D1613" s="17">
        <f t="shared" si="1"/>
        <v>32144621</v>
      </c>
      <c r="E1613" s="4">
        <v>7.48</v>
      </c>
      <c r="F1613" s="4">
        <v>130.8</v>
      </c>
    </row>
    <row r="1614" ht="22.5" customHeight="1">
      <c r="C1614" s="4">
        <v>3.1844576E7</v>
      </c>
      <c r="D1614" s="17">
        <f t="shared" si="1"/>
        <v>32164624</v>
      </c>
      <c r="E1614" s="4">
        <v>7.48</v>
      </c>
      <c r="F1614" s="4">
        <v>130.8</v>
      </c>
    </row>
    <row r="1615" ht="22.5" customHeight="1">
      <c r="C1615" s="4">
        <v>3.1864579E7</v>
      </c>
      <c r="D1615" s="17">
        <f t="shared" si="1"/>
        <v>32184627</v>
      </c>
      <c r="E1615" s="4">
        <v>7.48</v>
      </c>
      <c r="F1615" s="4">
        <v>130.8</v>
      </c>
    </row>
    <row r="1616" ht="22.5" customHeight="1">
      <c r="C1616" s="4">
        <v>3.1884581E7</v>
      </c>
      <c r="D1616" s="17">
        <f t="shared" si="1"/>
        <v>32204629</v>
      </c>
      <c r="E1616" s="4">
        <v>7.48</v>
      </c>
      <c r="F1616" s="4">
        <v>130.7</v>
      </c>
    </row>
    <row r="1617" ht="22.5" customHeight="1">
      <c r="C1617" s="4">
        <v>3.1904584E7</v>
      </c>
      <c r="D1617" s="17">
        <f t="shared" si="1"/>
        <v>32224632</v>
      </c>
      <c r="E1617" s="4">
        <v>7.48</v>
      </c>
      <c r="F1617" s="4">
        <v>130.8</v>
      </c>
    </row>
    <row r="1618" ht="22.5" customHeight="1">
      <c r="C1618" s="4">
        <v>3.1924587E7</v>
      </c>
      <c r="D1618" s="17">
        <f t="shared" si="1"/>
        <v>32244635</v>
      </c>
      <c r="E1618" s="4">
        <v>7.48</v>
      </c>
      <c r="F1618" s="4">
        <v>130.8</v>
      </c>
    </row>
    <row r="1619" ht="22.5" customHeight="1">
      <c r="C1619" s="4">
        <v>3.194459E7</v>
      </c>
      <c r="D1619" s="17">
        <f t="shared" si="1"/>
        <v>32264638</v>
      </c>
      <c r="E1619" s="4">
        <v>7.48</v>
      </c>
      <c r="F1619" s="4">
        <v>130.7</v>
      </c>
    </row>
    <row r="1620" ht="22.5" customHeight="1">
      <c r="C1620" s="4">
        <v>3.1964593E7</v>
      </c>
      <c r="D1620" s="17">
        <f t="shared" si="1"/>
        <v>32284641</v>
      </c>
      <c r="E1620" s="4">
        <v>7.48</v>
      </c>
      <c r="F1620" s="4">
        <v>130.7</v>
      </c>
    </row>
    <row r="1621" ht="22.5" customHeight="1">
      <c r="C1621" s="4">
        <v>3.1984596E7</v>
      </c>
      <c r="D1621" s="17">
        <f t="shared" si="1"/>
        <v>32304644</v>
      </c>
      <c r="E1621" s="4">
        <v>7.48</v>
      </c>
      <c r="F1621" s="4">
        <v>130.7</v>
      </c>
    </row>
    <row r="1622" ht="22.5" customHeight="1">
      <c r="C1622" s="4">
        <v>3.2004599E7</v>
      </c>
      <c r="D1622" s="17">
        <f t="shared" si="1"/>
        <v>32324647</v>
      </c>
      <c r="E1622" s="4">
        <v>7.48</v>
      </c>
      <c r="F1622" s="4">
        <v>130.7</v>
      </c>
    </row>
    <row r="1623" ht="22.5" customHeight="1">
      <c r="C1623" s="4">
        <v>3.2024602E7</v>
      </c>
      <c r="D1623" s="17">
        <f t="shared" si="1"/>
        <v>32344650</v>
      </c>
      <c r="E1623" s="4">
        <v>7.48</v>
      </c>
      <c r="F1623" s="4">
        <v>130.7</v>
      </c>
    </row>
    <row r="1624" ht="22.5" customHeight="1">
      <c r="C1624" s="4">
        <v>3.2044605E7</v>
      </c>
      <c r="D1624" s="17">
        <f t="shared" si="1"/>
        <v>32364653</v>
      </c>
      <c r="E1624" s="4">
        <v>7.48</v>
      </c>
      <c r="F1624" s="4">
        <v>130.7</v>
      </c>
    </row>
    <row r="1625" ht="22.5" customHeight="1">
      <c r="C1625" s="4">
        <v>3.2064608E7</v>
      </c>
      <c r="D1625" s="17">
        <f t="shared" si="1"/>
        <v>32384656</v>
      </c>
      <c r="E1625" s="4">
        <v>7.47</v>
      </c>
      <c r="F1625" s="4">
        <v>130.7</v>
      </c>
    </row>
    <row r="1626" ht="22.5" customHeight="1">
      <c r="C1626" s="4">
        <v>3.2084611E7</v>
      </c>
      <c r="D1626" s="17">
        <f t="shared" si="1"/>
        <v>32404659</v>
      </c>
      <c r="E1626" s="4">
        <v>7.47</v>
      </c>
      <c r="F1626" s="4">
        <v>130.7</v>
      </c>
    </row>
    <row r="1627" ht="22.5" customHeight="1">
      <c r="C1627" s="4">
        <v>3.2104613E7</v>
      </c>
      <c r="D1627" s="17">
        <f t="shared" si="1"/>
        <v>32424661</v>
      </c>
      <c r="E1627" s="4">
        <v>7.47</v>
      </c>
      <c r="F1627" s="4">
        <v>130.6</v>
      </c>
    </row>
    <row r="1628" ht="22.5" customHeight="1">
      <c r="C1628" s="4">
        <v>3.2124616E7</v>
      </c>
      <c r="D1628" s="17">
        <f t="shared" si="1"/>
        <v>32444664</v>
      </c>
      <c r="E1628" s="4">
        <v>7.47</v>
      </c>
      <c r="F1628" s="4">
        <v>130.6</v>
      </c>
    </row>
    <row r="1629" ht="22.5" customHeight="1">
      <c r="C1629" s="4">
        <v>3.2144619E7</v>
      </c>
      <c r="D1629" s="17">
        <f t="shared" si="1"/>
        <v>32464667</v>
      </c>
      <c r="E1629" s="4">
        <v>7.47</v>
      </c>
      <c r="F1629" s="4">
        <v>130.6</v>
      </c>
    </row>
    <row r="1630" ht="22.5" customHeight="1">
      <c r="C1630" s="4">
        <v>3.2164622E7</v>
      </c>
      <c r="D1630" s="17">
        <f t="shared" si="1"/>
        <v>32484670</v>
      </c>
      <c r="E1630" s="4">
        <v>7.47</v>
      </c>
      <c r="F1630" s="4">
        <v>130.6</v>
      </c>
    </row>
    <row r="1631" ht="22.5" customHeight="1">
      <c r="C1631" s="4">
        <v>3.2184625E7</v>
      </c>
      <c r="D1631" s="17">
        <f t="shared" si="1"/>
        <v>32504673</v>
      </c>
      <c r="E1631" s="4">
        <v>7.47</v>
      </c>
      <c r="F1631" s="4">
        <v>130.6</v>
      </c>
    </row>
    <row r="1632" ht="22.5" customHeight="1">
      <c r="C1632" s="4">
        <v>3.2204627E7</v>
      </c>
      <c r="D1632" s="17">
        <f t="shared" si="1"/>
        <v>32524675</v>
      </c>
      <c r="E1632" s="4">
        <v>7.47</v>
      </c>
      <c r="F1632" s="4">
        <v>130.6</v>
      </c>
    </row>
    <row r="1633" ht="22.5" customHeight="1">
      <c r="C1633" s="4">
        <v>3.222463E7</v>
      </c>
      <c r="D1633" s="17">
        <f t="shared" si="1"/>
        <v>32544678</v>
      </c>
      <c r="E1633" s="4">
        <v>7.47</v>
      </c>
      <c r="F1633" s="4">
        <v>130.6</v>
      </c>
    </row>
    <row r="1634" ht="22.5" customHeight="1">
      <c r="C1634" s="4">
        <v>3.2244634E7</v>
      </c>
      <c r="D1634" s="17">
        <f t="shared" si="1"/>
        <v>32564682</v>
      </c>
      <c r="E1634" s="4">
        <v>7.47</v>
      </c>
      <c r="F1634" s="4">
        <v>130.6</v>
      </c>
    </row>
    <row r="1635" ht="22.5" customHeight="1">
      <c r="C1635" s="4">
        <v>3.2264637E7</v>
      </c>
      <c r="D1635" s="17">
        <f t="shared" si="1"/>
        <v>32584685</v>
      </c>
      <c r="E1635" s="4">
        <v>7.47</v>
      </c>
      <c r="F1635" s="4">
        <v>130.6</v>
      </c>
    </row>
    <row r="1636" ht="22.5" customHeight="1">
      <c r="C1636" s="4">
        <v>3.228464E7</v>
      </c>
      <c r="D1636" s="17">
        <f t="shared" si="1"/>
        <v>32604688</v>
      </c>
      <c r="E1636" s="4">
        <v>7.47</v>
      </c>
      <c r="F1636" s="4">
        <v>130.6</v>
      </c>
    </row>
    <row r="1637" ht="22.5" customHeight="1">
      <c r="C1637" s="4">
        <v>3.2304643E7</v>
      </c>
      <c r="D1637" s="17">
        <f t="shared" si="1"/>
        <v>32624691</v>
      </c>
      <c r="E1637" s="4">
        <v>7.47</v>
      </c>
      <c r="F1637" s="4">
        <v>130.5</v>
      </c>
    </row>
    <row r="1638" ht="22.5" customHeight="1">
      <c r="C1638" s="4">
        <v>3.2324645E7</v>
      </c>
      <c r="D1638" s="17">
        <f t="shared" si="1"/>
        <v>32644693</v>
      </c>
      <c r="E1638" s="4">
        <v>7.46</v>
      </c>
      <c r="F1638" s="4">
        <v>130.5</v>
      </c>
    </row>
    <row r="1639" ht="22.5" customHeight="1">
      <c r="C1639" s="4">
        <v>3.2344648E7</v>
      </c>
      <c r="D1639" s="17">
        <f t="shared" si="1"/>
        <v>32664696</v>
      </c>
      <c r="E1639" s="4">
        <v>7.46</v>
      </c>
      <c r="F1639" s="4">
        <v>130.5</v>
      </c>
    </row>
    <row r="1640" ht="22.5" customHeight="1">
      <c r="C1640" s="4">
        <v>3.2364651E7</v>
      </c>
      <c r="D1640" s="17">
        <f t="shared" si="1"/>
        <v>32684699</v>
      </c>
      <c r="E1640" s="4">
        <v>7.46</v>
      </c>
      <c r="F1640" s="4">
        <v>130.5</v>
      </c>
    </row>
    <row r="1641" ht="22.5" customHeight="1">
      <c r="C1641" s="4">
        <v>3.2384654E7</v>
      </c>
      <c r="D1641" s="17">
        <f t="shared" si="1"/>
        <v>32704702</v>
      </c>
      <c r="E1641" s="4">
        <v>7.46</v>
      </c>
      <c r="F1641" s="4">
        <v>130.5</v>
      </c>
    </row>
    <row r="1642" ht="22.5" customHeight="1">
      <c r="C1642" s="4">
        <v>3.2404657E7</v>
      </c>
      <c r="D1642" s="17">
        <f t="shared" si="1"/>
        <v>32724705</v>
      </c>
      <c r="E1642" s="4">
        <v>7.46</v>
      </c>
      <c r="F1642" s="4">
        <v>130.5</v>
      </c>
    </row>
    <row r="1643" ht="22.5" customHeight="1">
      <c r="C1643" s="4">
        <v>3.2424659E7</v>
      </c>
      <c r="D1643" s="17">
        <f t="shared" si="1"/>
        <v>32744707</v>
      </c>
      <c r="E1643" s="4">
        <v>7.46</v>
      </c>
      <c r="F1643" s="4">
        <v>130.5</v>
      </c>
    </row>
    <row r="1644" ht="22.5" customHeight="1">
      <c r="C1644" s="4">
        <v>3.2444662E7</v>
      </c>
      <c r="D1644" s="17">
        <f t="shared" si="1"/>
        <v>32764710</v>
      </c>
      <c r="E1644" s="4">
        <v>7.46</v>
      </c>
      <c r="F1644" s="4">
        <v>130.5</v>
      </c>
    </row>
    <row r="1645" ht="22.5" customHeight="1">
      <c r="C1645" s="4">
        <v>3.2464665E7</v>
      </c>
      <c r="D1645" s="17">
        <f t="shared" si="1"/>
        <v>32784713</v>
      </c>
      <c r="E1645" s="4">
        <v>7.46</v>
      </c>
      <c r="F1645" s="4">
        <v>130.5</v>
      </c>
    </row>
    <row r="1646" ht="22.5" customHeight="1">
      <c r="C1646" s="4">
        <v>3.2484668E7</v>
      </c>
      <c r="D1646" s="17">
        <f t="shared" si="1"/>
        <v>32804716</v>
      </c>
      <c r="E1646" s="4">
        <v>7.46</v>
      </c>
      <c r="F1646" s="4">
        <v>130.4</v>
      </c>
    </row>
    <row r="1647" ht="22.5" customHeight="1">
      <c r="C1647" s="4">
        <v>3.2504671E7</v>
      </c>
      <c r="D1647" s="17">
        <f t="shared" si="1"/>
        <v>32824719</v>
      </c>
      <c r="E1647" s="4">
        <v>7.46</v>
      </c>
      <c r="F1647" s="4">
        <v>130.4</v>
      </c>
    </row>
    <row r="1648" ht="22.5" customHeight="1">
      <c r="C1648" s="4">
        <v>3.2524675E7</v>
      </c>
      <c r="D1648" s="17">
        <f t="shared" si="1"/>
        <v>32844723</v>
      </c>
      <c r="E1648" s="4">
        <v>7.46</v>
      </c>
      <c r="F1648" s="4">
        <v>130.4</v>
      </c>
    </row>
    <row r="1649" ht="22.5" customHeight="1">
      <c r="C1649" s="4">
        <v>3.2544677E7</v>
      </c>
      <c r="D1649" s="17">
        <f t="shared" si="1"/>
        <v>32864725</v>
      </c>
      <c r="E1649" s="4">
        <v>7.46</v>
      </c>
      <c r="F1649" s="4">
        <v>130.4</v>
      </c>
    </row>
    <row r="1650" ht="22.5" customHeight="1">
      <c r="C1650" s="4">
        <v>3.256468E7</v>
      </c>
      <c r="D1650" s="17">
        <f t="shared" si="1"/>
        <v>32884728</v>
      </c>
      <c r="E1650" s="4">
        <v>7.46</v>
      </c>
      <c r="F1650" s="4">
        <v>130.4</v>
      </c>
    </row>
    <row r="1651" ht="22.5" customHeight="1">
      <c r="C1651" s="4">
        <v>3.2584683E7</v>
      </c>
      <c r="D1651" s="17">
        <f t="shared" si="1"/>
        <v>32904731</v>
      </c>
      <c r="E1651" s="4">
        <v>7.46</v>
      </c>
      <c r="F1651" s="4">
        <v>130.4</v>
      </c>
    </row>
    <row r="1652" ht="22.5" customHeight="1">
      <c r="C1652" s="4">
        <v>3.2604686E7</v>
      </c>
      <c r="D1652" s="17">
        <f t="shared" si="1"/>
        <v>32924734</v>
      </c>
      <c r="E1652" s="4">
        <v>7.46</v>
      </c>
      <c r="F1652" s="4">
        <v>130.3</v>
      </c>
    </row>
    <row r="1653" ht="22.5" customHeight="1">
      <c r="C1653" s="4">
        <v>3.2624689E7</v>
      </c>
      <c r="D1653" s="17">
        <f t="shared" si="1"/>
        <v>32944737</v>
      </c>
      <c r="E1653" s="4">
        <v>7.46</v>
      </c>
      <c r="F1653" s="4">
        <v>130.4</v>
      </c>
    </row>
    <row r="1654" ht="22.5" customHeight="1">
      <c r="C1654" s="4">
        <v>3.2644691E7</v>
      </c>
      <c r="D1654" s="17">
        <f t="shared" si="1"/>
        <v>32964739</v>
      </c>
      <c r="E1654" s="4">
        <v>7.46</v>
      </c>
      <c r="F1654" s="4">
        <v>130.3</v>
      </c>
    </row>
    <row r="1655" ht="22.5" customHeight="1">
      <c r="C1655" s="4">
        <v>3.2664694E7</v>
      </c>
      <c r="D1655" s="17">
        <f t="shared" si="1"/>
        <v>32984742</v>
      </c>
      <c r="E1655" s="4">
        <v>7.45</v>
      </c>
      <c r="F1655" s="4">
        <v>130.3</v>
      </c>
    </row>
    <row r="1656" ht="22.5" customHeight="1">
      <c r="C1656" s="4">
        <v>3.2684697E7</v>
      </c>
      <c r="D1656" s="17">
        <f t="shared" si="1"/>
        <v>33004745</v>
      </c>
      <c r="E1656" s="4">
        <v>7.46</v>
      </c>
      <c r="F1656" s="4">
        <v>130.3</v>
      </c>
    </row>
    <row r="1657" ht="22.5" customHeight="1">
      <c r="C1657" s="4">
        <v>3.27047E7</v>
      </c>
      <c r="D1657" s="17">
        <f t="shared" si="1"/>
        <v>33024748</v>
      </c>
      <c r="E1657" s="4">
        <v>7.45</v>
      </c>
      <c r="F1657" s="4">
        <v>130.3</v>
      </c>
    </row>
    <row r="1658" ht="22.5" customHeight="1">
      <c r="C1658" s="4">
        <v>3.2724703E7</v>
      </c>
      <c r="D1658" s="17">
        <f t="shared" si="1"/>
        <v>33044751</v>
      </c>
      <c r="E1658" s="4">
        <v>7.45</v>
      </c>
      <c r="F1658" s="4">
        <v>130.3</v>
      </c>
    </row>
    <row r="1659" ht="22.5" customHeight="1">
      <c r="C1659" s="4">
        <v>3.2744706E7</v>
      </c>
      <c r="D1659" s="17">
        <f t="shared" si="1"/>
        <v>33064754</v>
      </c>
      <c r="E1659" s="4">
        <v>7.45</v>
      </c>
      <c r="F1659" s="4">
        <v>130.2</v>
      </c>
    </row>
    <row r="1660" ht="22.5" customHeight="1">
      <c r="C1660" s="4">
        <v>3.2764708E7</v>
      </c>
      <c r="D1660" s="17">
        <f t="shared" si="1"/>
        <v>33084756</v>
      </c>
      <c r="E1660" s="4">
        <v>7.45</v>
      </c>
      <c r="F1660" s="4">
        <v>130.2</v>
      </c>
    </row>
    <row r="1661" ht="22.5" customHeight="1">
      <c r="C1661" s="4">
        <v>3.2784711E7</v>
      </c>
      <c r="D1661" s="17">
        <f t="shared" si="1"/>
        <v>33104759</v>
      </c>
      <c r="E1661" s="4">
        <v>7.45</v>
      </c>
      <c r="F1661" s="4">
        <v>130.2</v>
      </c>
    </row>
    <row r="1662" ht="22.5" customHeight="1">
      <c r="C1662" s="4">
        <v>3.2804715E7</v>
      </c>
      <c r="D1662" s="17">
        <f t="shared" si="1"/>
        <v>33124763</v>
      </c>
      <c r="E1662" s="4">
        <v>7.45</v>
      </c>
      <c r="F1662" s="4">
        <v>130.2</v>
      </c>
    </row>
    <row r="1663" ht="22.5" customHeight="1">
      <c r="C1663" s="4">
        <v>3.2824718E7</v>
      </c>
      <c r="D1663" s="17">
        <f t="shared" si="1"/>
        <v>33144766</v>
      </c>
      <c r="E1663" s="4">
        <v>7.45</v>
      </c>
      <c r="F1663" s="4">
        <v>130.2</v>
      </c>
    </row>
    <row r="1664" ht="22.5" customHeight="1">
      <c r="C1664" s="4">
        <v>3.2844721E7</v>
      </c>
      <c r="D1664" s="17">
        <f t="shared" si="1"/>
        <v>33164769</v>
      </c>
      <c r="E1664" s="4">
        <v>7.45</v>
      </c>
      <c r="F1664" s="4">
        <v>130.2</v>
      </c>
    </row>
    <row r="1665" ht="22.5" customHeight="1">
      <c r="C1665" s="4">
        <v>3.2864723E7</v>
      </c>
      <c r="D1665" s="17">
        <f t="shared" si="1"/>
        <v>33184771</v>
      </c>
      <c r="E1665" s="4">
        <v>7.45</v>
      </c>
      <c r="F1665" s="4">
        <v>130.2</v>
      </c>
    </row>
    <row r="1666" ht="22.5" customHeight="1">
      <c r="C1666" s="4">
        <v>3.2884726E7</v>
      </c>
      <c r="D1666" s="17">
        <f t="shared" si="1"/>
        <v>33204774</v>
      </c>
      <c r="E1666" s="4">
        <v>7.45</v>
      </c>
      <c r="F1666" s="4">
        <v>130.2</v>
      </c>
    </row>
    <row r="1667" ht="22.5" customHeight="1">
      <c r="C1667" s="4">
        <v>3.2904729E7</v>
      </c>
      <c r="D1667" s="17">
        <f t="shared" si="1"/>
        <v>33224777</v>
      </c>
      <c r="E1667" s="4">
        <v>7.45</v>
      </c>
      <c r="F1667" s="4">
        <v>130.2</v>
      </c>
    </row>
    <row r="1668" ht="22.5" customHeight="1">
      <c r="C1668" s="4">
        <v>3.2924732E7</v>
      </c>
      <c r="D1668" s="17">
        <f t="shared" si="1"/>
        <v>33244780</v>
      </c>
      <c r="E1668" s="4">
        <v>7.44</v>
      </c>
      <c r="F1668" s="4">
        <v>130.2</v>
      </c>
    </row>
    <row r="1669" ht="22.5" customHeight="1">
      <c r="C1669" s="4">
        <v>3.2944735E7</v>
      </c>
      <c r="D1669" s="17">
        <f t="shared" si="1"/>
        <v>33264783</v>
      </c>
      <c r="E1669" s="4">
        <v>7.44</v>
      </c>
      <c r="F1669" s="4">
        <v>130.2</v>
      </c>
    </row>
    <row r="1670" ht="22.5" customHeight="1">
      <c r="C1670" s="4">
        <v>3.2964738E7</v>
      </c>
      <c r="D1670" s="17">
        <f t="shared" si="1"/>
        <v>33284786</v>
      </c>
      <c r="E1670" s="4">
        <v>7.44</v>
      </c>
      <c r="F1670" s="4">
        <v>130.1</v>
      </c>
    </row>
    <row r="1671" ht="22.5" customHeight="1">
      <c r="C1671" s="4">
        <v>3.298474E7</v>
      </c>
      <c r="D1671" s="17">
        <f t="shared" si="1"/>
        <v>33304788</v>
      </c>
      <c r="E1671" s="4">
        <v>7.44</v>
      </c>
      <c r="F1671" s="4">
        <v>130.1</v>
      </c>
    </row>
    <row r="1672" ht="22.5" customHeight="1">
      <c r="C1672" s="4">
        <v>3.3004743E7</v>
      </c>
      <c r="D1672" s="17">
        <f t="shared" si="1"/>
        <v>33324791</v>
      </c>
      <c r="E1672" s="4">
        <v>7.44</v>
      </c>
      <c r="F1672" s="4">
        <v>130.1</v>
      </c>
    </row>
    <row r="1673" ht="22.5" customHeight="1">
      <c r="C1673" s="4">
        <v>3.3024746E7</v>
      </c>
      <c r="D1673" s="17">
        <f t="shared" si="1"/>
        <v>33344794</v>
      </c>
      <c r="E1673" s="4">
        <v>7.44</v>
      </c>
      <c r="F1673" s="4">
        <v>130.0</v>
      </c>
    </row>
    <row r="1674" ht="22.5" customHeight="1">
      <c r="C1674" s="4">
        <v>3.3044749E7</v>
      </c>
      <c r="D1674" s="17">
        <f t="shared" si="1"/>
        <v>33364797</v>
      </c>
      <c r="E1674" s="4">
        <v>7.44</v>
      </c>
      <c r="F1674" s="4">
        <v>130.1</v>
      </c>
    </row>
    <row r="1675" ht="22.5" customHeight="1">
      <c r="C1675" s="4">
        <v>3.3064753E7</v>
      </c>
      <c r="D1675" s="17">
        <f t="shared" si="1"/>
        <v>33384801</v>
      </c>
      <c r="E1675" s="4">
        <v>7.44</v>
      </c>
      <c r="F1675" s="4">
        <v>130.0</v>
      </c>
    </row>
    <row r="1676" ht="22.5" customHeight="1">
      <c r="C1676" s="4">
        <v>3.3084755E7</v>
      </c>
      <c r="D1676" s="17">
        <f t="shared" si="1"/>
        <v>33404803</v>
      </c>
      <c r="E1676" s="4">
        <v>7.44</v>
      </c>
      <c r="F1676" s="4">
        <v>130.0</v>
      </c>
    </row>
    <row r="1677" ht="22.5" customHeight="1">
      <c r="C1677" s="4">
        <v>3.3104758E7</v>
      </c>
      <c r="D1677" s="17">
        <f t="shared" si="1"/>
        <v>33424806</v>
      </c>
      <c r="E1677" s="4">
        <v>7.44</v>
      </c>
      <c r="F1677" s="4">
        <v>130.0</v>
      </c>
    </row>
    <row r="1678" ht="22.5" customHeight="1">
      <c r="C1678" s="4">
        <v>3.3124761E7</v>
      </c>
      <c r="D1678" s="17">
        <f t="shared" si="1"/>
        <v>33444809</v>
      </c>
      <c r="E1678" s="4">
        <v>7.44</v>
      </c>
      <c r="F1678" s="4">
        <v>130.0</v>
      </c>
    </row>
    <row r="1679" ht="22.5" customHeight="1">
      <c r="C1679" s="4">
        <v>3.3144764E7</v>
      </c>
      <c r="D1679" s="17">
        <f t="shared" si="1"/>
        <v>33464812</v>
      </c>
      <c r="E1679" s="4">
        <v>7.44</v>
      </c>
      <c r="F1679" s="4">
        <v>130.1</v>
      </c>
    </row>
    <row r="1680" ht="22.5" customHeight="1">
      <c r="C1680" s="4">
        <v>3.3164767E7</v>
      </c>
      <c r="D1680" s="17">
        <f t="shared" si="1"/>
        <v>33484815</v>
      </c>
      <c r="E1680" s="4">
        <v>7.44</v>
      </c>
      <c r="F1680" s="4">
        <v>130.0</v>
      </c>
    </row>
    <row r="1681" ht="22.5" customHeight="1">
      <c r="C1681" s="4">
        <v>3.318477E7</v>
      </c>
      <c r="D1681" s="17">
        <f t="shared" si="1"/>
        <v>33504818</v>
      </c>
      <c r="E1681" s="4">
        <v>7.44</v>
      </c>
      <c r="F1681" s="4">
        <v>130.0</v>
      </c>
    </row>
    <row r="1682" ht="22.5" customHeight="1">
      <c r="C1682" s="4">
        <v>3.3204772E7</v>
      </c>
      <c r="D1682" s="17">
        <f t="shared" si="1"/>
        <v>33524820</v>
      </c>
      <c r="E1682" s="4">
        <v>7.44</v>
      </c>
      <c r="F1682" s="4">
        <v>130.0</v>
      </c>
    </row>
    <row r="1683" ht="22.5" customHeight="1">
      <c r="C1683" s="4">
        <v>3.3224775E7</v>
      </c>
      <c r="D1683" s="17">
        <f t="shared" si="1"/>
        <v>33544823</v>
      </c>
      <c r="E1683" s="4">
        <v>7.44</v>
      </c>
      <c r="F1683" s="4">
        <v>130.0</v>
      </c>
    </row>
    <row r="1684" ht="22.5" customHeight="1">
      <c r="C1684" s="4">
        <v>3.3244778E7</v>
      </c>
      <c r="D1684" s="17">
        <f t="shared" si="1"/>
        <v>33564826</v>
      </c>
      <c r="E1684" s="4">
        <v>7.44</v>
      </c>
      <c r="F1684" s="4">
        <v>129.9</v>
      </c>
    </row>
    <row r="1685" ht="22.5" customHeight="1">
      <c r="C1685" s="4">
        <v>3.3264781E7</v>
      </c>
      <c r="D1685" s="17">
        <f t="shared" si="1"/>
        <v>33584829</v>
      </c>
      <c r="E1685" s="4">
        <v>7.43</v>
      </c>
      <c r="F1685" s="4">
        <v>129.9</v>
      </c>
    </row>
    <row r="1686" ht="22.5" customHeight="1">
      <c r="C1686" s="4">
        <v>3.3284784E7</v>
      </c>
      <c r="D1686" s="17">
        <f t="shared" si="1"/>
        <v>33604832</v>
      </c>
      <c r="E1686" s="4">
        <v>7.43</v>
      </c>
      <c r="F1686" s="4">
        <v>129.9</v>
      </c>
    </row>
    <row r="1687" ht="22.5" customHeight="1">
      <c r="C1687" s="4">
        <v>3.3304786E7</v>
      </c>
      <c r="D1687" s="17">
        <f t="shared" si="1"/>
        <v>33624834</v>
      </c>
      <c r="E1687" s="4">
        <v>7.43</v>
      </c>
      <c r="F1687" s="4">
        <v>129.9</v>
      </c>
    </row>
    <row r="1688" ht="22.5" customHeight="1">
      <c r="C1688" s="4">
        <v>3.3324789E7</v>
      </c>
      <c r="D1688" s="17">
        <f t="shared" si="1"/>
        <v>33644837</v>
      </c>
      <c r="E1688" s="4">
        <v>7.43</v>
      </c>
      <c r="F1688" s="4">
        <v>129.9</v>
      </c>
    </row>
    <row r="1689" ht="22.5" customHeight="1">
      <c r="C1689" s="4">
        <v>3.3344792E7</v>
      </c>
      <c r="D1689" s="17">
        <f t="shared" si="1"/>
        <v>33664840</v>
      </c>
      <c r="E1689" s="4">
        <v>7.43</v>
      </c>
      <c r="F1689" s="4">
        <v>129.9</v>
      </c>
    </row>
    <row r="1690" ht="22.5" customHeight="1">
      <c r="C1690" s="4">
        <v>3.3364796E7</v>
      </c>
      <c r="D1690" s="17">
        <f t="shared" si="1"/>
        <v>33684844</v>
      </c>
      <c r="E1690" s="4">
        <v>7.43</v>
      </c>
      <c r="F1690" s="4">
        <v>129.8</v>
      </c>
    </row>
    <row r="1691" ht="22.5" customHeight="1">
      <c r="C1691" s="4">
        <v>3.3384799E7</v>
      </c>
      <c r="D1691" s="17">
        <f t="shared" si="1"/>
        <v>33704847</v>
      </c>
      <c r="E1691" s="4">
        <v>7.43</v>
      </c>
      <c r="F1691" s="4">
        <v>129.8</v>
      </c>
    </row>
    <row r="1692" ht="22.5" customHeight="1">
      <c r="C1692" s="4">
        <v>3.3404802E7</v>
      </c>
      <c r="D1692" s="17">
        <f t="shared" si="1"/>
        <v>33724850</v>
      </c>
      <c r="E1692" s="4">
        <v>7.43</v>
      </c>
      <c r="F1692" s="4">
        <v>129.8</v>
      </c>
    </row>
    <row r="1693" ht="22.5" customHeight="1">
      <c r="C1693" s="4">
        <v>3.3424804E7</v>
      </c>
      <c r="D1693" s="17">
        <f t="shared" si="1"/>
        <v>33744852</v>
      </c>
      <c r="E1693" s="4">
        <v>7.43</v>
      </c>
      <c r="F1693" s="4">
        <v>129.8</v>
      </c>
    </row>
    <row r="1694" ht="22.5" customHeight="1">
      <c r="C1694" s="4">
        <v>3.3444807E7</v>
      </c>
      <c r="D1694" s="17">
        <f t="shared" si="1"/>
        <v>33764855</v>
      </c>
      <c r="E1694" s="4">
        <v>7.43</v>
      </c>
      <c r="F1694" s="4">
        <v>129.8</v>
      </c>
    </row>
    <row r="1695" ht="22.5" customHeight="1">
      <c r="C1695" s="4">
        <v>3.346481E7</v>
      </c>
      <c r="D1695" s="17">
        <f t="shared" si="1"/>
        <v>33784858</v>
      </c>
      <c r="E1695" s="4">
        <v>7.43</v>
      </c>
      <c r="F1695" s="4">
        <v>129.8</v>
      </c>
    </row>
    <row r="1696" ht="22.5" customHeight="1">
      <c r="C1696" s="4">
        <v>3.3484813E7</v>
      </c>
      <c r="D1696" s="17">
        <f t="shared" si="1"/>
        <v>33804861</v>
      </c>
      <c r="E1696" s="4">
        <v>7.43</v>
      </c>
      <c r="F1696" s="4">
        <v>129.8</v>
      </c>
    </row>
    <row r="1697" ht="22.5" customHeight="1">
      <c r="C1697" s="4">
        <v>3.3504816E7</v>
      </c>
      <c r="D1697" s="17">
        <f t="shared" si="1"/>
        <v>33824864</v>
      </c>
      <c r="E1697" s="4">
        <v>7.42</v>
      </c>
      <c r="F1697" s="4">
        <v>129.8</v>
      </c>
    </row>
    <row r="1698" ht="22.5" customHeight="1">
      <c r="C1698" s="4">
        <v>3.3524818E7</v>
      </c>
      <c r="D1698" s="17">
        <f t="shared" si="1"/>
        <v>33844866</v>
      </c>
      <c r="E1698" s="4">
        <v>7.42</v>
      </c>
      <c r="F1698" s="4">
        <v>129.7</v>
      </c>
    </row>
    <row r="1699" ht="22.5" customHeight="1">
      <c r="C1699" s="4">
        <v>3.3544821E7</v>
      </c>
      <c r="D1699" s="17">
        <f t="shared" si="1"/>
        <v>33864869</v>
      </c>
      <c r="E1699" s="4">
        <v>7.42</v>
      </c>
      <c r="F1699" s="4">
        <v>129.8</v>
      </c>
    </row>
    <row r="1700" ht="22.5" customHeight="1">
      <c r="C1700" s="4">
        <v>3.3564824E7</v>
      </c>
      <c r="D1700" s="17">
        <f t="shared" si="1"/>
        <v>33884872</v>
      </c>
      <c r="E1700" s="4">
        <v>7.42</v>
      </c>
      <c r="F1700" s="4">
        <v>129.7</v>
      </c>
    </row>
    <row r="1701" ht="22.5" customHeight="1">
      <c r="C1701" s="4">
        <v>3.3584827E7</v>
      </c>
      <c r="D1701" s="17">
        <f t="shared" si="1"/>
        <v>33904875</v>
      </c>
      <c r="E1701" s="4">
        <v>7.42</v>
      </c>
      <c r="F1701" s="4">
        <v>129.8</v>
      </c>
    </row>
    <row r="1702" ht="22.5" customHeight="1">
      <c r="C1702" s="4">
        <v>3.360483E7</v>
      </c>
      <c r="D1702" s="17">
        <f t="shared" si="1"/>
        <v>33924878</v>
      </c>
      <c r="E1702" s="4">
        <v>7.42</v>
      </c>
      <c r="F1702" s="4">
        <v>129.7</v>
      </c>
    </row>
    <row r="1703" ht="22.5" customHeight="1">
      <c r="C1703" s="4">
        <v>3.3624833E7</v>
      </c>
      <c r="D1703" s="17">
        <f t="shared" si="1"/>
        <v>33944881</v>
      </c>
      <c r="E1703" s="4">
        <v>7.42</v>
      </c>
      <c r="F1703" s="4">
        <v>129.7</v>
      </c>
    </row>
    <row r="1704" ht="22.5" customHeight="1">
      <c r="C1704" s="4">
        <v>3.3644836E7</v>
      </c>
      <c r="D1704" s="17">
        <f t="shared" si="1"/>
        <v>33964884</v>
      </c>
      <c r="E1704" s="4">
        <v>7.42</v>
      </c>
      <c r="F1704" s="4">
        <v>129.7</v>
      </c>
    </row>
    <row r="1705" ht="22.5" customHeight="1">
      <c r="C1705" s="4">
        <v>3.3664839E7</v>
      </c>
      <c r="D1705" s="17">
        <f t="shared" si="1"/>
        <v>33984887</v>
      </c>
      <c r="E1705" s="4">
        <v>7.42</v>
      </c>
      <c r="F1705" s="4">
        <v>129.7</v>
      </c>
    </row>
    <row r="1706" ht="22.5" customHeight="1">
      <c r="C1706" s="4">
        <v>3.3684842E7</v>
      </c>
      <c r="D1706" s="17">
        <f t="shared" si="1"/>
        <v>34004890</v>
      </c>
      <c r="E1706" s="4">
        <v>7.42</v>
      </c>
      <c r="F1706" s="4">
        <v>129.6</v>
      </c>
    </row>
    <row r="1707" ht="22.5" customHeight="1">
      <c r="C1707" s="4">
        <v>3.3704845E7</v>
      </c>
      <c r="D1707" s="17">
        <f t="shared" si="1"/>
        <v>34024893</v>
      </c>
      <c r="E1707" s="4">
        <v>7.42</v>
      </c>
      <c r="F1707" s="4">
        <v>129.7</v>
      </c>
    </row>
    <row r="1708" ht="22.5" customHeight="1">
      <c r="C1708" s="4">
        <v>3.3724848E7</v>
      </c>
      <c r="D1708" s="17">
        <f t="shared" si="1"/>
        <v>34044896</v>
      </c>
      <c r="E1708" s="4">
        <v>7.42</v>
      </c>
      <c r="F1708" s="4">
        <v>129.6</v>
      </c>
    </row>
    <row r="1709" ht="22.5" customHeight="1">
      <c r="C1709" s="4">
        <v>3.374485E7</v>
      </c>
      <c r="D1709" s="17">
        <f t="shared" si="1"/>
        <v>34064898</v>
      </c>
      <c r="E1709" s="4">
        <v>7.42</v>
      </c>
      <c r="F1709" s="4">
        <v>129.6</v>
      </c>
    </row>
    <row r="1710" ht="22.5" customHeight="1">
      <c r="C1710" s="4">
        <v>3.3764853E7</v>
      </c>
      <c r="D1710" s="17">
        <f t="shared" si="1"/>
        <v>34084901</v>
      </c>
      <c r="E1710" s="4">
        <v>7.42</v>
      </c>
      <c r="F1710" s="4">
        <v>129.6</v>
      </c>
    </row>
    <row r="1711" ht="22.5" customHeight="1">
      <c r="C1711" s="4">
        <v>3.3784856E7</v>
      </c>
      <c r="D1711" s="17">
        <f t="shared" si="1"/>
        <v>34104904</v>
      </c>
      <c r="E1711" s="4">
        <v>7.42</v>
      </c>
      <c r="F1711" s="4">
        <v>129.6</v>
      </c>
    </row>
    <row r="1712" ht="22.5" customHeight="1">
      <c r="C1712" s="4">
        <v>3.3804859E7</v>
      </c>
      <c r="D1712" s="17">
        <f t="shared" si="1"/>
        <v>34124907</v>
      </c>
      <c r="E1712" s="4">
        <v>7.42</v>
      </c>
      <c r="F1712" s="4">
        <v>129.6</v>
      </c>
    </row>
    <row r="1713" ht="22.5" customHeight="1">
      <c r="C1713" s="4">
        <v>3.3824862E7</v>
      </c>
      <c r="D1713" s="17">
        <f t="shared" si="1"/>
        <v>34144910</v>
      </c>
      <c r="E1713" s="4">
        <v>7.42</v>
      </c>
      <c r="F1713" s="4">
        <v>129.6</v>
      </c>
    </row>
    <row r="1714" ht="22.5" customHeight="1">
      <c r="C1714" s="4">
        <v>3.3844865E7</v>
      </c>
      <c r="D1714" s="17">
        <f t="shared" si="1"/>
        <v>34164913</v>
      </c>
      <c r="E1714" s="4">
        <v>7.42</v>
      </c>
      <c r="F1714" s="4">
        <v>129.6</v>
      </c>
    </row>
    <row r="1715" ht="22.5" customHeight="1">
      <c r="C1715" s="4">
        <v>3.3864867E7</v>
      </c>
      <c r="D1715" s="17">
        <f t="shared" si="1"/>
        <v>34184915</v>
      </c>
      <c r="E1715" s="4">
        <v>7.41</v>
      </c>
      <c r="F1715" s="4">
        <v>129.6</v>
      </c>
    </row>
    <row r="1716" ht="22.5" customHeight="1">
      <c r="C1716" s="4">
        <v>3.388487E7</v>
      </c>
      <c r="D1716" s="17">
        <f t="shared" si="1"/>
        <v>34204918</v>
      </c>
      <c r="E1716" s="4">
        <v>7.41</v>
      </c>
      <c r="F1716" s="4">
        <v>129.6</v>
      </c>
    </row>
    <row r="1717" ht="22.5" customHeight="1">
      <c r="C1717" s="4">
        <v>3.3904873E7</v>
      </c>
      <c r="D1717" s="17">
        <f t="shared" si="1"/>
        <v>34224921</v>
      </c>
      <c r="E1717" s="4">
        <v>7.41</v>
      </c>
      <c r="F1717" s="4">
        <v>129.6</v>
      </c>
    </row>
    <row r="1718" ht="22.5" customHeight="1">
      <c r="C1718" s="4">
        <v>3.3924877E7</v>
      </c>
      <c r="D1718" s="17">
        <f t="shared" si="1"/>
        <v>34244925</v>
      </c>
      <c r="E1718" s="4">
        <v>7.41</v>
      </c>
      <c r="F1718" s="4">
        <v>129.5</v>
      </c>
    </row>
    <row r="1719" ht="22.5" customHeight="1">
      <c r="C1719" s="4">
        <v>3.394488E7</v>
      </c>
      <c r="D1719" s="17">
        <f t="shared" si="1"/>
        <v>34264928</v>
      </c>
      <c r="E1719" s="4">
        <v>7.41</v>
      </c>
      <c r="F1719" s="4">
        <v>129.5</v>
      </c>
    </row>
    <row r="1720" ht="22.5" customHeight="1">
      <c r="C1720" s="4">
        <v>3.3964882E7</v>
      </c>
      <c r="D1720" s="17">
        <f t="shared" si="1"/>
        <v>34284930</v>
      </c>
      <c r="E1720" s="4">
        <v>7.41</v>
      </c>
      <c r="F1720" s="4">
        <v>129.5</v>
      </c>
    </row>
    <row r="1721" ht="22.5" customHeight="1">
      <c r="C1721" s="4">
        <v>3.3984885E7</v>
      </c>
      <c r="D1721" s="17">
        <f t="shared" si="1"/>
        <v>34304933</v>
      </c>
      <c r="E1721" s="4">
        <v>7.41</v>
      </c>
      <c r="F1721" s="4">
        <v>129.5</v>
      </c>
    </row>
    <row r="1722" ht="22.5" customHeight="1">
      <c r="C1722" s="4">
        <v>3.4004888E7</v>
      </c>
      <c r="D1722" s="17">
        <f t="shared" si="1"/>
        <v>34324936</v>
      </c>
      <c r="E1722" s="4">
        <v>7.41</v>
      </c>
      <c r="F1722" s="4">
        <v>129.5</v>
      </c>
    </row>
    <row r="1723" ht="22.5" customHeight="1">
      <c r="C1723" s="4">
        <v>3.4024891E7</v>
      </c>
      <c r="D1723" s="17">
        <f t="shared" si="1"/>
        <v>34344939</v>
      </c>
      <c r="E1723" s="4">
        <v>7.41</v>
      </c>
      <c r="F1723" s="4">
        <v>129.5</v>
      </c>
    </row>
    <row r="1724" ht="22.5" customHeight="1">
      <c r="C1724" s="4">
        <v>3.4044894E7</v>
      </c>
      <c r="D1724" s="17">
        <f t="shared" si="1"/>
        <v>34364942</v>
      </c>
      <c r="E1724" s="4">
        <v>7.41</v>
      </c>
      <c r="F1724" s="4">
        <v>129.5</v>
      </c>
    </row>
    <row r="1725" ht="22.5" customHeight="1">
      <c r="C1725" s="4">
        <v>3.4064897E7</v>
      </c>
      <c r="D1725" s="17">
        <f t="shared" si="1"/>
        <v>34384945</v>
      </c>
      <c r="E1725" s="4">
        <v>7.41</v>
      </c>
      <c r="F1725" s="4">
        <v>129.4</v>
      </c>
    </row>
    <row r="1726" ht="22.5" customHeight="1">
      <c r="C1726" s="4">
        <v>3.4084899E7</v>
      </c>
      <c r="D1726" s="17">
        <f t="shared" si="1"/>
        <v>34404947</v>
      </c>
      <c r="E1726" s="4">
        <v>7.4</v>
      </c>
      <c r="F1726" s="4">
        <v>129.4</v>
      </c>
    </row>
    <row r="1727" ht="22.5" customHeight="1">
      <c r="C1727" s="4">
        <v>3.4104902E7</v>
      </c>
      <c r="D1727" s="17">
        <f t="shared" si="1"/>
        <v>34424950</v>
      </c>
      <c r="E1727" s="4">
        <v>7.4</v>
      </c>
      <c r="F1727" s="4">
        <v>129.4</v>
      </c>
    </row>
    <row r="1728" ht="22.5" customHeight="1">
      <c r="C1728" s="4">
        <v>3.4124905E7</v>
      </c>
      <c r="D1728" s="17">
        <f t="shared" si="1"/>
        <v>34444953</v>
      </c>
      <c r="E1728" s="4">
        <v>7.4</v>
      </c>
      <c r="F1728" s="4">
        <v>129.4</v>
      </c>
    </row>
    <row r="1729" ht="22.5" customHeight="1">
      <c r="C1729" s="4">
        <v>3.4144908E7</v>
      </c>
      <c r="D1729" s="17">
        <f t="shared" si="1"/>
        <v>34464956</v>
      </c>
      <c r="E1729" s="4">
        <v>7.4</v>
      </c>
      <c r="F1729" s="4">
        <v>129.4</v>
      </c>
    </row>
    <row r="1730" ht="22.5" customHeight="1">
      <c r="C1730" s="4">
        <v>3.4164911E7</v>
      </c>
      <c r="D1730" s="17">
        <f t="shared" si="1"/>
        <v>34484959</v>
      </c>
      <c r="E1730" s="4">
        <v>7.4</v>
      </c>
      <c r="F1730" s="4">
        <v>129.4</v>
      </c>
    </row>
    <row r="1731" ht="22.5" customHeight="1">
      <c r="C1731" s="4">
        <v>3.4184913E7</v>
      </c>
      <c r="D1731" s="17">
        <f t="shared" si="1"/>
        <v>34504961</v>
      </c>
      <c r="E1731" s="4">
        <v>7.4</v>
      </c>
      <c r="F1731" s="4">
        <v>129.3</v>
      </c>
    </row>
    <row r="1732" ht="22.5" customHeight="1">
      <c r="C1732" s="4">
        <v>3.4204916E7</v>
      </c>
      <c r="D1732" s="17">
        <f t="shared" si="1"/>
        <v>34524964</v>
      </c>
      <c r="E1732" s="4">
        <v>7.4</v>
      </c>
      <c r="F1732" s="4">
        <v>129.3</v>
      </c>
    </row>
    <row r="1733" ht="22.5" customHeight="1">
      <c r="C1733" s="4">
        <v>3.422492E7</v>
      </c>
      <c r="D1733" s="17">
        <f t="shared" si="1"/>
        <v>34544968</v>
      </c>
      <c r="E1733" s="4">
        <v>7.4</v>
      </c>
      <c r="F1733" s="4">
        <v>129.3</v>
      </c>
    </row>
    <row r="1734" ht="22.5" customHeight="1">
      <c r="C1734" s="4">
        <v>3.4244923E7</v>
      </c>
      <c r="D1734" s="17">
        <f t="shared" si="1"/>
        <v>34564971</v>
      </c>
      <c r="E1734" s="4">
        <v>7.4</v>
      </c>
      <c r="F1734" s="4">
        <v>129.3</v>
      </c>
    </row>
    <row r="1735" ht="22.5" customHeight="1">
      <c r="C1735" s="4">
        <v>3.4264926E7</v>
      </c>
      <c r="D1735" s="17">
        <f t="shared" si="1"/>
        <v>34584974</v>
      </c>
      <c r="E1735" s="4">
        <v>7.4</v>
      </c>
      <c r="F1735" s="4">
        <v>129.2</v>
      </c>
    </row>
    <row r="1736" ht="22.5" customHeight="1">
      <c r="C1736" s="4">
        <v>3.4284929E7</v>
      </c>
      <c r="D1736" s="17">
        <f t="shared" si="1"/>
        <v>34604977</v>
      </c>
      <c r="E1736" s="4">
        <v>7.4</v>
      </c>
      <c r="F1736" s="4">
        <v>129.3</v>
      </c>
    </row>
    <row r="1737" ht="22.5" customHeight="1">
      <c r="C1737" s="4">
        <v>3.4304931E7</v>
      </c>
      <c r="D1737" s="17">
        <f t="shared" si="1"/>
        <v>34624979</v>
      </c>
      <c r="E1737" s="4">
        <v>7.4</v>
      </c>
      <c r="F1737" s="4">
        <v>129.3</v>
      </c>
    </row>
    <row r="1738" ht="22.5" customHeight="1">
      <c r="C1738" s="4">
        <v>3.4324934E7</v>
      </c>
      <c r="D1738" s="17">
        <f t="shared" si="1"/>
        <v>34644982</v>
      </c>
      <c r="E1738" s="4">
        <v>7.4</v>
      </c>
      <c r="F1738" s="4">
        <v>129.2</v>
      </c>
    </row>
    <row r="1739" ht="22.5" customHeight="1">
      <c r="C1739" s="4">
        <v>3.4344937E7</v>
      </c>
      <c r="D1739" s="17">
        <f t="shared" si="1"/>
        <v>34664985</v>
      </c>
      <c r="E1739" s="4">
        <v>7.4</v>
      </c>
      <c r="F1739" s="4">
        <v>129.2</v>
      </c>
    </row>
    <row r="1740" ht="22.5" customHeight="1">
      <c r="C1740" s="4">
        <v>3.436494E7</v>
      </c>
      <c r="D1740" s="17">
        <f t="shared" si="1"/>
        <v>34684988</v>
      </c>
      <c r="E1740" s="4">
        <v>7.4</v>
      </c>
      <c r="F1740" s="4">
        <v>129.2</v>
      </c>
    </row>
    <row r="1741" ht="22.5" customHeight="1">
      <c r="C1741" s="4">
        <v>3.4384943E7</v>
      </c>
      <c r="D1741" s="17">
        <f t="shared" si="1"/>
        <v>34704991</v>
      </c>
      <c r="E1741" s="4">
        <v>7.4</v>
      </c>
      <c r="F1741" s="4">
        <v>129.2</v>
      </c>
    </row>
    <row r="1742" ht="22.5" customHeight="1">
      <c r="C1742" s="4">
        <v>3.4404945E7</v>
      </c>
      <c r="D1742" s="17">
        <f t="shared" si="1"/>
        <v>34724993</v>
      </c>
      <c r="E1742" s="4">
        <v>7.4</v>
      </c>
      <c r="F1742" s="4">
        <v>129.2</v>
      </c>
    </row>
    <row r="1743" ht="22.5" customHeight="1">
      <c r="C1743" s="4">
        <v>3.4424948E7</v>
      </c>
      <c r="D1743" s="17">
        <f t="shared" si="1"/>
        <v>34744996</v>
      </c>
      <c r="E1743" s="4">
        <v>7.4</v>
      </c>
      <c r="F1743" s="4">
        <v>129.2</v>
      </c>
    </row>
    <row r="1744" ht="22.5" customHeight="1">
      <c r="C1744" s="4">
        <v>3.4444951E7</v>
      </c>
      <c r="D1744" s="17">
        <f t="shared" si="1"/>
        <v>34764999</v>
      </c>
      <c r="E1744" s="4">
        <v>7.39</v>
      </c>
      <c r="F1744" s="4">
        <v>129.1</v>
      </c>
    </row>
    <row r="1745" ht="22.5" customHeight="1">
      <c r="C1745" s="4">
        <v>3.4464954E7</v>
      </c>
      <c r="D1745" s="17">
        <f t="shared" si="1"/>
        <v>34785002</v>
      </c>
      <c r="E1745" s="4">
        <v>7.39</v>
      </c>
      <c r="F1745" s="4">
        <v>129.2</v>
      </c>
    </row>
    <row r="1746" ht="22.5" customHeight="1">
      <c r="C1746" s="4">
        <v>3.4484957E7</v>
      </c>
      <c r="D1746" s="17">
        <f t="shared" si="1"/>
        <v>34805005</v>
      </c>
      <c r="E1746" s="4">
        <v>7.39</v>
      </c>
      <c r="F1746" s="4">
        <v>129.0</v>
      </c>
    </row>
    <row r="1747" ht="22.5" customHeight="1">
      <c r="C1747" s="4">
        <v>3.4504961E7</v>
      </c>
      <c r="D1747" s="17">
        <f t="shared" si="1"/>
        <v>34825009</v>
      </c>
      <c r="E1747" s="4">
        <v>7.39</v>
      </c>
      <c r="F1747" s="4">
        <v>129.1</v>
      </c>
    </row>
    <row r="1748" ht="22.5" customHeight="1">
      <c r="C1748" s="4">
        <v>3.4524963E7</v>
      </c>
      <c r="D1748" s="17">
        <f t="shared" si="1"/>
        <v>34845011</v>
      </c>
      <c r="E1748" s="4">
        <v>7.39</v>
      </c>
      <c r="F1748" s="4">
        <v>129.1</v>
      </c>
    </row>
    <row r="1749" ht="22.5" customHeight="1">
      <c r="C1749" s="4">
        <v>3.4544966E7</v>
      </c>
      <c r="D1749" s="17">
        <f t="shared" si="1"/>
        <v>34865014</v>
      </c>
      <c r="E1749" s="4">
        <v>7.39</v>
      </c>
      <c r="F1749" s="4">
        <v>129.1</v>
      </c>
    </row>
    <row r="1750" ht="22.5" customHeight="1">
      <c r="C1750" s="4">
        <v>3.4564969E7</v>
      </c>
      <c r="D1750" s="17">
        <f t="shared" si="1"/>
        <v>34885017</v>
      </c>
      <c r="E1750" s="4">
        <v>7.39</v>
      </c>
      <c r="F1750" s="4">
        <v>129.1</v>
      </c>
    </row>
    <row r="1751" ht="22.5" customHeight="1">
      <c r="C1751" s="4">
        <v>3.4584972E7</v>
      </c>
      <c r="D1751" s="17">
        <f t="shared" si="1"/>
        <v>34905020</v>
      </c>
      <c r="E1751" s="4">
        <v>7.39</v>
      </c>
      <c r="F1751" s="4">
        <v>129.1</v>
      </c>
    </row>
    <row r="1752" ht="22.5" customHeight="1">
      <c r="C1752" s="4">
        <v>3.4604975E7</v>
      </c>
      <c r="D1752" s="17">
        <f t="shared" si="1"/>
        <v>34925023</v>
      </c>
      <c r="E1752" s="4">
        <v>7.39</v>
      </c>
      <c r="F1752" s="4">
        <v>129.0</v>
      </c>
    </row>
    <row r="1753" ht="22.5" customHeight="1">
      <c r="C1753" s="4">
        <v>3.4624977E7</v>
      </c>
      <c r="D1753" s="17">
        <f t="shared" si="1"/>
        <v>34945025</v>
      </c>
      <c r="E1753" s="4">
        <v>7.38</v>
      </c>
      <c r="F1753" s="4">
        <v>129.1</v>
      </c>
    </row>
    <row r="1754" ht="22.5" customHeight="1">
      <c r="C1754" s="4">
        <v>3.464498E7</v>
      </c>
      <c r="D1754" s="17">
        <f t="shared" si="1"/>
        <v>34965028</v>
      </c>
      <c r="E1754" s="4">
        <v>7.38</v>
      </c>
      <c r="F1754" s="4">
        <v>129.0</v>
      </c>
    </row>
    <row r="1755" ht="22.5" customHeight="1">
      <c r="C1755" s="4">
        <v>3.4664983E7</v>
      </c>
      <c r="D1755" s="17">
        <f t="shared" si="1"/>
        <v>34985031</v>
      </c>
      <c r="E1755" s="4">
        <v>7.38</v>
      </c>
      <c r="F1755" s="4">
        <v>129.0</v>
      </c>
    </row>
    <row r="1756" ht="22.5" customHeight="1">
      <c r="C1756" s="4">
        <v>3.4684986E7</v>
      </c>
      <c r="D1756" s="17">
        <f t="shared" si="1"/>
        <v>35005034</v>
      </c>
      <c r="E1756" s="4">
        <v>7.38</v>
      </c>
      <c r="F1756" s="4">
        <v>128.9</v>
      </c>
    </row>
    <row r="1757" ht="22.5" customHeight="1">
      <c r="C1757" s="4">
        <v>3.4704989E7</v>
      </c>
      <c r="D1757" s="17">
        <f t="shared" si="1"/>
        <v>35025037</v>
      </c>
      <c r="E1757" s="4">
        <v>7.38</v>
      </c>
      <c r="F1757" s="4">
        <v>128.9</v>
      </c>
    </row>
    <row r="1758" ht="22.5" customHeight="1">
      <c r="C1758" s="4">
        <v>3.4724992E7</v>
      </c>
      <c r="D1758" s="17">
        <f t="shared" si="1"/>
        <v>35045040</v>
      </c>
      <c r="E1758" s="4">
        <v>7.38</v>
      </c>
      <c r="F1758" s="4">
        <v>129.0</v>
      </c>
    </row>
    <row r="1759" ht="22.5" customHeight="1">
      <c r="C1759" s="4">
        <v>3.4744994E7</v>
      </c>
      <c r="D1759" s="17">
        <f t="shared" si="1"/>
        <v>35065042</v>
      </c>
      <c r="E1759" s="4">
        <v>7.38</v>
      </c>
      <c r="F1759" s="4">
        <v>128.9</v>
      </c>
    </row>
    <row r="1760" ht="22.5" customHeight="1">
      <c r="C1760" s="4">
        <v>3.4764997E7</v>
      </c>
      <c r="D1760" s="17">
        <f t="shared" si="1"/>
        <v>35085045</v>
      </c>
      <c r="E1760" s="4">
        <v>7.38</v>
      </c>
      <c r="F1760" s="4">
        <v>128.9</v>
      </c>
    </row>
    <row r="1761" ht="22.5" customHeight="1">
      <c r="C1761" s="4">
        <v>3.4785001E7</v>
      </c>
      <c r="D1761" s="17">
        <f t="shared" si="1"/>
        <v>35105049</v>
      </c>
      <c r="E1761" s="4">
        <v>7.38</v>
      </c>
      <c r="F1761" s="4">
        <v>128.9</v>
      </c>
    </row>
    <row r="1762" ht="22.5" customHeight="1">
      <c r="C1762" s="4">
        <v>3.4805004E7</v>
      </c>
      <c r="D1762" s="17">
        <f t="shared" si="1"/>
        <v>35125052</v>
      </c>
      <c r="E1762" s="4">
        <v>7.38</v>
      </c>
      <c r="F1762" s="4">
        <v>128.9</v>
      </c>
    </row>
    <row r="1763" ht="22.5" customHeight="1">
      <c r="C1763" s="4">
        <v>3.4825007E7</v>
      </c>
      <c r="D1763" s="17">
        <f t="shared" si="1"/>
        <v>35145055</v>
      </c>
      <c r="E1763" s="4">
        <v>7.38</v>
      </c>
      <c r="F1763" s="4">
        <v>128.9</v>
      </c>
    </row>
    <row r="1764" ht="22.5" customHeight="1">
      <c r="C1764" s="4">
        <v>3.4845009E7</v>
      </c>
      <c r="D1764" s="17">
        <f t="shared" si="1"/>
        <v>35165057</v>
      </c>
      <c r="E1764" s="4">
        <v>7.38</v>
      </c>
      <c r="F1764" s="4">
        <v>128.9</v>
      </c>
    </row>
    <row r="1765" ht="22.5" customHeight="1">
      <c r="C1765" s="4">
        <v>3.4865012E7</v>
      </c>
      <c r="D1765" s="17">
        <f t="shared" si="1"/>
        <v>35185060</v>
      </c>
      <c r="E1765" s="4">
        <v>7.38</v>
      </c>
      <c r="F1765" s="4">
        <v>128.9</v>
      </c>
    </row>
    <row r="1766" ht="22.5" customHeight="1">
      <c r="C1766" s="4">
        <v>3.4885015E7</v>
      </c>
      <c r="D1766" s="17">
        <f t="shared" si="1"/>
        <v>35205063</v>
      </c>
      <c r="E1766" s="4">
        <v>7.38</v>
      </c>
      <c r="F1766" s="4">
        <v>128.8</v>
      </c>
    </row>
    <row r="1767" ht="22.5" customHeight="1">
      <c r="C1767" s="4">
        <v>3.4905018E7</v>
      </c>
      <c r="D1767" s="17">
        <f t="shared" si="1"/>
        <v>35225066</v>
      </c>
      <c r="E1767" s="4">
        <v>7.38</v>
      </c>
      <c r="F1767" s="4">
        <v>128.8</v>
      </c>
    </row>
    <row r="1768" ht="22.5" customHeight="1">
      <c r="C1768" s="4">
        <v>3.4925021E7</v>
      </c>
      <c r="D1768" s="17">
        <f t="shared" si="1"/>
        <v>35245069</v>
      </c>
      <c r="E1768" s="4">
        <v>7.38</v>
      </c>
      <c r="F1768" s="4">
        <v>128.8</v>
      </c>
    </row>
    <row r="1769" ht="22.5" customHeight="1">
      <c r="C1769" s="4">
        <v>3.4945024E7</v>
      </c>
      <c r="D1769" s="17">
        <f t="shared" si="1"/>
        <v>35265072</v>
      </c>
      <c r="E1769" s="4">
        <v>7.37</v>
      </c>
      <c r="F1769" s="4">
        <v>128.8</v>
      </c>
    </row>
    <row r="1770" ht="22.5" customHeight="1">
      <c r="C1770" s="4">
        <v>3.4965026E7</v>
      </c>
      <c r="D1770" s="17">
        <f t="shared" si="1"/>
        <v>35285074</v>
      </c>
      <c r="E1770" s="4">
        <v>7.37</v>
      </c>
      <c r="F1770" s="4">
        <v>128.7</v>
      </c>
    </row>
    <row r="1771" ht="22.5" customHeight="1">
      <c r="C1771" s="4">
        <v>3.4985029E7</v>
      </c>
      <c r="D1771" s="17">
        <f t="shared" si="1"/>
        <v>35305077</v>
      </c>
      <c r="E1771" s="4">
        <v>7.37</v>
      </c>
      <c r="F1771" s="4">
        <v>128.8</v>
      </c>
    </row>
    <row r="1772" ht="22.5" customHeight="1">
      <c r="C1772" s="4">
        <v>3.5005032E7</v>
      </c>
      <c r="D1772" s="17">
        <f t="shared" si="1"/>
        <v>35325080</v>
      </c>
      <c r="E1772" s="4">
        <v>7.37</v>
      </c>
      <c r="F1772" s="4">
        <v>128.7</v>
      </c>
    </row>
    <row r="1773" ht="22.5" customHeight="1">
      <c r="C1773" s="4">
        <v>3.5025035E7</v>
      </c>
      <c r="D1773" s="17">
        <f t="shared" si="1"/>
        <v>35345083</v>
      </c>
      <c r="E1773" s="4">
        <v>7.37</v>
      </c>
      <c r="F1773" s="4">
        <v>128.7</v>
      </c>
    </row>
    <row r="1774" ht="22.5" customHeight="1">
      <c r="C1774" s="4">
        <v>3.5045038E7</v>
      </c>
      <c r="D1774" s="17">
        <f t="shared" si="1"/>
        <v>35365086</v>
      </c>
      <c r="E1774" s="4">
        <v>7.37</v>
      </c>
      <c r="F1774" s="4">
        <v>128.8</v>
      </c>
    </row>
    <row r="1775" ht="22.5" customHeight="1">
      <c r="C1775" s="4">
        <v>3.5065041E7</v>
      </c>
      <c r="D1775" s="17">
        <f t="shared" si="1"/>
        <v>35385089</v>
      </c>
      <c r="E1775" s="4">
        <v>7.37</v>
      </c>
      <c r="F1775" s="4">
        <v>128.7</v>
      </c>
    </row>
    <row r="1776" ht="22.5" customHeight="1">
      <c r="C1776" s="4">
        <v>3.5085044E7</v>
      </c>
      <c r="D1776" s="17">
        <f t="shared" si="1"/>
        <v>35405092</v>
      </c>
      <c r="E1776" s="4">
        <v>7.37</v>
      </c>
      <c r="F1776" s="4">
        <v>128.7</v>
      </c>
    </row>
    <row r="1777" ht="22.5" customHeight="1">
      <c r="C1777" s="4">
        <v>3.5105047E7</v>
      </c>
      <c r="D1777" s="17">
        <f t="shared" si="1"/>
        <v>35425095</v>
      </c>
      <c r="E1777" s="4">
        <v>7.36</v>
      </c>
      <c r="F1777" s="4">
        <v>128.7</v>
      </c>
    </row>
    <row r="1778" ht="22.5" customHeight="1">
      <c r="C1778" s="4">
        <v>3.512505E7</v>
      </c>
      <c r="D1778" s="17">
        <f t="shared" si="1"/>
        <v>35445098</v>
      </c>
      <c r="E1778" s="4">
        <v>7.37</v>
      </c>
      <c r="F1778" s="4">
        <v>128.7</v>
      </c>
    </row>
    <row r="1779" ht="22.5" customHeight="1">
      <c r="C1779" s="4">
        <v>3.5145053E7</v>
      </c>
      <c r="D1779" s="17">
        <f t="shared" si="1"/>
        <v>35465101</v>
      </c>
      <c r="E1779" s="4">
        <v>7.37</v>
      </c>
      <c r="F1779" s="4">
        <v>128.6</v>
      </c>
    </row>
    <row r="1780" ht="22.5" customHeight="1">
      <c r="C1780" s="4">
        <v>3.5165056E7</v>
      </c>
      <c r="D1780" s="17">
        <f t="shared" si="1"/>
        <v>35485104</v>
      </c>
      <c r="E1780" s="4">
        <v>7.36</v>
      </c>
      <c r="F1780" s="4">
        <v>128.6</v>
      </c>
    </row>
    <row r="1781" ht="22.5" customHeight="1">
      <c r="C1781" s="4">
        <v>3.5185058E7</v>
      </c>
      <c r="D1781" s="17">
        <f t="shared" si="1"/>
        <v>35505106</v>
      </c>
      <c r="E1781" s="4">
        <v>7.36</v>
      </c>
      <c r="F1781" s="4">
        <v>128.6</v>
      </c>
    </row>
    <row r="1782" ht="22.5" customHeight="1">
      <c r="C1782" s="4">
        <v>3.5205061E7</v>
      </c>
      <c r="D1782" s="17">
        <f t="shared" si="1"/>
        <v>35525109</v>
      </c>
      <c r="E1782" s="4">
        <v>7.36</v>
      </c>
      <c r="F1782" s="4">
        <v>128.6</v>
      </c>
    </row>
    <row r="1783" ht="22.5" customHeight="1">
      <c r="C1783" s="4">
        <v>3.5225064E7</v>
      </c>
      <c r="D1783" s="17">
        <f t="shared" si="1"/>
        <v>35545112</v>
      </c>
      <c r="E1783" s="4">
        <v>7.36</v>
      </c>
      <c r="F1783" s="4">
        <v>128.6</v>
      </c>
    </row>
    <row r="1784" ht="22.5" customHeight="1">
      <c r="C1784" s="4">
        <v>3.5245067E7</v>
      </c>
      <c r="D1784" s="17">
        <f t="shared" si="1"/>
        <v>35565115</v>
      </c>
      <c r="E1784" s="4">
        <v>7.36</v>
      </c>
      <c r="F1784" s="4">
        <v>128.6</v>
      </c>
    </row>
    <row r="1785" ht="22.5" customHeight="1">
      <c r="C1785" s="4">
        <v>3.526507E7</v>
      </c>
      <c r="D1785" s="17">
        <f t="shared" si="1"/>
        <v>35585118</v>
      </c>
      <c r="E1785" s="4">
        <v>7.36</v>
      </c>
      <c r="F1785" s="4">
        <v>128.6</v>
      </c>
    </row>
    <row r="1786" ht="22.5" customHeight="1">
      <c r="C1786" s="4">
        <v>3.5285072E7</v>
      </c>
      <c r="D1786" s="17">
        <f t="shared" si="1"/>
        <v>35605120</v>
      </c>
      <c r="E1786" s="4">
        <v>7.36</v>
      </c>
      <c r="F1786" s="4">
        <v>128.5</v>
      </c>
    </row>
    <row r="1787" ht="22.5" customHeight="1">
      <c r="C1787" s="4">
        <v>3.5305075E7</v>
      </c>
      <c r="D1787" s="17">
        <f t="shared" si="1"/>
        <v>35625123</v>
      </c>
      <c r="E1787" s="4">
        <v>7.36</v>
      </c>
      <c r="F1787" s="4">
        <v>128.5</v>
      </c>
    </row>
    <row r="1788" ht="22.5" customHeight="1">
      <c r="C1788" s="4">
        <v>3.5325078E7</v>
      </c>
      <c r="D1788" s="17">
        <f t="shared" si="1"/>
        <v>35645126</v>
      </c>
      <c r="E1788" s="4">
        <v>7.36</v>
      </c>
      <c r="F1788" s="4">
        <v>128.5</v>
      </c>
    </row>
    <row r="1789" ht="22.5" customHeight="1">
      <c r="C1789" s="4">
        <v>3.5345082E7</v>
      </c>
      <c r="D1789" s="17">
        <f t="shared" si="1"/>
        <v>35665130</v>
      </c>
      <c r="E1789" s="4">
        <v>7.36</v>
      </c>
      <c r="F1789" s="4">
        <v>128.5</v>
      </c>
    </row>
    <row r="1790" ht="22.5" customHeight="1">
      <c r="C1790" s="4">
        <v>3.5365085E7</v>
      </c>
      <c r="D1790" s="17">
        <f t="shared" si="1"/>
        <v>35685133</v>
      </c>
      <c r="E1790" s="4">
        <v>7.36</v>
      </c>
      <c r="F1790" s="4">
        <v>128.5</v>
      </c>
    </row>
    <row r="1791" ht="22.5" customHeight="1">
      <c r="C1791" s="4">
        <v>3.5385088E7</v>
      </c>
      <c r="D1791" s="17">
        <f t="shared" si="1"/>
        <v>35705136</v>
      </c>
      <c r="E1791" s="4">
        <v>7.36</v>
      </c>
      <c r="F1791" s="4">
        <v>128.5</v>
      </c>
    </row>
    <row r="1792" ht="22.5" customHeight="1">
      <c r="C1792" s="4">
        <v>3.540509E7</v>
      </c>
      <c r="D1792" s="17">
        <f t="shared" si="1"/>
        <v>35725138</v>
      </c>
      <c r="E1792" s="4">
        <v>7.36</v>
      </c>
      <c r="F1792" s="4">
        <v>128.5</v>
      </c>
    </row>
    <row r="1793" ht="22.5" customHeight="1">
      <c r="C1793" s="4">
        <v>3.5425093E7</v>
      </c>
      <c r="D1793" s="17">
        <f t="shared" si="1"/>
        <v>35745141</v>
      </c>
      <c r="E1793" s="4">
        <v>7.36</v>
      </c>
      <c r="F1793" s="4">
        <v>128.4</v>
      </c>
    </row>
    <row r="1794" ht="22.5" customHeight="1">
      <c r="C1794" s="4">
        <v>3.5445096E7</v>
      </c>
      <c r="D1794" s="17">
        <f t="shared" si="1"/>
        <v>35765144</v>
      </c>
      <c r="E1794" s="4">
        <v>7.35</v>
      </c>
      <c r="F1794" s="4">
        <v>128.5</v>
      </c>
    </row>
    <row r="1795" ht="22.5" customHeight="1">
      <c r="C1795" s="4">
        <v>3.5465099E7</v>
      </c>
      <c r="D1795" s="17">
        <f t="shared" si="1"/>
        <v>35785147</v>
      </c>
      <c r="E1795" s="4">
        <v>7.36</v>
      </c>
      <c r="F1795" s="4">
        <v>128.4</v>
      </c>
    </row>
    <row r="1796" ht="22.5" customHeight="1">
      <c r="C1796" s="4">
        <v>3.5485102E7</v>
      </c>
      <c r="D1796" s="17">
        <f t="shared" si="1"/>
        <v>35805150</v>
      </c>
      <c r="E1796" s="4">
        <v>7.35</v>
      </c>
      <c r="F1796" s="4">
        <v>128.5</v>
      </c>
    </row>
    <row r="1797" ht="22.5" customHeight="1">
      <c r="C1797" s="4">
        <v>3.5505104E7</v>
      </c>
      <c r="D1797" s="17">
        <f t="shared" si="1"/>
        <v>35825152</v>
      </c>
      <c r="E1797" s="4">
        <v>7.35</v>
      </c>
      <c r="F1797" s="4">
        <v>128.4</v>
      </c>
    </row>
    <row r="1798" ht="22.5" customHeight="1">
      <c r="C1798" s="4">
        <v>3.5525107E7</v>
      </c>
      <c r="D1798" s="17">
        <f t="shared" si="1"/>
        <v>35845155</v>
      </c>
      <c r="E1798" s="4">
        <v>7.35</v>
      </c>
      <c r="F1798" s="4">
        <v>128.4</v>
      </c>
    </row>
    <row r="1799" ht="22.5" customHeight="1">
      <c r="C1799" s="4">
        <v>3.554511E7</v>
      </c>
      <c r="D1799" s="17">
        <f t="shared" si="1"/>
        <v>35865158</v>
      </c>
      <c r="E1799" s="4">
        <v>7.35</v>
      </c>
      <c r="F1799" s="4">
        <v>128.4</v>
      </c>
    </row>
    <row r="1800" ht="22.5" customHeight="1">
      <c r="C1800" s="4">
        <v>3.5565113E7</v>
      </c>
      <c r="D1800" s="17">
        <f t="shared" si="1"/>
        <v>35885161</v>
      </c>
      <c r="E1800" s="4">
        <v>7.35</v>
      </c>
      <c r="F1800" s="4">
        <v>128.4</v>
      </c>
    </row>
    <row r="1801" ht="22.5" customHeight="1">
      <c r="C1801" s="4">
        <v>3.5585116E7</v>
      </c>
      <c r="D1801" s="17">
        <f t="shared" si="1"/>
        <v>35905164</v>
      </c>
      <c r="E1801" s="4">
        <v>7.35</v>
      </c>
      <c r="F1801" s="4">
        <v>128.4</v>
      </c>
    </row>
    <row r="1802" ht="22.5" customHeight="1">
      <c r="C1802" s="4">
        <v>3.5605118E7</v>
      </c>
      <c r="D1802" s="17">
        <f t="shared" si="1"/>
        <v>35925166</v>
      </c>
      <c r="E1802" s="4">
        <v>7.35</v>
      </c>
      <c r="F1802" s="4">
        <v>128.3</v>
      </c>
    </row>
    <row r="1803" ht="22.5" customHeight="1">
      <c r="C1803" s="4">
        <v>3.5625122E7</v>
      </c>
      <c r="D1803" s="17">
        <f t="shared" si="1"/>
        <v>35945170</v>
      </c>
      <c r="E1803" s="4">
        <v>7.35</v>
      </c>
      <c r="F1803" s="4">
        <v>128.3</v>
      </c>
    </row>
    <row r="1804" ht="22.5" customHeight="1">
      <c r="C1804" s="4">
        <v>3.5645125E7</v>
      </c>
      <c r="D1804" s="17">
        <f t="shared" si="1"/>
        <v>35965173</v>
      </c>
      <c r="E1804" s="4">
        <v>7.35</v>
      </c>
      <c r="F1804" s="4">
        <v>128.3</v>
      </c>
    </row>
    <row r="1805" ht="22.5" customHeight="1">
      <c r="C1805" s="4">
        <v>3.5665128E7</v>
      </c>
      <c r="D1805" s="17">
        <f t="shared" si="1"/>
        <v>35985176</v>
      </c>
      <c r="E1805" s="4">
        <v>7.35</v>
      </c>
      <c r="F1805" s="4">
        <v>128.3</v>
      </c>
    </row>
    <row r="1806" ht="22.5" customHeight="1">
      <c r="C1806" s="4">
        <v>3.5685131E7</v>
      </c>
      <c r="D1806" s="17">
        <f t="shared" si="1"/>
        <v>36005179</v>
      </c>
      <c r="E1806" s="4">
        <v>7.34</v>
      </c>
      <c r="F1806" s="4">
        <v>128.4</v>
      </c>
    </row>
    <row r="1807" ht="22.5" customHeight="1">
      <c r="C1807" s="4">
        <v>3.5705134E7</v>
      </c>
      <c r="D1807" s="17">
        <f t="shared" si="1"/>
        <v>36025182</v>
      </c>
      <c r="E1807" s="4">
        <v>7.34</v>
      </c>
      <c r="F1807" s="4">
        <v>128.3</v>
      </c>
    </row>
    <row r="1808" ht="22.5" customHeight="1">
      <c r="C1808" s="4">
        <v>3.5725136E7</v>
      </c>
      <c r="D1808" s="17">
        <f t="shared" si="1"/>
        <v>36045184</v>
      </c>
      <c r="E1808" s="4">
        <v>7.34</v>
      </c>
      <c r="F1808" s="4">
        <v>128.3</v>
      </c>
    </row>
    <row r="1809" ht="22.5" customHeight="1">
      <c r="C1809" s="4">
        <v>3.5745139E7</v>
      </c>
      <c r="D1809" s="17">
        <f t="shared" si="1"/>
        <v>36065187</v>
      </c>
      <c r="E1809" s="4">
        <v>7.34</v>
      </c>
      <c r="F1809" s="4">
        <v>128.3</v>
      </c>
    </row>
    <row r="1810" ht="22.5" customHeight="1">
      <c r="C1810" s="4">
        <v>3.5765142E7</v>
      </c>
      <c r="D1810" s="17">
        <f t="shared" si="1"/>
        <v>36085190</v>
      </c>
      <c r="E1810" s="4">
        <v>7.34</v>
      </c>
      <c r="F1810" s="4">
        <v>128.3</v>
      </c>
    </row>
    <row r="1811" ht="22.5" customHeight="1">
      <c r="C1811" s="4">
        <v>3.5785145E7</v>
      </c>
      <c r="D1811" s="17">
        <f t="shared" si="1"/>
        <v>36105193</v>
      </c>
      <c r="E1811" s="4">
        <v>7.34</v>
      </c>
      <c r="F1811" s="4">
        <v>128.2</v>
      </c>
    </row>
    <row r="1812" ht="22.5" customHeight="1">
      <c r="C1812" s="4">
        <v>3.5805148E7</v>
      </c>
      <c r="D1812" s="17">
        <f t="shared" si="1"/>
        <v>36125196</v>
      </c>
      <c r="E1812" s="4">
        <v>7.34</v>
      </c>
      <c r="F1812" s="4">
        <v>128.2</v>
      </c>
    </row>
    <row r="1813" ht="22.5" customHeight="1">
      <c r="C1813" s="4">
        <v>3.582515E7</v>
      </c>
      <c r="D1813" s="17">
        <f t="shared" si="1"/>
        <v>36145198</v>
      </c>
      <c r="E1813" s="4">
        <v>7.34</v>
      </c>
      <c r="F1813" s="4">
        <v>128.2</v>
      </c>
    </row>
    <row r="1814" ht="22.5" customHeight="1">
      <c r="C1814" s="4">
        <v>3.5845153E7</v>
      </c>
      <c r="D1814" s="17">
        <f t="shared" si="1"/>
        <v>36165201</v>
      </c>
      <c r="E1814" s="4">
        <v>7.34</v>
      </c>
      <c r="F1814" s="4">
        <v>128.2</v>
      </c>
    </row>
    <row r="1815" ht="22.5" customHeight="1">
      <c r="C1815" s="4">
        <v>3.5865156E7</v>
      </c>
      <c r="D1815" s="17">
        <f t="shared" si="1"/>
        <v>36185204</v>
      </c>
      <c r="E1815" s="4">
        <v>7.34</v>
      </c>
      <c r="F1815" s="4">
        <v>128.3</v>
      </c>
    </row>
    <row r="1816" ht="22.5" customHeight="1">
      <c r="C1816" s="4">
        <v>3.588516E7</v>
      </c>
      <c r="D1816" s="17">
        <f t="shared" si="1"/>
        <v>36205208</v>
      </c>
      <c r="E1816" s="4">
        <v>7.34</v>
      </c>
      <c r="F1816" s="4">
        <v>128.3</v>
      </c>
    </row>
    <row r="1817" ht="22.5" customHeight="1">
      <c r="C1817" s="4">
        <v>3.5905163E7</v>
      </c>
      <c r="D1817" s="17">
        <f t="shared" si="1"/>
        <v>36225211</v>
      </c>
      <c r="E1817" s="4">
        <v>7.34</v>
      </c>
      <c r="F1817" s="4">
        <v>128.2</v>
      </c>
    </row>
    <row r="1818" ht="22.5" customHeight="1">
      <c r="C1818" s="4">
        <v>3.5925166E7</v>
      </c>
      <c r="D1818" s="17">
        <f t="shared" si="1"/>
        <v>36245214</v>
      </c>
      <c r="E1818" s="4">
        <v>7.34</v>
      </c>
      <c r="F1818" s="4">
        <v>128.2</v>
      </c>
    </row>
    <row r="1819" ht="22.5" customHeight="1">
      <c r="C1819" s="4">
        <v>3.5945168E7</v>
      </c>
      <c r="D1819" s="17">
        <f t="shared" si="1"/>
        <v>36265216</v>
      </c>
      <c r="E1819" s="4">
        <v>7.34</v>
      </c>
      <c r="F1819" s="4">
        <v>128.2</v>
      </c>
    </row>
    <row r="1820" ht="22.5" customHeight="1">
      <c r="C1820" s="4">
        <v>3.5965171E7</v>
      </c>
      <c r="D1820" s="17">
        <f t="shared" si="1"/>
        <v>36285219</v>
      </c>
      <c r="E1820" s="4">
        <v>7.34</v>
      </c>
      <c r="F1820" s="4">
        <v>128.1</v>
      </c>
    </row>
    <row r="1821" ht="22.5" customHeight="1">
      <c r="C1821" s="4">
        <v>3.5985174E7</v>
      </c>
      <c r="D1821" s="17">
        <f t="shared" si="1"/>
        <v>36305222</v>
      </c>
      <c r="E1821" s="4">
        <v>7.34</v>
      </c>
      <c r="F1821" s="4">
        <v>128.1</v>
      </c>
    </row>
    <row r="1822" ht="22.5" customHeight="1">
      <c r="C1822" s="4">
        <v>3.6005177E7</v>
      </c>
      <c r="D1822" s="17">
        <f t="shared" si="1"/>
        <v>36325225</v>
      </c>
      <c r="E1822" s="4">
        <v>7.34</v>
      </c>
      <c r="F1822" s="4">
        <v>128.2</v>
      </c>
    </row>
    <row r="1823" ht="22.5" customHeight="1">
      <c r="C1823" s="4">
        <v>3.602518E7</v>
      </c>
      <c r="D1823" s="17">
        <f t="shared" si="1"/>
        <v>36345228</v>
      </c>
      <c r="E1823" s="4">
        <v>7.34</v>
      </c>
      <c r="F1823" s="4">
        <v>128.1</v>
      </c>
    </row>
    <row r="1824" ht="22.5" customHeight="1">
      <c r="C1824" s="4">
        <v>3.6045182E7</v>
      </c>
      <c r="D1824" s="17">
        <f t="shared" si="1"/>
        <v>36365230</v>
      </c>
      <c r="E1824" s="4">
        <v>7.34</v>
      </c>
      <c r="F1824" s="4">
        <v>128.1</v>
      </c>
    </row>
    <row r="1825" ht="22.5" customHeight="1">
      <c r="C1825" s="4">
        <v>3.6065185E7</v>
      </c>
      <c r="D1825" s="17">
        <f t="shared" si="1"/>
        <v>36385233</v>
      </c>
      <c r="E1825" s="4">
        <v>7.34</v>
      </c>
      <c r="F1825" s="4">
        <v>128.1</v>
      </c>
    </row>
    <row r="1826" ht="22.5" customHeight="1">
      <c r="C1826" s="4">
        <v>3.6085188E7</v>
      </c>
      <c r="D1826" s="17">
        <f t="shared" si="1"/>
        <v>36405236</v>
      </c>
      <c r="E1826" s="4">
        <v>7.34</v>
      </c>
      <c r="F1826" s="4">
        <v>128.1</v>
      </c>
    </row>
    <row r="1827" ht="22.5" customHeight="1">
      <c r="C1827" s="4">
        <v>3.6105191E7</v>
      </c>
      <c r="D1827" s="17">
        <f t="shared" si="1"/>
        <v>36425239</v>
      </c>
      <c r="E1827" s="4">
        <v>7.33</v>
      </c>
      <c r="F1827" s="4">
        <v>128.2</v>
      </c>
    </row>
    <row r="1828" ht="22.5" customHeight="1">
      <c r="C1828" s="4">
        <v>3.6125194E7</v>
      </c>
      <c r="D1828" s="17">
        <f t="shared" si="1"/>
        <v>36445242</v>
      </c>
      <c r="E1828" s="4">
        <v>7.33</v>
      </c>
      <c r="F1828" s="4">
        <v>128.1</v>
      </c>
    </row>
    <row r="1829" ht="22.5" customHeight="1">
      <c r="C1829" s="4">
        <v>3.6145198E7</v>
      </c>
      <c r="D1829" s="17">
        <f t="shared" si="1"/>
        <v>36465246</v>
      </c>
      <c r="E1829" s="4">
        <v>7.33</v>
      </c>
      <c r="F1829" s="4">
        <v>128.0</v>
      </c>
    </row>
    <row r="1830" ht="22.5" customHeight="1">
      <c r="C1830" s="4">
        <v>3.61652E7</v>
      </c>
      <c r="D1830" s="17">
        <f t="shared" si="1"/>
        <v>36485248</v>
      </c>
      <c r="E1830" s="4">
        <v>7.33</v>
      </c>
      <c r="F1830" s="4">
        <v>128.1</v>
      </c>
    </row>
    <row r="1831" ht="22.5" customHeight="1">
      <c r="C1831" s="4">
        <v>3.6185203E7</v>
      </c>
      <c r="D1831" s="17">
        <f t="shared" si="1"/>
        <v>36505251</v>
      </c>
      <c r="E1831" s="4">
        <v>7.33</v>
      </c>
      <c r="F1831" s="4">
        <v>128.0</v>
      </c>
    </row>
    <row r="1832" ht="22.5" customHeight="1">
      <c r="C1832" s="4">
        <v>3.6205206E7</v>
      </c>
      <c r="D1832" s="17">
        <f t="shared" si="1"/>
        <v>36525254</v>
      </c>
      <c r="E1832" s="4">
        <v>7.33</v>
      </c>
      <c r="F1832" s="4">
        <v>128.1</v>
      </c>
    </row>
    <row r="1833" ht="22.5" customHeight="1">
      <c r="C1833" s="4">
        <v>3.6225209E7</v>
      </c>
      <c r="D1833" s="17">
        <f t="shared" si="1"/>
        <v>36545257</v>
      </c>
      <c r="E1833" s="4">
        <v>7.33</v>
      </c>
      <c r="F1833" s="4">
        <v>128.0</v>
      </c>
    </row>
    <row r="1834" ht="22.5" customHeight="1">
      <c r="C1834" s="4">
        <v>3.6245212E7</v>
      </c>
      <c r="D1834" s="17">
        <f t="shared" si="1"/>
        <v>36565260</v>
      </c>
      <c r="E1834" s="4">
        <v>7.33</v>
      </c>
      <c r="F1834" s="4">
        <v>128.0</v>
      </c>
    </row>
    <row r="1835" ht="22.5" customHeight="1">
      <c r="C1835" s="4">
        <v>3.6265214E7</v>
      </c>
      <c r="D1835" s="17">
        <f t="shared" si="1"/>
        <v>36585262</v>
      </c>
      <c r="E1835" s="4">
        <v>7.33</v>
      </c>
      <c r="F1835" s="4">
        <v>128.0</v>
      </c>
    </row>
    <row r="1836" ht="22.5" customHeight="1">
      <c r="C1836" s="4">
        <v>3.6285217E7</v>
      </c>
      <c r="D1836" s="17">
        <f t="shared" si="1"/>
        <v>36605265</v>
      </c>
      <c r="E1836" s="4">
        <v>7.33</v>
      </c>
      <c r="F1836" s="4">
        <v>128.0</v>
      </c>
    </row>
    <row r="1837" ht="22.5" customHeight="1">
      <c r="C1837" s="4">
        <v>3.630522E7</v>
      </c>
      <c r="D1837" s="17">
        <f t="shared" si="1"/>
        <v>36625268</v>
      </c>
      <c r="E1837" s="4">
        <v>7.33</v>
      </c>
      <c r="F1837" s="4">
        <v>128.0</v>
      </c>
    </row>
    <row r="1838" ht="22.5" customHeight="1">
      <c r="C1838" s="4">
        <v>3.6325223E7</v>
      </c>
      <c r="D1838" s="17">
        <f t="shared" si="1"/>
        <v>36645271</v>
      </c>
      <c r="E1838" s="4">
        <v>7.33</v>
      </c>
      <c r="F1838" s="4">
        <v>128.0</v>
      </c>
    </row>
    <row r="1839" ht="22.5" customHeight="1">
      <c r="C1839" s="4">
        <v>3.6345226E7</v>
      </c>
      <c r="D1839" s="17">
        <f t="shared" si="1"/>
        <v>36665274</v>
      </c>
      <c r="E1839" s="4">
        <v>7.33</v>
      </c>
      <c r="F1839" s="4">
        <v>128.0</v>
      </c>
    </row>
    <row r="1840" ht="22.5" customHeight="1">
      <c r="C1840" s="4">
        <v>3.6365229E7</v>
      </c>
      <c r="D1840" s="17">
        <f t="shared" si="1"/>
        <v>36685277</v>
      </c>
      <c r="E1840" s="4">
        <v>7.33</v>
      </c>
      <c r="F1840" s="4">
        <v>128.0</v>
      </c>
    </row>
    <row r="1841" ht="22.5" customHeight="1">
      <c r="C1841" s="4">
        <v>3.6385231E7</v>
      </c>
      <c r="D1841" s="17">
        <f t="shared" si="1"/>
        <v>36705279</v>
      </c>
      <c r="E1841" s="4">
        <v>7.32</v>
      </c>
      <c r="F1841" s="4">
        <v>128.0</v>
      </c>
    </row>
    <row r="1842" ht="22.5" customHeight="1">
      <c r="C1842" s="4">
        <v>3.6405234E7</v>
      </c>
      <c r="D1842" s="17">
        <f t="shared" si="1"/>
        <v>36725282</v>
      </c>
      <c r="E1842" s="4">
        <v>7.32</v>
      </c>
      <c r="F1842" s="4">
        <v>128.0</v>
      </c>
    </row>
    <row r="1843" ht="22.5" customHeight="1">
      <c r="C1843" s="4">
        <v>3.6425237E7</v>
      </c>
      <c r="D1843" s="17">
        <f t="shared" si="1"/>
        <v>36745285</v>
      </c>
      <c r="E1843" s="4">
        <v>7.32</v>
      </c>
      <c r="F1843" s="4">
        <v>128.0</v>
      </c>
    </row>
    <row r="1844" ht="22.5" customHeight="1">
      <c r="C1844" s="4">
        <v>3.6445241E7</v>
      </c>
      <c r="D1844" s="17">
        <f t="shared" si="1"/>
        <v>36765289</v>
      </c>
      <c r="E1844" s="4">
        <v>7.32</v>
      </c>
      <c r="F1844" s="4">
        <v>127.8</v>
      </c>
    </row>
    <row r="1845" ht="22.5" customHeight="1">
      <c r="C1845" s="4">
        <v>3.6465244E7</v>
      </c>
      <c r="D1845" s="17">
        <f t="shared" si="1"/>
        <v>36785292</v>
      </c>
      <c r="E1845" s="4">
        <v>7.32</v>
      </c>
      <c r="F1845" s="4">
        <v>127.9</v>
      </c>
    </row>
    <row r="1846" ht="22.5" customHeight="1">
      <c r="C1846" s="4">
        <v>3.6485246E7</v>
      </c>
      <c r="D1846" s="17">
        <f t="shared" si="1"/>
        <v>36805294</v>
      </c>
      <c r="E1846" s="4">
        <v>7.32</v>
      </c>
      <c r="F1846" s="4">
        <v>127.9</v>
      </c>
    </row>
    <row r="1847" ht="22.5" customHeight="1">
      <c r="C1847" s="4">
        <v>3.6505249E7</v>
      </c>
      <c r="D1847" s="17">
        <f t="shared" si="1"/>
        <v>36825297</v>
      </c>
      <c r="E1847" s="4">
        <v>7.32</v>
      </c>
      <c r="F1847" s="4">
        <v>127.9</v>
      </c>
    </row>
    <row r="1848" ht="22.5" customHeight="1">
      <c r="C1848" s="4">
        <v>3.6525252E7</v>
      </c>
      <c r="D1848" s="17">
        <f t="shared" si="1"/>
        <v>36845300</v>
      </c>
      <c r="E1848" s="4">
        <v>7.32</v>
      </c>
      <c r="F1848" s="4">
        <v>127.8</v>
      </c>
    </row>
    <row r="1849" ht="22.5" customHeight="1">
      <c r="C1849" s="4">
        <v>3.6545255E7</v>
      </c>
      <c r="D1849" s="17">
        <f t="shared" si="1"/>
        <v>36865303</v>
      </c>
      <c r="E1849" s="4">
        <v>7.32</v>
      </c>
      <c r="F1849" s="4">
        <v>127.8</v>
      </c>
    </row>
    <row r="1850" ht="22.5" customHeight="1">
      <c r="C1850" s="4">
        <v>3.6565258E7</v>
      </c>
      <c r="D1850" s="17">
        <f t="shared" si="1"/>
        <v>36885306</v>
      </c>
      <c r="E1850" s="4">
        <v>7.32</v>
      </c>
      <c r="F1850" s="4">
        <v>127.9</v>
      </c>
    </row>
    <row r="1851" ht="22.5" customHeight="1">
      <c r="C1851" s="4">
        <v>3.6585261E7</v>
      </c>
      <c r="D1851" s="17">
        <f t="shared" si="1"/>
        <v>36905309</v>
      </c>
      <c r="E1851" s="4">
        <v>7.32</v>
      </c>
      <c r="F1851" s="4">
        <v>127.8</v>
      </c>
    </row>
    <row r="1852" ht="22.5" customHeight="1">
      <c r="C1852" s="4">
        <v>3.6605263E7</v>
      </c>
      <c r="D1852" s="17">
        <f t="shared" si="1"/>
        <v>36925311</v>
      </c>
      <c r="E1852" s="4">
        <v>7.32</v>
      </c>
      <c r="F1852" s="4">
        <v>127.8</v>
      </c>
    </row>
    <row r="1853" ht="22.5" customHeight="1">
      <c r="C1853" s="4">
        <v>3.6625266E7</v>
      </c>
      <c r="D1853" s="17">
        <f t="shared" si="1"/>
        <v>36945314</v>
      </c>
      <c r="E1853" s="4">
        <v>7.32</v>
      </c>
      <c r="F1853" s="4">
        <v>127.8</v>
      </c>
    </row>
    <row r="1854" ht="22.5" customHeight="1">
      <c r="C1854" s="4">
        <v>3.6645269E7</v>
      </c>
      <c r="D1854" s="17">
        <f t="shared" si="1"/>
        <v>36965317</v>
      </c>
      <c r="E1854" s="4">
        <v>7.32</v>
      </c>
      <c r="F1854" s="4">
        <v>127.8</v>
      </c>
    </row>
    <row r="1855" ht="22.5" customHeight="1">
      <c r="C1855" s="4">
        <v>3.6665272E7</v>
      </c>
      <c r="D1855" s="17">
        <f t="shared" si="1"/>
        <v>36985320</v>
      </c>
      <c r="E1855" s="4">
        <v>7.32</v>
      </c>
      <c r="F1855" s="4">
        <v>127.7</v>
      </c>
    </row>
    <row r="1856" ht="22.5" customHeight="1">
      <c r="C1856" s="4">
        <v>3.6685275E7</v>
      </c>
      <c r="D1856" s="17">
        <f t="shared" si="1"/>
        <v>37005323</v>
      </c>
      <c r="E1856" s="4">
        <v>7.32</v>
      </c>
      <c r="F1856" s="4">
        <v>127.7</v>
      </c>
    </row>
    <row r="1857" ht="22.5" customHeight="1">
      <c r="C1857" s="4">
        <v>3.6705278E7</v>
      </c>
      <c r="D1857" s="17">
        <f t="shared" si="1"/>
        <v>37025326</v>
      </c>
      <c r="E1857" s="4">
        <v>7.32</v>
      </c>
      <c r="F1857" s="4">
        <v>127.8</v>
      </c>
    </row>
    <row r="1858" ht="22.5" customHeight="1">
      <c r="C1858" s="4">
        <v>3.6725281E7</v>
      </c>
      <c r="D1858" s="17">
        <f t="shared" si="1"/>
        <v>37045329</v>
      </c>
      <c r="E1858" s="4">
        <v>7.32</v>
      </c>
      <c r="F1858" s="4">
        <v>127.8</v>
      </c>
    </row>
    <row r="1859" ht="22.5" customHeight="1">
      <c r="C1859" s="4">
        <v>3.6745284E7</v>
      </c>
      <c r="D1859" s="17">
        <f t="shared" si="1"/>
        <v>37065332</v>
      </c>
      <c r="E1859" s="4">
        <v>7.32</v>
      </c>
      <c r="F1859" s="4">
        <v>127.7</v>
      </c>
    </row>
    <row r="1860" ht="22.5" customHeight="1">
      <c r="C1860" s="4">
        <v>3.6765287E7</v>
      </c>
      <c r="D1860" s="17">
        <f t="shared" si="1"/>
        <v>37085335</v>
      </c>
      <c r="E1860" s="4">
        <v>7.31</v>
      </c>
      <c r="F1860" s="4">
        <v>127.7</v>
      </c>
    </row>
    <row r="1861" ht="22.5" customHeight="1">
      <c r="C1861" s="4">
        <v>3.678529E7</v>
      </c>
      <c r="D1861" s="17">
        <f t="shared" si="1"/>
        <v>37105338</v>
      </c>
      <c r="E1861" s="4">
        <v>7.31</v>
      </c>
      <c r="F1861" s="4">
        <v>127.7</v>
      </c>
    </row>
    <row r="1862" ht="22.5" customHeight="1">
      <c r="C1862" s="4">
        <v>3.6805293E7</v>
      </c>
      <c r="D1862" s="17">
        <f t="shared" si="1"/>
        <v>37125341</v>
      </c>
      <c r="E1862" s="4">
        <v>7.32</v>
      </c>
      <c r="F1862" s="4">
        <v>127.7</v>
      </c>
    </row>
    <row r="1863" ht="22.5" customHeight="1">
      <c r="C1863" s="4">
        <v>3.6825295E7</v>
      </c>
      <c r="D1863" s="17">
        <f t="shared" si="1"/>
        <v>37145343</v>
      </c>
      <c r="E1863" s="4">
        <v>7.31</v>
      </c>
      <c r="F1863" s="4">
        <v>127.7</v>
      </c>
    </row>
    <row r="1864" ht="22.5" customHeight="1">
      <c r="C1864" s="4">
        <v>3.6845298E7</v>
      </c>
      <c r="D1864" s="17">
        <f t="shared" si="1"/>
        <v>37165346</v>
      </c>
      <c r="E1864" s="4">
        <v>7.31</v>
      </c>
      <c r="F1864" s="4">
        <v>127.7</v>
      </c>
    </row>
    <row r="1865" ht="22.5" customHeight="1">
      <c r="C1865" s="4">
        <v>3.6865301E7</v>
      </c>
      <c r="D1865" s="17">
        <f t="shared" si="1"/>
        <v>37185349</v>
      </c>
      <c r="E1865" s="4">
        <v>7.31</v>
      </c>
      <c r="F1865" s="4">
        <v>127.6</v>
      </c>
    </row>
    <row r="1866" ht="22.5" customHeight="1">
      <c r="C1866" s="4">
        <v>3.6885304E7</v>
      </c>
      <c r="D1866" s="17">
        <f t="shared" si="1"/>
        <v>37205352</v>
      </c>
      <c r="E1866" s="4">
        <v>7.31</v>
      </c>
      <c r="F1866" s="4">
        <v>127.6</v>
      </c>
    </row>
    <row r="1867" ht="22.5" customHeight="1">
      <c r="C1867" s="4">
        <v>3.6905307E7</v>
      </c>
      <c r="D1867" s="17">
        <f t="shared" si="1"/>
        <v>37225355</v>
      </c>
      <c r="E1867" s="4">
        <v>7.31</v>
      </c>
      <c r="F1867" s="4">
        <v>127.6</v>
      </c>
    </row>
    <row r="1868" ht="22.5" customHeight="1">
      <c r="C1868" s="4">
        <v>3.6925309E7</v>
      </c>
      <c r="D1868" s="17">
        <f t="shared" si="1"/>
        <v>37245357</v>
      </c>
      <c r="E1868" s="4">
        <v>7.31</v>
      </c>
      <c r="F1868" s="4">
        <v>127.6</v>
      </c>
    </row>
    <row r="1869" ht="22.5" customHeight="1">
      <c r="C1869" s="4">
        <v>3.6945312E7</v>
      </c>
      <c r="D1869" s="17">
        <f t="shared" si="1"/>
        <v>37265360</v>
      </c>
      <c r="E1869" s="4">
        <v>7.31</v>
      </c>
      <c r="F1869" s="4">
        <v>127.6</v>
      </c>
    </row>
    <row r="1870" ht="22.5" customHeight="1">
      <c r="C1870" s="4">
        <v>3.6965315E7</v>
      </c>
      <c r="D1870" s="17">
        <f t="shared" si="1"/>
        <v>37285363</v>
      </c>
      <c r="E1870" s="4">
        <v>7.31</v>
      </c>
      <c r="F1870" s="4">
        <v>127.6</v>
      </c>
    </row>
    <row r="1871" ht="22.5" customHeight="1">
      <c r="C1871" s="4">
        <v>3.6985319E7</v>
      </c>
      <c r="D1871" s="17">
        <f t="shared" si="1"/>
        <v>37305367</v>
      </c>
      <c r="E1871" s="4">
        <v>7.31</v>
      </c>
      <c r="F1871" s="4">
        <v>127.6</v>
      </c>
    </row>
    <row r="1872" ht="22.5" customHeight="1">
      <c r="C1872" s="4">
        <v>3.7005322E7</v>
      </c>
      <c r="D1872" s="17">
        <f t="shared" si="1"/>
        <v>37325370</v>
      </c>
      <c r="E1872" s="4">
        <v>7.31</v>
      </c>
      <c r="F1872" s="4">
        <v>127.6</v>
      </c>
    </row>
    <row r="1873" ht="22.5" customHeight="1">
      <c r="C1873" s="4">
        <v>3.7025325E7</v>
      </c>
      <c r="D1873" s="17">
        <f t="shared" si="1"/>
        <v>37345373</v>
      </c>
      <c r="E1873" s="4">
        <v>7.3</v>
      </c>
      <c r="F1873" s="4">
        <v>127.6</v>
      </c>
    </row>
    <row r="1874" ht="22.5" customHeight="1">
      <c r="C1874" s="4">
        <v>3.7045327E7</v>
      </c>
      <c r="D1874" s="17">
        <f t="shared" si="1"/>
        <v>37365375</v>
      </c>
      <c r="E1874" s="4">
        <v>7.3</v>
      </c>
      <c r="F1874" s="4">
        <v>127.5</v>
      </c>
    </row>
    <row r="1875" ht="22.5" customHeight="1">
      <c r="C1875" s="4">
        <v>3.706533E7</v>
      </c>
      <c r="D1875" s="17">
        <f t="shared" si="1"/>
        <v>37385378</v>
      </c>
      <c r="E1875" s="4">
        <v>7.3</v>
      </c>
      <c r="F1875" s="4">
        <v>127.5</v>
      </c>
    </row>
    <row r="1876" ht="22.5" customHeight="1">
      <c r="C1876" s="4">
        <v>3.7085333E7</v>
      </c>
      <c r="D1876" s="17">
        <f t="shared" si="1"/>
        <v>37405381</v>
      </c>
      <c r="E1876" s="4">
        <v>7.3</v>
      </c>
      <c r="F1876" s="4">
        <v>127.5</v>
      </c>
    </row>
    <row r="1877" ht="22.5" customHeight="1">
      <c r="C1877" s="4">
        <v>3.7105336E7</v>
      </c>
      <c r="D1877" s="17">
        <f t="shared" si="1"/>
        <v>37425384</v>
      </c>
      <c r="E1877" s="4">
        <v>7.3</v>
      </c>
      <c r="F1877" s="4">
        <v>127.5</v>
      </c>
    </row>
    <row r="1878" ht="22.5" customHeight="1">
      <c r="C1878" s="4">
        <v>3.7125339E7</v>
      </c>
      <c r="D1878" s="17">
        <f t="shared" si="1"/>
        <v>37445387</v>
      </c>
      <c r="E1878" s="4">
        <v>7.3</v>
      </c>
      <c r="F1878" s="4">
        <v>127.5</v>
      </c>
    </row>
    <row r="1879" ht="22.5" customHeight="1">
      <c r="C1879" s="4">
        <v>3.7145341E7</v>
      </c>
      <c r="D1879" s="17">
        <f t="shared" si="1"/>
        <v>37465389</v>
      </c>
      <c r="E1879" s="4">
        <v>7.3</v>
      </c>
      <c r="F1879" s="4">
        <v>127.5</v>
      </c>
    </row>
    <row r="1880" ht="22.5" customHeight="1">
      <c r="C1880" s="4">
        <v>3.7165344E7</v>
      </c>
      <c r="D1880" s="17">
        <f t="shared" si="1"/>
        <v>37485392</v>
      </c>
      <c r="E1880" s="4">
        <v>7.3</v>
      </c>
      <c r="F1880" s="4">
        <v>127.5</v>
      </c>
    </row>
    <row r="1881" ht="22.5" customHeight="1">
      <c r="C1881" s="4">
        <v>3.7185347E7</v>
      </c>
      <c r="D1881" s="17">
        <f t="shared" si="1"/>
        <v>37505395</v>
      </c>
      <c r="E1881" s="4">
        <v>7.3</v>
      </c>
      <c r="F1881" s="4">
        <v>127.5</v>
      </c>
    </row>
    <row r="1882" ht="22.5" customHeight="1">
      <c r="C1882" s="4">
        <v>3.720535E7</v>
      </c>
      <c r="D1882" s="17">
        <f t="shared" si="1"/>
        <v>37525398</v>
      </c>
      <c r="E1882" s="4">
        <v>7.3</v>
      </c>
      <c r="F1882" s="4">
        <v>127.4</v>
      </c>
    </row>
    <row r="1883" ht="22.5" customHeight="1">
      <c r="C1883" s="4">
        <v>3.7225353E7</v>
      </c>
      <c r="D1883" s="17">
        <f t="shared" si="1"/>
        <v>37545401</v>
      </c>
      <c r="E1883" s="4">
        <v>7.3</v>
      </c>
      <c r="F1883" s="4">
        <v>127.5</v>
      </c>
    </row>
    <row r="1884" ht="22.5" customHeight="1">
      <c r="C1884" s="4">
        <v>3.7245356E7</v>
      </c>
      <c r="D1884" s="17">
        <f t="shared" si="1"/>
        <v>37565404</v>
      </c>
      <c r="E1884" s="4">
        <v>7.3</v>
      </c>
      <c r="F1884" s="4">
        <v>127.4</v>
      </c>
    </row>
    <row r="1885" ht="22.5" customHeight="1">
      <c r="C1885" s="4">
        <v>3.7265359E7</v>
      </c>
      <c r="D1885" s="17">
        <f t="shared" si="1"/>
        <v>37585407</v>
      </c>
      <c r="E1885" s="4">
        <v>7.29</v>
      </c>
      <c r="F1885" s="4">
        <v>127.4</v>
      </c>
    </row>
    <row r="1886" ht="22.5" customHeight="1">
      <c r="C1886" s="4">
        <v>3.7285362E7</v>
      </c>
      <c r="D1886" s="17">
        <f t="shared" si="1"/>
        <v>37605410</v>
      </c>
      <c r="E1886" s="4">
        <v>7.29</v>
      </c>
      <c r="F1886" s="4">
        <v>127.4</v>
      </c>
    </row>
    <row r="1887" ht="22.5" customHeight="1">
      <c r="C1887" s="4">
        <v>3.7305365E7</v>
      </c>
      <c r="D1887" s="17">
        <f t="shared" si="1"/>
        <v>37625413</v>
      </c>
      <c r="E1887" s="4">
        <v>7.29</v>
      </c>
      <c r="F1887" s="4">
        <v>127.3</v>
      </c>
    </row>
    <row r="1888" ht="22.5" customHeight="1">
      <c r="C1888" s="4">
        <v>3.7325368E7</v>
      </c>
      <c r="D1888" s="17">
        <f t="shared" si="1"/>
        <v>37645416</v>
      </c>
      <c r="E1888" s="4">
        <v>7.29</v>
      </c>
      <c r="F1888" s="4">
        <v>127.3</v>
      </c>
    </row>
    <row r="1889" ht="22.5" customHeight="1">
      <c r="C1889" s="4">
        <v>3.7345371E7</v>
      </c>
      <c r="D1889" s="17">
        <f t="shared" si="1"/>
        <v>37665419</v>
      </c>
      <c r="E1889" s="4">
        <v>7.29</v>
      </c>
      <c r="F1889" s="4">
        <v>127.3</v>
      </c>
    </row>
    <row r="1890" ht="22.5" customHeight="1">
      <c r="C1890" s="4">
        <v>3.7365373E7</v>
      </c>
      <c r="D1890" s="17">
        <f t="shared" si="1"/>
        <v>37685421</v>
      </c>
      <c r="E1890" s="4">
        <v>7.29</v>
      </c>
      <c r="F1890" s="4">
        <v>127.2</v>
      </c>
    </row>
    <row r="1891" ht="22.5" customHeight="1">
      <c r="C1891" s="4">
        <v>3.7385376E7</v>
      </c>
      <c r="D1891" s="17">
        <f t="shared" si="1"/>
        <v>37705424</v>
      </c>
      <c r="E1891" s="4">
        <v>7.29</v>
      </c>
      <c r="F1891" s="4">
        <v>127.3</v>
      </c>
    </row>
    <row r="1892" ht="22.5" customHeight="1">
      <c r="C1892" s="4">
        <v>3.7405379E7</v>
      </c>
      <c r="D1892" s="17">
        <f t="shared" si="1"/>
        <v>37725427</v>
      </c>
      <c r="E1892" s="4">
        <v>7.29</v>
      </c>
      <c r="F1892" s="4">
        <v>127.2</v>
      </c>
    </row>
    <row r="1893" ht="22.5" customHeight="1">
      <c r="C1893" s="4">
        <v>3.7425382E7</v>
      </c>
      <c r="D1893" s="17">
        <f t="shared" si="1"/>
        <v>37745430</v>
      </c>
      <c r="E1893" s="4">
        <v>7.29</v>
      </c>
      <c r="F1893" s="4">
        <v>127.2</v>
      </c>
    </row>
    <row r="1894" ht="22.5" customHeight="1">
      <c r="C1894" s="4">
        <v>3.7445385E7</v>
      </c>
      <c r="D1894" s="17">
        <f t="shared" si="1"/>
        <v>37765433</v>
      </c>
      <c r="E1894" s="4">
        <v>7.28</v>
      </c>
      <c r="F1894" s="4">
        <v>127.2</v>
      </c>
    </row>
    <row r="1895" ht="22.5" customHeight="1">
      <c r="C1895" s="4">
        <v>3.7465388E7</v>
      </c>
      <c r="D1895" s="17">
        <f t="shared" si="1"/>
        <v>37785436</v>
      </c>
      <c r="E1895" s="4">
        <v>7.28</v>
      </c>
      <c r="F1895" s="4">
        <v>127.2</v>
      </c>
    </row>
    <row r="1896" ht="22.5" customHeight="1">
      <c r="C1896" s="4">
        <v>3.748539E7</v>
      </c>
      <c r="D1896" s="17">
        <f t="shared" si="1"/>
        <v>37805438</v>
      </c>
      <c r="E1896" s="4">
        <v>7.28</v>
      </c>
      <c r="F1896" s="4">
        <v>127.2</v>
      </c>
    </row>
    <row r="1897" ht="22.5" customHeight="1">
      <c r="C1897" s="4">
        <v>3.7505393E7</v>
      </c>
      <c r="D1897" s="17">
        <f t="shared" si="1"/>
        <v>37825441</v>
      </c>
      <c r="E1897" s="4">
        <v>7.28</v>
      </c>
      <c r="F1897" s="4">
        <v>127.1</v>
      </c>
    </row>
    <row r="1898" ht="22.5" customHeight="1">
      <c r="C1898" s="4">
        <v>3.7525396E7</v>
      </c>
      <c r="D1898" s="17">
        <f t="shared" si="1"/>
        <v>37845444</v>
      </c>
      <c r="E1898" s="4">
        <v>7.28</v>
      </c>
      <c r="F1898" s="4">
        <v>127.1</v>
      </c>
    </row>
    <row r="1899" ht="22.5" customHeight="1">
      <c r="C1899" s="4">
        <v>3.75454E7</v>
      </c>
      <c r="D1899" s="17">
        <f t="shared" si="1"/>
        <v>37865448</v>
      </c>
      <c r="E1899" s="4">
        <v>7.28</v>
      </c>
      <c r="F1899" s="4">
        <v>127.1</v>
      </c>
    </row>
    <row r="1900" ht="22.5" customHeight="1">
      <c r="C1900" s="4">
        <v>3.7565403E7</v>
      </c>
      <c r="D1900" s="17">
        <f t="shared" si="1"/>
        <v>37885451</v>
      </c>
      <c r="E1900" s="4">
        <v>7.28</v>
      </c>
      <c r="F1900" s="4">
        <v>127.0</v>
      </c>
    </row>
    <row r="1901" ht="22.5" customHeight="1">
      <c r="C1901" s="4">
        <v>3.7585405E7</v>
      </c>
      <c r="D1901" s="17">
        <f t="shared" si="1"/>
        <v>37905453</v>
      </c>
      <c r="E1901" s="4">
        <v>7.28</v>
      </c>
      <c r="F1901" s="4">
        <v>127.0</v>
      </c>
    </row>
    <row r="1902" ht="22.5" customHeight="1">
      <c r="C1902" s="4">
        <v>3.7605408E7</v>
      </c>
      <c r="D1902" s="17">
        <f t="shared" si="1"/>
        <v>37925456</v>
      </c>
      <c r="E1902" s="4">
        <v>7.27</v>
      </c>
      <c r="F1902" s="4">
        <v>127.0</v>
      </c>
    </row>
    <row r="1903" ht="22.5" customHeight="1">
      <c r="C1903" s="4">
        <v>3.7625411E7</v>
      </c>
      <c r="D1903" s="17">
        <f t="shared" si="1"/>
        <v>37945459</v>
      </c>
      <c r="E1903" s="4">
        <v>7.27</v>
      </c>
      <c r="F1903" s="4">
        <v>127.0</v>
      </c>
    </row>
    <row r="1904" ht="22.5" customHeight="1">
      <c r="C1904" s="4">
        <v>3.7645414E7</v>
      </c>
      <c r="D1904" s="17">
        <f t="shared" si="1"/>
        <v>37965462</v>
      </c>
      <c r="E1904" s="4">
        <v>7.27</v>
      </c>
      <c r="F1904" s="4">
        <v>126.9</v>
      </c>
    </row>
    <row r="1905" ht="22.5" customHeight="1">
      <c r="C1905" s="4">
        <v>3.7665417E7</v>
      </c>
      <c r="D1905" s="17">
        <f t="shared" si="1"/>
        <v>37985465</v>
      </c>
      <c r="E1905" s="4">
        <v>7.27</v>
      </c>
      <c r="F1905" s="4">
        <v>126.9</v>
      </c>
    </row>
    <row r="1906" ht="22.5" customHeight="1">
      <c r="C1906" s="4">
        <v>3.768542E7</v>
      </c>
      <c r="D1906" s="17">
        <f t="shared" si="1"/>
        <v>38005468</v>
      </c>
      <c r="E1906" s="4">
        <v>7.27</v>
      </c>
      <c r="F1906" s="4">
        <v>126.8</v>
      </c>
    </row>
    <row r="1907" ht="22.5" customHeight="1">
      <c r="C1907" s="4">
        <v>3.7705422E7</v>
      </c>
      <c r="D1907" s="17">
        <f t="shared" si="1"/>
        <v>38025470</v>
      </c>
      <c r="E1907" s="4">
        <v>7.27</v>
      </c>
      <c r="F1907" s="4">
        <v>126.8</v>
      </c>
    </row>
    <row r="1908" ht="22.5" customHeight="1">
      <c r="C1908" s="4">
        <v>3.7725425E7</v>
      </c>
      <c r="D1908" s="17">
        <f t="shared" si="1"/>
        <v>38045473</v>
      </c>
      <c r="E1908" s="4">
        <v>7.26</v>
      </c>
      <c r="F1908" s="4">
        <v>126.9</v>
      </c>
    </row>
    <row r="1909" ht="22.5" customHeight="1">
      <c r="C1909" s="4">
        <v>3.7745428E7</v>
      </c>
      <c r="D1909" s="17">
        <f t="shared" si="1"/>
        <v>38065476</v>
      </c>
      <c r="E1909" s="4">
        <v>7.27</v>
      </c>
      <c r="F1909" s="4">
        <v>126.8</v>
      </c>
    </row>
    <row r="1910" ht="22.5" customHeight="1">
      <c r="C1910" s="4">
        <v>3.7765431E7</v>
      </c>
      <c r="D1910" s="17">
        <f t="shared" si="1"/>
        <v>38085479</v>
      </c>
      <c r="E1910" s="4">
        <v>7.26</v>
      </c>
      <c r="F1910" s="4">
        <v>126.8</v>
      </c>
    </row>
    <row r="1911" ht="22.5" customHeight="1">
      <c r="C1911" s="4">
        <v>3.7785434E7</v>
      </c>
      <c r="D1911" s="17">
        <f t="shared" si="1"/>
        <v>38105482</v>
      </c>
      <c r="E1911" s="4">
        <v>7.26</v>
      </c>
      <c r="F1911" s="4">
        <v>126.8</v>
      </c>
    </row>
    <row r="1912" ht="22.5" customHeight="1">
      <c r="C1912" s="4">
        <v>3.7805436E7</v>
      </c>
      <c r="D1912" s="17">
        <f t="shared" si="1"/>
        <v>38125484</v>
      </c>
      <c r="E1912" s="4">
        <v>7.26</v>
      </c>
      <c r="F1912" s="4">
        <v>126.8</v>
      </c>
    </row>
    <row r="1913" ht="22.5" customHeight="1">
      <c r="C1913" s="4">
        <v>3.782544E7</v>
      </c>
      <c r="D1913" s="17">
        <f t="shared" si="1"/>
        <v>38145488</v>
      </c>
      <c r="E1913" s="4">
        <v>7.26</v>
      </c>
      <c r="F1913" s="4">
        <v>126.7</v>
      </c>
    </row>
    <row r="1914" ht="22.5" customHeight="1">
      <c r="C1914" s="4">
        <v>3.7845443E7</v>
      </c>
      <c r="D1914" s="17">
        <f t="shared" si="1"/>
        <v>38165491</v>
      </c>
      <c r="E1914" s="4">
        <v>7.26</v>
      </c>
      <c r="F1914" s="4">
        <v>126.7</v>
      </c>
    </row>
    <row r="1915" ht="22.5" customHeight="1">
      <c r="C1915" s="4">
        <v>3.7865446E7</v>
      </c>
      <c r="D1915" s="17">
        <f t="shared" si="1"/>
        <v>38185494</v>
      </c>
      <c r="E1915" s="4">
        <v>7.26</v>
      </c>
      <c r="F1915" s="4">
        <v>126.7</v>
      </c>
    </row>
    <row r="1916" ht="22.5" customHeight="1">
      <c r="C1916" s="4">
        <v>3.7885449E7</v>
      </c>
      <c r="D1916" s="17">
        <f t="shared" si="1"/>
        <v>38205497</v>
      </c>
      <c r="E1916" s="4">
        <v>7.26</v>
      </c>
      <c r="F1916" s="4">
        <v>126.7</v>
      </c>
    </row>
    <row r="1917" ht="22.5" customHeight="1">
      <c r="C1917" s="4">
        <v>3.7905452E7</v>
      </c>
      <c r="D1917" s="17">
        <f t="shared" si="1"/>
        <v>38225500</v>
      </c>
      <c r="E1917" s="4">
        <v>7.26</v>
      </c>
      <c r="F1917" s="4">
        <v>126.6</v>
      </c>
    </row>
    <row r="1918" ht="22.5" customHeight="1">
      <c r="C1918" s="4">
        <v>3.7925454E7</v>
      </c>
      <c r="D1918" s="17">
        <f t="shared" si="1"/>
        <v>38245502</v>
      </c>
      <c r="E1918" s="4">
        <v>7.25</v>
      </c>
      <c r="F1918" s="4">
        <v>126.5</v>
      </c>
    </row>
    <row r="1919" ht="22.5" customHeight="1">
      <c r="C1919" s="4">
        <v>3.7945457E7</v>
      </c>
      <c r="D1919" s="17">
        <f t="shared" si="1"/>
        <v>38265505</v>
      </c>
      <c r="E1919" s="4">
        <v>7.25</v>
      </c>
      <c r="F1919" s="4">
        <v>126.5</v>
      </c>
    </row>
    <row r="1920" ht="22.5" customHeight="1">
      <c r="C1920" s="4">
        <v>3.796546E7</v>
      </c>
      <c r="D1920" s="17">
        <f t="shared" si="1"/>
        <v>38285508</v>
      </c>
      <c r="E1920" s="4">
        <v>7.25</v>
      </c>
      <c r="F1920" s="4">
        <v>126.5</v>
      </c>
    </row>
    <row r="1921" ht="22.5" customHeight="1">
      <c r="C1921" s="4">
        <v>3.7985463E7</v>
      </c>
      <c r="D1921" s="17">
        <f t="shared" si="1"/>
        <v>38305511</v>
      </c>
      <c r="E1921" s="4">
        <v>7.25</v>
      </c>
      <c r="F1921" s="4">
        <v>126.5</v>
      </c>
    </row>
    <row r="1922" ht="22.5" customHeight="1">
      <c r="C1922" s="4">
        <v>3.8005466E7</v>
      </c>
      <c r="D1922" s="17">
        <f t="shared" si="1"/>
        <v>38325514</v>
      </c>
      <c r="E1922" s="4">
        <v>7.24</v>
      </c>
      <c r="F1922" s="4">
        <v>126.5</v>
      </c>
    </row>
    <row r="1923" ht="22.5" customHeight="1">
      <c r="C1923" s="4">
        <v>3.8025468E7</v>
      </c>
      <c r="D1923" s="17">
        <f t="shared" si="1"/>
        <v>38345516</v>
      </c>
      <c r="E1923" s="4">
        <v>7.24</v>
      </c>
      <c r="F1923" s="4">
        <v>126.4</v>
      </c>
    </row>
    <row r="1924" ht="22.5" customHeight="1">
      <c r="C1924" s="4">
        <v>3.8045471E7</v>
      </c>
      <c r="D1924" s="17">
        <f t="shared" si="1"/>
        <v>38365519</v>
      </c>
      <c r="E1924" s="4">
        <v>7.24</v>
      </c>
      <c r="F1924" s="4">
        <v>126.4</v>
      </c>
    </row>
    <row r="1925" ht="22.5" customHeight="1">
      <c r="C1925" s="4">
        <v>3.8065474E7</v>
      </c>
      <c r="D1925" s="17">
        <f t="shared" si="1"/>
        <v>38385522</v>
      </c>
      <c r="E1925" s="4">
        <v>7.24</v>
      </c>
      <c r="F1925" s="4">
        <v>126.3</v>
      </c>
    </row>
    <row r="1926" ht="22.5" customHeight="1">
      <c r="C1926" s="4">
        <v>3.8085477E7</v>
      </c>
      <c r="D1926" s="17">
        <f t="shared" si="1"/>
        <v>38405525</v>
      </c>
      <c r="E1926" s="4">
        <v>7.24</v>
      </c>
      <c r="F1926" s="4">
        <v>126.3</v>
      </c>
    </row>
    <row r="1927" ht="22.5" customHeight="1">
      <c r="C1927" s="4">
        <v>3.8105481E7</v>
      </c>
      <c r="D1927" s="17">
        <f t="shared" si="1"/>
        <v>38425529</v>
      </c>
      <c r="E1927" s="4">
        <v>7.24</v>
      </c>
      <c r="F1927" s="4">
        <v>126.3</v>
      </c>
    </row>
    <row r="1928" ht="22.5" customHeight="1">
      <c r="C1928" s="4">
        <v>3.8125484E7</v>
      </c>
      <c r="D1928" s="17">
        <f t="shared" si="1"/>
        <v>38445532</v>
      </c>
      <c r="E1928" s="4">
        <v>7.23</v>
      </c>
      <c r="F1928" s="4">
        <v>126.2</v>
      </c>
    </row>
    <row r="1929" ht="22.5" customHeight="1">
      <c r="C1929" s="4">
        <v>3.8145486E7</v>
      </c>
      <c r="D1929" s="17">
        <f t="shared" si="1"/>
        <v>38465534</v>
      </c>
      <c r="E1929" s="4">
        <v>7.23</v>
      </c>
      <c r="F1929" s="4">
        <v>126.1</v>
      </c>
    </row>
    <row r="1930" ht="22.5" customHeight="1">
      <c r="C1930" s="4">
        <v>3.8165489E7</v>
      </c>
      <c r="D1930" s="17">
        <f t="shared" si="1"/>
        <v>38485537</v>
      </c>
      <c r="E1930" s="4">
        <v>7.23</v>
      </c>
      <c r="F1930" s="4">
        <v>126.2</v>
      </c>
    </row>
    <row r="1931" ht="22.5" customHeight="1">
      <c r="C1931" s="4">
        <v>3.8185492E7</v>
      </c>
      <c r="D1931" s="17">
        <f t="shared" si="1"/>
        <v>38505540</v>
      </c>
      <c r="E1931" s="4">
        <v>7.22</v>
      </c>
      <c r="F1931" s="4">
        <v>126.0</v>
      </c>
    </row>
    <row r="1932" ht="22.5" customHeight="1">
      <c r="C1932" s="4">
        <v>3.8205495E7</v>
      </c>
      <c r="D1932" s="17">
        <f t="shared" si="1"/>
        <v>38525543</v>
      </c>
      <c r="E1932" s="4">
        <v>7.22</v>
      </c>
      <c r="F1932" s="4">
        <v>126.0</v>
      </c>
    </row>
    <row r="1933" ht="22.5" customHeight="1">
      <c r="C1933" s="4">
        <v>3.8225498E7</v>
      </c>
      <c r="D1933" s="17">
        <f t="shared" si="1"/>
        <v>38545546</v>
      </c>
      <c r="E1933" s="4">
        <v>7.22</v>
      </c>
      <c r="F1933" s="4">
        <v>125.9</v>
      </c>
    </row>
    <row r="1934" ht="22.5" customHeight="1">
      <c r="C1934" s="4">
        <v>3.82455E7</v>
      </c>
      <c r="D1934" s="17">
        <f t="shared" si="1"/>
        <v>38565548</v>
      </c>
      <c r="E1934" s="4">
        <v>7.22</v>
      </c>
      <c r="F1934" s="4">
        <v>125.9</v>
      </c>
    </row>
    <row r="1935" ht="22.5" customHeight="1">
      <c r="C1935" s="4">
        <v>3.8265503E7</v>
      </c>
      <c r="D1935" s="17">
        <f t="shared" si="1"/>
        <v>38585551</v>
      </c>
      <c r="E1935" s="4">
        <v>7.22</v>
      </c>
      <c r="F1935" s="4">
        <v>125.9</v>
      </c>
    </row>
    <row r="1936" ht="22.5" customHeight="1">
      <c r="C1936" s="4">
        <v>3.8285506E7</v>
      </c>
      <c r="D1936" s="17">
        <f t="shared" si="1"/>
        <v>38605554</v>
      </c>
      <c r="E1936" s="4">
        <v>7.21</v>
      </c>
      <c r="F1936" s="4">
        <v>125.8</v>
      </c>
    </row>
    <row r="1937" ht="22.5" customHeight="1">
      <c r="C1937" s="4">
        <v>3.8305509E7</v>
      </c>
      <c r="D1937" s="17">
        <f t="shared" si="1"/>
        <v>38625557</v>
      </c>
      <c r="E1937" s="4">
        <v>7.21</v>
      </c>
      <c r="F1937" s="4">
        <v>125.8</v>
      </c>
    </row>
    <row r="1938" ht="22.5" customHeight="1">
      <c r="C1938" s="4">
        <v>3.8325512E7</v>
      </c>
      <c r="D1938" s="17">
        <f t="shared" si="1"/>
        <v>38645560</v>
      </c>
      <c r="E1938" s="4">
        <v>7.21</v>
      </c>
      <c r="F1938" s="4">
        <v>125.8</v>
      </c>
    </row>
    <row r="1939" ht="22.5" customHeight="1">
      <c r="C1939" s="4">
        <v>3.8345515E7</v>
      </c>
      <c r="D1939" s="17">
        <f t="shared" si="1"/>
        <v>38665563</v>
      </c>
      <c r="E1939" s="4">
        <v>7.2</v>
      </c>
      <c r="F1939" s="4">
        <v>125.7</v>
      </c>
    </row>
    <row r="1940" ht="22.5" customHeight="1">
      <c r="C1940" s="4">
        <v>3.8365518E7</v>
      </c>
      <c r="D1940" s="17">
        <f t="shared" si="1"/>
        <v>38685566</v>
      </c>
      <c r="E1940" s="4">
        <v>7.2</v>
      </c>
      <c r="F1940" s="4">
        <v>125.6</v>
      </c>
    </row>
    <row r="1941" ht="22.5" customHeight="1">
      <c r="C1941" s="4">
        <v>3.8385521E7</v>
      </c>
      <c r="D1941" s="17">
        <f t="shared" si="1"/>
        <v>38705569</v>
      </c>
      <c r="E1941" s="4">
        <v>7.2</v>
      </c>
      <c r="F1941" s="4">
        <v>125.6</v>
      </c>
    </row>
    <row r="1942" ht="22.5" customHeight="1">
      <c r="C1942" s="4">
        <v>3.8405524E7</v>
      </c>
      <c r="D1942" s="17">
        <f t="shared" si="1"/>
        <v>38725572</v>
      </c>
      <c r="E1942" s="4">
        <v>7.2</v>
      </c>
      <c r="F1942" s="4">
        <v>125.5</v>
      </c>
    </row>
    <row r="1943" ht="22.5" customHeight="1">
      <c r="C1943" s="4">
        <v>3.8425527E7</v>
      </c>
      <c r="D1943" s="17">
        <f t="shared" si="1"/>
        <v>38745575</v>
      </c>
      <c r="E1943" s="4">
        <v>7.19</v>
      </c>
      <c r="F1943" s="4">
        <v>125.4</v>
      </c>
    </row>
    <row r="1944" ht="22.5" customHeight="1">
      <c r="C1944" s="4">
        <v>3.844553E7</v>
      </c>
      <c r="D1944" s="17">
        <f t="shared" si="1"/>
        <v>38765578</v>
      </c>
      <c r="E1944" s="4">
        <v>7.19</v>
      </c>
      <c r="F1944" s="4">
        <v>125.4</v>
      </c>
    </row>
    <row r="1945" ht="22.5" customHeight="1">
      <c r="C1945" s="4">
        <v>3.8465532E7</v>
      </c>
      <c r="D1945" s="17">
        <f t="shared" si="1"/>
        <v>38785580</v>
      </c>
      <c r="E1945" s="4">
        <v>7.18</v>
      </c>
      <c r="F1945" s="4">
        <v>125.3</v>
      </c>
    </row>
    <row r="1946" ht="22.5" customHeight="1">
      <c r="C1946" s="4">
        <v>3.8485535E7</v>
      </c>
      <c r="D1946" s="17">
        <f t="shared" si="1"/>
        <v>38805583</v>
      </c>
      <c r="E1946" s="4">
        <v>7.18</v>
      </c>
      <c r="F1946" s="4">
        <v>125.3</v>
      </c>
    </row>
    <row r="1947" ht="22.5" customHeight="1">
      <c r="C1947" s="4">
        <v>3.8505538E7</v>
      </c>
      <c r="D1947" s="17">
        <f t="shared" si="1"/>
        <v>38825586</v>
      </c>
      <c r="E1947" s="4">
        <v>7.18</v>
      </c>
      <c r="F1947" s="4">
        <v>125.2</v>
      </c>
    </row>
    <row r="1948" ht="22.5" customHeight="1">
      <c r="C1948" s="4">
        <v>3.8525541E7</v>
      </c>
      <c r="D1948" s="17">
        <f t="shared" si="1"/>
        <v>38845589</v>
      </c>
      <c r="E1948" s="4">
        <v>7.17</v>
      </c>
      <c r="F1948" s="4">
        <v>125.1</v>
      </c>
    </row>
    <row r="1949" ht="22.5" customHeight="1">
      <c r="C1949" s="4">
        <v>3.8545544E7</v>
      </c>
      <c r="D1949" s="17">
        <f t="shared" si="1"/>
        <v>38865592</v>
      </c>
      <c r="E1949" s="4">
        <v>7.17</v>
      </c>
      <c r="F1949" s="4">
        <v>125.0</v>
      </c>
    </row>
    <row r="1950" ht="22.5" customHeight="1">
      <c r="C1950" s="4">
        <v>3.8565547E7</v>
      </c>
      <c r="D1950" s="17">
        <f t="shared" si="1"/>
        <v>38885595</v>
      </c>
      <c r="E1950" s="4">
        <v>7.16</v>
      </c>
      <c r="F1950" s="4">
        <v>125.0</v>
      </c>
    </row>
    <row r="1951" ht="22.5" customHeight="1">
      <c r="C1951" s="4">
        <v>3.8585549E7</v>
      </c>
      <c r="D1951" s="17">
        <f t="shared" si="1"/>
        <v>38905597</v>
      </c>
      <c r="E1951" s="4">
        <v>7.16</v>
      </c>
      <c r="F1951" s="4">
        <v>124.9</v>
      </c>
    </row>
    <row r="1952" ht="22.5" customHeight="1">
      <c r="C1952" s="4">
        <v>3.8605552E7</v>
      </c>
      <c r="D1952" s="17">
        <f t="shared" si="1"/>
        <v>38925600</v>
      </c>
      <c r="E1952" s="4">
        <v>7.16</v>
      </c>
      <c r="F1952" s="4">
        <v>124.8</v>
      </c>
    </row>
    <row r="1953" ht="22.5" customHeight="1">
      <c r="C1953" s="4">
        <v>3.8625555E7</v>
      </c>
      <c r="D1953" s="17">
        <f t="shared" si="1"/>
        <v>38945603</v>
      </c>
      <c r="E1953" s="4">
        <v>7.15</v>
      </c>
      <c r="F1953" s="4">
        <v>124.8</v>
      </c>
    </row>
    <row r="1954" ht="22.5" customHeight="1">
      <c r="C1954" s="4">
        <v>3.8645559E7</v>
      </c>
      <c r="D1954" s="17">
        <f t="shared" si="1"/>
        <v>38965607</v>
      </c>
      <c r="E1954" s="4">
        <v>7.15</v>
      </c>
      <c r="F1954" s="4">
        <v>124.7</v>
      </c>
    </row>
    <row r="1955" ht="22.5" customHeight="1">
      <c r="C1955" s="4">
        <v>3.8665562E7</v>
      </c>
      <c r="D1955" s="17">
        <f t="shared" si="1"/>
        <v>38985610</v>
      </c>
      <c r="E1955" s="4">
        <v>7.14</v>
      </c>
      <c r="F1955" s="4">
        <v>124.6</v>
      </c>
    </row>
    <row r="1956" ht="22.5" customHeight="1">
      <c r="C1956" s="4">
        <v>3.8685564E7</v>
      </c>
      <c r="D1956" s="17">
        <f t="shared" si="1"/>
        <v>39005612</v>
      </c>
      <c r="E1956" s="4">
        <v>7.14</v>
      </c>
      <c r="F1956" s="4">
        <v>124.5</v>
      </c>
    </row>
    <row r="1957" ht="22.5" customHeight="1">
      <c r="C1957" s="4">
        <v>3.8705567E7</v>
      </c>
      <c r="D1957" s="17">
        <f t="shared" si="1"/>
        <v>39025615</v>
      </c>
      <c r="E1957" s="4">
        <v>7.14</v>
      </c>
      <c r="F1957" s="4">
        <v>124.4</v>
      </c>
    </row>
    <row r="1958" ht="22.5" customHeight="1">
      <c r="C1958" s="4">
        <v>3.872557E7</v>
      </c>
      <c r="D1958" s="17">
        <f t="shared" si="1"/>
        <v>39045618</v>
      </c>
      <c r="E1958" s="4">
        <v>7.13</v>
      </c>
      <c r="F1958" s="4">
        <v>124.4</v>
      </c>
    </row>
    <row r="1959" ht="22.5" customHeight="1">
      <c r="C1959" s="4">
        <v>3.8745573E7</v>
      </c>
      <c r="D1959" s="17">
        <f t="shared" si="1"/>
        <v>39065621</v>
      </c>
      <c r="E1959" s="4">
        <v>7.12</v>
      </c>
      <c r="F1959" s="4">
        <v>124.3</v>
      </c>
    </row>
    <row r="1960" ht="22.5" customHeight="1">
      <c r="C1960" s="4">
        <v>3.8765576E7</v>
      </c>
      <c r="D1960" s="17">
        <f t="shared" si="1"/>
        <v>39085624</v>
      </c>
      <c r="E1960" s="4">
        <v>7.12</v>
      </c>
      <c r="F1960" s="4">
        <v>124.2</v>
      </c>
    </row>
    <row r="1961" ht="22.5" customHeight="1">
      <c r="C1961" s="4">
        <v>3.8785579E7</v>
      </c>
      <c r="D1961" s="17">
        <f t="shared" si="1"/>
        <v>39105627</v>
      </c>
      <c r="E1961" s="4">
        <v>7.12</v>
      </c>
      <c r="F1961" s="4">
        <v>124.1</v>
      </c>
    </row>
    <row r="1962" ht="22.5" customHeight="1">
      <c r="C1962" s="4">
        <v>3.8805581E7</v>
      </c>
      <c r="D1962" s="17">
        <f t="shared" si="1"/>
        <v>39125629</v>
      </c>
      <c r="E1962" s="4">
        <v>7.11</v>
      </c>
      <c r="F1962" s="4">
        <v>123.9</v>
      </c>
    </row>
    <row r="1963" ht="22.5" customHeight="1">
      <c r="C1963" s="4">
        <v>3.8825584E7</v>
      </c>
      <c r="D1963" s="17">
        <f t="shared" si="1"/>
        <v>39145632</v>
      </c>
      <c r="E1963" s="4">
        <v>7.1</v>
      </c>
      <c r="F1963" s="4">
        <v>123.9</v>
      </c>
    </row>
    <row r="1964" ht="22.5" customHeight="1">
      <c r="C1964" s="4">
        <v>3.8845587E7</v>
      </c>
      <c r="D1964" s="17">
        <f t="shared" si="1"/>
        <v>39165635</v>
      </c>
      <c r="E1964" s="4">
        <v>7.1</v>
      </c>
      <c r="F1964" s="4">
        <v>123.8</v>
      </c>
    </row>
    <row r="1965" ht="22.5" customHeight="1">
      <c r="C1965" s="4">
        <v>3.886559E7</v>
      </c>
      <c r="D1965" s="17">
        <f t="shared" si="1"/>
        <v>39185638</v>
      </c>
      <c r="E1965" s="4">
        <v>7.1</v>
      </c>
      <c r="F1965" s="4">
        <v>123.7</v>
      </c>
    </row>
    <row r="1966" ht="22.5" customHeight="1">
      <c r="C1966" s="4">
        <v>3.8885593E7</v>
      </c>
      <c r="D1966" s="17">
        <f t="shared" si="1"/>
        <v>39205641</v>
      </c>
      <c r="E1966" s="4">
        <v>7.09</v>
      </c>
      <c r="F1966" s="4">
        <v>123.6</v>
      </c>
    </row>
    <row r="1967" ht="22.5" customHeight="1">
      <c r="C1967" s="4">
        <v>3.8905595E7</v>
      </c>
      <c r="D1967" s="17">
        <f t="shared" si="1"/>
        <v>39225643</v>
      </c>
      <c r="E1967" s="4">
        <v>7.08</v>
      </c>
      <c r="F1967" s="4">
        <v>123.5</v>
      </c>
    </row>
    <row r="1968" ht="22.5" customHeight="1">
      <c r="C1968" s="4">
        <v>3.8925599E7</v>
      </c>
      <c r="D1968" s="17">
        <f t="shared" si="1"/>
        <v>39245647</v>
      </c>
      <c r="E1968" s="4">
        <v>7.08</v>
      </c>
      <c r="F1968" s="4">
        <v>123.4</v>
      </c>
    </row>
    <row r="1969" ht="22.5" customHeight="1">
      <c r="C1969" s="4">
        <v>3.8945602E7</v>
      </c>
      <c r="D1969" s="17">
        <f t="shared" si="1"/>
        <v>39265650</v>
      </c>
      <c r="E1969" s="4">
        <v>7.07</v>
      </c>
      <c r="F1969" s="4">
        <v>123.3</v>
      </c>
    </row>
    <row r="1970" ht="22.5" customHeight="1">
      <c r="C1970" s="4">
        <v>3.8965605E7</v>
      </c>
      <c r="D1970" s="17">
        <f t="shared" si="1"/>
        <v>39285653</v>
      </c>
      <c r="E1970" s="4">
        <v>7.07</v>
      </c>
      <c r="F1970" s="4">
        <v>123.1</v>
      </c>
    </row>
    <row r="1971" ht="22.5" customHeight="1">
      <c r="C1971" s="4">
        <v>3.8985608E7</v>
      </c>
      <c r="D1971" s="17">
        <f t="shared" si="1"/>
        <v>39305656</v>
      </c>
      <c r="E1971" s="4">
        <v>7.06</v>
      </c>
      <c r="F1971" s="4">
        <v>123.1</v>
      </c>
    </row>
    <row r="1972" ht="22.5" customHeight="1">
      <c r="C1972" s="4">
        <v>3.9005611E7</v>
      </c>
      <c r="D1972" s="17">
        <f t="shared" si="1"/>
        <v>39325659</v>
      </c>
      <c r="E1972" s="4">
        <v>7.05</v>
      </c>
      <c r="F1972" s="4">
        <v>123.0</v>
      </c>
    </row>
    <row r="1973" ht="22.5" customHeight="1">
      <c r="C1973" s="4">
        <v>3.9025613E7</v>
      </c>
      <c r="D1973" s="17">
        <f t="shared" si="1"/>
        <v>39345661</v>
      </c>
      <c r="E1973" s="4">
        <v>7.05</v>
      </c>
      <c r="F1973" s="4">
        <v>122.9</v>
      </c>
    </row>
    <row r="1974" ht="22.5" customHeight="1">
      <c r="C1974" s="4">
        <v>3.9045616E7</v>
      </c>
      <c r="D1974" s="17">
        <f t="shared" si="1"/>
        <v>39365664</v>
      </c>
      <c r="E1974" s="4">
        <v>7.04</v>
      </c>
      <c r="F1974" s="4">
        <v>122.8</v>
      </c>
    </row>
    <row r="1975" ht="22.5" customHeight="1">
      <c r="C1975" s="4">
        <v>3.9065619E7</v>
      </c>
      <c r="D1975" s="17">
        <f t="shared" si="1"/>
        <v>39385667</v>
      </c>
      <c r="E1975" s="4">
        <v>7.04</v>
      </c>
      <c r="F1975" s="4">
        <v>122.6</v>
      </c>
    </row>
    <row r="1976" ht="22.5" customHeight="1">
      <c r="C1976" s="4">
        <v>3.9085622E7</v>
      </c>
      <c r="D1976" s="17">
        <f t="shared" si="1"/>
        <v>39405670</v>
      </c>
      <c r="E1976" s="4">
        <v>7.03</v>
      </c>
      <c r="F1976" s="4">
        <v>122.5</v>
      </c>
    </row>
    <row r="1977" ht="22.5" customHeight="1">
      <c r="C1977" s="4">
        <v>3.9105625E7</v>
      </c>
      <c r="D1977" s="17">
        <f t="shared" si="1"/>
        <v>39425673</v>
      </c>
      <c r="E1977" s="4">
        <v>7.02</v>
      </c>
      <c r="F1977" s="4">
        <v>122.4</v>
      </c>
    </row>
    <row r="1978" ht="22.5" customHeight="1">
      <c r="C1978" s="4">
        <v>3.9125627E7</v>
      </c>
      <c r="D1978" s="17">
        <f t="shared" si="1"/>
        <v>39445675</v>
      </c>
      <c r="E1978" s="4">
        <v>7.02</v>
      </c>
      <c r="F1978" s="4">
        <v>122.2</v>
      </c>
    </row>
    <row r="1979" ht="22.5" customHeight="1">
      <c r="C1979" s="4">
        <v>3.914563E7</v>
      </c>
      <c r="D1979" s="17">
        <f t="shared" si="1"/>
        <v>39465678</v>
      </c>
      <c r="E1979" s="4">
        <v>7.01</v>
      </c>
      <c r="F1979" s="4">
        <v>122.2</v>
      </c>
    </row>
    <row r="1980" ht="22.5" customHeight="1">
      <c r="C1980" s="4">
        <v>3.9165633E7</v>
      </c>
      <c r="D1980" s="17">
        <f t="shared" si="1"/>
        <v>39485681</v>
      </c>
      <c r="E1980" s="4">
        <v>7.0</v>
      </c>
      <c r="F1980" s="4">
        <v>122.0</v>
      </c>
    </row>
    <row r="1981" ht="22.5" customHeight="1">
      <c r="C1981" s="4">
        <v>3.9185636E7</v>
      </c>
      <c r="D1981" s="17">
        <f t="shared" si="1"/>
        <v>39505684</v>
      </c>
      <c r="E1981" s="4">
        <v>7.0</v>
      </c>
      <c r="F1981" s="4">
        <v>121.8</v>
      </c>
    </row>
    <row r="1982" ht="22.5" customHeight="1">
      <c r="C1982" s="4">
        <v>3.9205639E7</v>
      </c>
      <c r="D1982" s="17">
        <f t="shared" si="1"/>
        <v>39525687</v>
      </c>
      <c r="E1982" s="4">
        <v>6.99</v>
      </c>
      <c r="F1982" s="4">
        <v>121.8</v>
      </c>
    </row>
    <row r="1983" ht="22.5" customHeight="1">
      <c r="C1983" s="4">
        <v>3.9225643E7</v>
      </c>
      <c r="D1983" s="17">
        <f t="shared" si="1"/>
        <v>39545691</v>
      </c>
      <c r="E1983" s="4">
        <v>6.98</v>
      </c>
      <c r="F1983" s="4">
        <v>121.6</v>
      </c>
    </row>
    <row r="1984" ht="22.5" customHeight="1">
      <c r="C1984" s="4">
        <v>3.9245645E7</v>
      </c>
      <c r="D1984" s="17">
        <f t="shared" si="1"/>
        <v>39565693</v>
      </c>
      <c r="E1984" s="4">
        <v>6.97</v>
      </c>
      <c r="F1984" s="4">
        <v>121.5</v>
      </c>
    </row>
    <row r="1985" ht="22.5" customHeight="1">
      <c r="C1985" s="4">
        <v>3.9265648E7</v>
      </c>
      <c r="D1985" s="17">
        <f t="shared" si="1"/>
        <v>39585696</v>
      </c>
      <c r="E1985" s="4">
        <v>6.97</v>
      </c>
      <c r="F1985" s="4">
        <v>121.3</v>
      </c>
    </row>
    <row r="1986" ht="22.5" customHeight="1">
      <c r="C1986" s="4">
        <v>3.9285651E7</v>
      </c>
      <c r="D1986" s="17">
        <f t="shared" si="1"/>
        <v>39605699</v>
      </c>
      <c r="E1986" s="4">
        <v>6.96</v>
      </c>
      <c r="F1986" s="4">
        <v>121.2</v>
      </c>
    </row>
    <row r="1987" ht="22.5" customHeight="1">
      <c r="C1987" s="4">
        <v>3.9305654E7</v>
      </c>
      <c r="D1987" s="17">
        <f t="shared" si="1"/>
        <v>39625702</v>
      </c>
      <c r="E1987" s="4">
        <v>6.95</v>
      </c>
      <c r="F1987" s="4">
        <v>121.1</v>
      </c>
    </row>
    <row r="1988" ht="22.5" customHeight="1">
      <c r="C1988" s="4">
        <v>3.9325657E7</v>
      </c>
      <c r="D1988" s="17">
        <f t="shared" si="1"/>
        <v>39645705</v>
      </c>
      <c r="E1988" s="4">
        <v>6.94</v>
      </c>
      <c r="F1988" s="4">
        <v>120.9</v>
      </c>
    </row>
    <row r="1989" ht="22.5" customHeight="1">
      <c r="C1989" s="4">
        <v>3.9345659E7</v>
      </c>
      <c r="D1989" s="17">
        <f t="shared" si="1"/>
        <v>39665707</v>
      </c>
      <c r="E1989" s="4">
        <v>6.93</v>
      </c>
      <c r="F1989" s="4">
        <v>120.8</v>
      </c>
    </row>
    <row r="1990" ht="22.5" customHeight="1">
      <c r="C1990" s="4">
        <v>3.9365662E7</v>
      </c>
      <c r="D1990" s="17">
        <f t="shared" si="1"/>
        <v>39685710</v>
      </c>
      <c r="E1990" s="4">
        <v>6.92</v>
      </c>
      <c r="F1990" s="4">
        <v>120.5</v>
      </c>
    </row>
    <row r="1991" ht="22.5" customHeight="1">
      <c r="C1991" s="4">
        <v>3.9385665E7</v>
      </c>
      <c r="D1991" s="17">
        <f t="shared" si="1"/>
        <v>39705713</v>
      </c>
      <c r="E1991" s="4">
        <v>6.92</v>
      </c>
      <c r="F1991" s="4">
        <v>120.4</v>
      </c>
    </row>
    <row r="1992" ht="22.5" customHeight="1">
      <c r="C1992" s="4">
        <v>3.9405668E7</v>
      </c>
      <c r="D1992" s="17">
        <f t="shared" si="1"/>
        <v>39725716</v>
      </c>
      <c r="E1992" s="4">
        <v>6.91</v>
      </c>
      <c r="F1992" s="4">
        <v>120.3</v>
      </c>
    </row>
    <row r="1993" ht="22.5" customHeight="1">
      <c r="C1993" s="4">
        <v>3.9425671E7</v>
      </c>
      <c r="D1993" s="17">
        <f t="shared" si="1"/>
        <v>39745719</v>
      </c>
      <c r="E1993" s="4">
        <v>6.9</v>
      </c>
      <c r="F1993" s="4">
        <v>120.2</v>
      </c>
    </row>
    <row r="1994" ht="22.5" customHeight="1">
      <c r="C1994" s="4">
        <v>3.9445673E7</v>
      </c>
      <c r="D1994" s="17">
        <f t="shared" si="1"/>
        <v>39765721</v>
      </c>
      <c r="E1994" s="4">
        <v>6.89</v>
      </c>
      <c r="F1994" s="4">
        <v>120.0</v>
      </c>
    </row>
    <row r="1995" ht="22.5" customHeight="1">
      <c r="C1995" s="4">
        <v>3.9465676E7</v>
      </c>
      <c r="D1995" s="17">
        <f t="shared" si="1"/>
        <v>39785724</v>
      </c>
      <c r="E1995" s="4">
        <v>6.88</v>
      </c>
      <c r="F1995" s="4">
        <v>119.8</v>
      </c>
    </row>
    <row r="1996" ht="22.5" customHeight="1">
      <c r="C1996" s="4">
        <v>3.9485679E7</v>
      </c>
      <c r="D1996" s="17">
        <f t="shared" si="1"/>
        <v>39805727</v>
      </c>
      <c r="E1996" s="4">
        <v>6.87</v>
      </c>
      <c r="F1996" s="4">
        <v>119.7</v>
      </c>
    </row>
    <row r="1997" ht="22.5" customHeight="1">
      <c r="C1997" s="4">
        <v>3.9505683E7</v>
      </c>
      <c r="D1997" s="17">
        <f t="shared" si="1"/>
        <v>39825731</v>
      </c>
      <c r="E1997" s="4">
        <v>6.86</v>
      </c>
      <c r="F1997" s="4">
        <v>119.5</v>
      </c>
    </row>
    <row r="1998" ht="22.5" customHeight="1">
      <c r="C1998" s="4">
        <v>3.9525686E7</v>
      </c>
      <c r="D1998" s="17">
        <f t="shared" si="1"/>
        <v>39845734</v>
      </c>
      <c r="E1998" s="4">
        <v>6.86</v>
      </c>
      <c r="F1998" s="4">
        <v>119.3</v>
      </c>
    </row>
    <row r="1999" ht="22.5" customHeight="1">
      <c r="C1999" s="4">
        <v>3.9545689E7</v>
      </c>
      <c r="D1999" s="17">
        <f t="shared" si="1"/>
        <v>39865737</v>
      </c>
      <c r="E1999" s="4">
        <v>6.84</v>
      </c>
      <c r="F1999" s="4">
        <v>119.2</v>
      </c>
    </row>
    <row r="2000" ht="22.5" customHeight="1">
      <c r="C2000" s="4">
        <v>3.9565691E7</v>
      </c>
      <c r="D2000" s="17">
        <f t="shared" si="1"/>
        <v>39885739</v>
      </c>
      <c r="E2000" s="4">
        <v>6.84</v>
      </c>
      <c r="F2000" s="4">
        <v>119.0</v>
      </c>
    </row>
    <row r="2001" ht="22.5" customHeight="1">
      <c r="C2001" s="4">
        <v>3.9585694E7</v>
      </c>
      <c r="D2001" s="17">
        <f t="shared" si="1"/>
        <v>39905742</v>
      </c>
      <c r="E2001" s="4">
        <v>6.83</v>
      </c>
      <c r="F2001" s="4">
        <v>118.8</v>
      </c>
    </row>
    <row r="2002" ht="22.5" customHeight="1">
      <c r="C2002" s="4">
        <v>3.9605697E7</v>
      </c>
      <c r="D2002" s="17">
        <f t="shared" si="1"/>
        <v>39925745</v>
      </c>
      <c r="E2002" s="4">
        <v>6.82</v>
      </c>
      <c r="F2002" s="4">
        <v>118.6</v>
      </c>
    </row>
    <row r="2003" ht="22.5" customHeight="1">
      <c r="C2003" s="4">
        <v>3.96257E7</v>
      </c>
      <c r="D2003" s="17">
        <f t="shared" si="1"/>
        <v>39945748</v>
      </c>
      <c r="E2003" s="4">
        <v>6.8</v>
      </c>
      <c r="F2003" s="4">
        <v>118.4</v>
      </c>
    </row>
    <row r="2004" ht="22.5" customHeight="1">
      <c r="C2004" s="4">
        <v>3.9645703E7</v>
      </c>
      <c r="D2004" s="17">
        <f t="shared" si="1"/>
        <v>39965751</v>
      </c>
      <c r="E2004" s="4">
        <v>6.8</v>
      </c>
      <c r="F2004" s="4">
        <v>118.3</v>
      </c>
    </row>
    <row r="2005" ht="22.5" customHeight="1">
      <c r="C2005" s="4">
        <v>3.9665705E7</v>
      </c>
      <c r="D2005" s="17">
        <f t="shared" si="1"/>
        <v>39985753</v>
      </c>
      <c r="E2005" s="4">
        <v>6.78</v>
      </c>
      <c r="F2005" s="4">
        <v>118.1</v>
      </c>
    </row>
    <row r="2006" ht="22.5" customHeight="1">
      <c r="C2006" s="4">
        <v>3.9685708E7</v>
      </c>
      <c r="D2006" s="17">
        <f t="shared" si="1"/>
        <v>40005756</v>
      </c>
      <c r="E2006" s="4">
        <v>6.77</v>
      </c>
      <c r="F2006" s="4">
        <v>117.9</v>
      </c>
    </row>
    <row r="2007" ht="22.5" customHeight="1">
      <c r="C2007" s="4">
        <v>3.9705711E7</v>
      </c>
      <c r="D2007" s="17">
        <f t="shared" si="1"/>
        <v>40025759</v>
      </c>
      <c r="E2007" s="4">
        <v>6.76</v>
      </c>
      <c r="F2007" s="4">
        <v>117.7</v>
      </c>
    </row>
    <row r="2008" ht="22.5" customHeight="1">
      <c r="C2008" s="4">
        <v>3.9725714E7</v>
      </c>
      <c r="D2008" s="17">
        <f t="shared" si="1"/>
        <v>40045762</v>
      </c>
      <c r="E2008" s="4">
        <v>6.75</v>
      </c>
      <c r="F2008" s="4">
        <v>117.5</v>
      </c>
    </row>
    <row r="2009" ht="22.5" customHeight="1">
      <c r="C2009" s="4">
        <v>3.9745717E7</v>
      </c>
      <c r="D2009" s="17">
        <f t="shared" si="1"/>
        <v>40065765</v>
      </c>
      <c r="E2009" s="4">
        <v>6.74</v>
      </c>
      <c r="F2009" s="4">
        <v>117.2</v>
      </c>
    </row>
    <row r="2010" ht="22.5" customHeight="1">
      <c r="C2010" s="4">
        <v>3.976572E7</v>
      </c>
      <c r="D2010" s="17">
        <f t="shared" si="1"/>
        <v>40085768</v>
      </c>
      <c r="E2010" s="4">
        <v>6.73</v>
      </c>
      <c r="F2010" s="4">
        <v>117.1</v>
      </c>
    </row>
    <row r="2011" ht="22.5" customHeight="1">
      <c r="C2011" s="4">
        <v>3.9785723E7</v>
      </c>
      <c r="D2011" s="17">
        <f t="shared" si="1"/>
        <v>40105771</v>
      </c>
      <c r="E2011" s="4">
        <v>6.72</v>
      </c>
      <c r="F2011" s="4">
        <v>116.9</v>
      </c>
    </row>
    <row r="2012" ht="22.5" customHeight="1">
      <c r="C2012" s="4">
        <v>3.9805726E7</v>
      </c>
      <c r="D2012" s="17">
        <f t="shared" si="1"/>
        <v>40125774</v>
      </c>
      <c r="E2012" s="4">
        <v>6.71</v>
      </c>
      <c r="F2012" s="4">
        <v>116.7</v>
      </c>
    </row>
    <row r="2013" ht="22.5" customHeight="1">
      <c r="C2013" s="4">
        <v>3.9825729E7</v>
      </c>
      <c r="D2013" s="17">
        <f t="shared" si="1"/>
        <v>40145777</v>
      </c>
      <c r="E2013" s="4">
        <v>6.69</v>
      </c>
      <c r="F2013" s="4">
        <v>116.4</v>
      </c>
    </row>
    <row r="2014" ht="22.5" customHeight="1">
      <c r="C2014" s="4">
        <v>3.9845732E7</v>
      </c>
      <c r="D2014" s="17">
        <f t="shared" si="1"/>
        <v>40165780</v>
      </c>
      <c r="E2014" s="4">
        <v>6.68</v>
      </c>
      <c r="F2014" s="4">
        <v>116.3</v>
      </c>
    </row>
    <row r="2015" ht="22.5" customHeight="1">
      <c r="C2015" s="4">
        <v>3.9865735E7</v>
      </c>
      <c r="D2015" s="17">
        <f t="shared" si="1"/>
        <v>40185783</v>
      </c>
      <c r="E2015" s="4">
        <v>6.67</v>
      </c>
      <c r="F2015" s="4">
        <v>116.1</v>
      </c>
    </row>
    <row r="2016" ht="22.5" customHeight="1">
      <c r="C2016" s="4">
        <v>3.9885737E7</v>
      </c>
      <c r="D2016" s="17">
        <f t="shared" si="1"/>
        <v>40205785</v>
      </c>
      <c r="E2016" s="4">
        <v>6.66</v>
      </c>
      <c r="F2016" s="4">
        <v>115.8</v>
      </c>
    </row>
    <row r="2017" ht="22.5" customHeight="1">
      <c r="C2017" s="4">
        <v>3.990574E7</v>
      </c>
      <c r="D2017" s="17">
        <f t="shared" si="1"/>
        <v>40225788</v>
      </c>
      <c r="E2017" s="4">
        <v>6.65</v>
      </c>
      <c r="F2017" s="4">
        <v>115.6</v>
      </c>
    </row>
    <row r="2018" ht="22.5" customHeight="1">
      <c r="C2018" s="4">
        <v>3.9925743E7</v>
      </c>
      <c r="D2018" s="17">
        <f t="shared" si="1"/>
        <v>40245791</v>
      </c>
      <c r="E2018" s="4">
        <v>6.63</v>
      </c>
      <c r="F2018" s="4">
        <v>115.4</v>
      </c>
    </row>
    <row r="2019" ht="22.5" customHeight="1">
      <c r="C2019" s="4">
        <v>3.9945746E7</v>
      </c>
      <c r="D2019" s="17">
        <f t="shared" si="1"/>
        <v>40265794</v>
      </c>
      <c r="E2019" s="4">
        <v>6.62</v>
      </c>
      <c r="F2019" s="4">
        <v>115.1</v>
      </c>
    </row>
    <row r="2020" ht="22.5" customHeight="1">
      <c r="C2020" s="4">
        <v>3.9965749E7</v>
      </c>
      <c r="D2020" s="17">
        <f t="shared" si="1"/>
        <v>40285797</v>
      </c>
      <c r="E2020" s="4">
        <v>6.61</v>
      </c>
      <c r="F2020" s="4">
        <v>114.9</v>
      </c>
    </row>
    <row r="2021" ht="22.5" customHeight="1">
      <c r="C2021" s="4">
        <v>3.9985752E7</v>
      </c>
      <c r="D2021" s="17">
        <f t="shared" si="1"/>
        <v>40305800</v>
      </c>
      <c r="E2021" s="4">
        <v>6.6</v>
      </c>
      <c r="F2021" s="4">
        <v>114.7</v>
      </c>
    </row>
    <row r="2022" ht="22.5" customHeight="1">
      <c r="C2022" s="4">
        <v>4.0005754E7</v>
      </c>
      <c r="D2022" s="17">
        <f t="shared" si="1"/>
        <v>40325802</v>
      </c>
      <c r="E2022" s="4">
        <v>6.58</v>
      </c>
      <c r="F2022" s="4">
        <v>114.4</v>
      </c>
    </row>
    <row r="2023" ht="22.5" customHeight="1">
      <c r="C2023" s="4">
        <v>4.0025757E7</v>
      </c>
      <c r="D2023" s="17">
        <f t="shared" si="1"/>
        <v>40345805</v>
      </c>
      <c r="E2023" s="4">
        <v>6.57</v>
      </c>
      <c r="F2023" s="4">
        <v>114.2</v>
      </c>
    </row>
    <row r="2024" ht="22.5" customHeight="1">
      <c r="C2024" s="4">
        <v>4.0045761E7</v>
      </c>
      <c r="D2024" s="17">
        <f t="shared" si="1"/>
        <v>40365809</v>
      </c>
      <c r="E2024" s="4">
        <v>6.56</v>
      </c>
      <c r="F2024" s="4">
        <v>114.0</v>
      </c>
    </row>
    <row r="2025" ht="22.5" customHeight="1">
      <c r="C2025" s="4">
        <v>4.0065764E7</v>
      </c>
      <c r="D2025" s="17">
        <f t="shared" si="1"/>
        <v>40385812</v>
      </c>
      <c r="E2025" s="4">
        <v>6.54</v>
      </c>
      <c r="F2025" s="4">
        <v>113.7</v>
      </c>
    </row>
    <row r="2026" ht="22.5" customHeight="1">
      <c r="C2026" s="4">
        <v>4.0085767E7</v>
      </c>
      <c r="D2026" s="17">
        <f t="shared" si="1"/>
        <v>40405815</v>
      </c>
      <c r="E2026" s="4">
        <v>6.53</v>
      </c>
      <c r="F2026" s="4">
        <v>113.4</v>
      </c>
    </row>
    <row r="2027" ht="22.5" customHeight="1">
      <c r="C2027" s="4">
        <v>4.0105769E7</v>
      </c>
      <c r="D2027" s="17">
        <f t="shared" si="1"/>
        <v>40425817</v>
      </c>
      <c r="E2027" s="4">
        <v>6.52</v>
      </c>
      <c r="F2027" s="4">
        <v>113.2</v>
      </c>
    </row>
    <row r="2028" ht="22.5" customHeight="1">
      <c r="C2028" s="4">
        <v>4.0125772E7</v>
      </c>
      <c r="D2028" s="17">
        <f t="shared" si="1"/>
        <v>40445820</v>
      </c>
      <c r="E2028" s="4">
        <v>6.5</v>
      </c>
      <c r="F2028" s="4">
        <v>112.9</v>
      </c>
    </row>
    <row r="2029" ht="22.5" customHeight="1">
      <c r="C2029" s="4">
        <v>4.0145775E7</v>
      </c>
      <c r="D2029" s="17">
        <f t="shared" si="1"/>
        <v>40465823</v>
      </c>
      <c r="E2029" s="4">
        <v>6.49</v>
      </c>
      <c r="F2029" s="4">
        <v>112.8</v>
      </c>
    </row>
    <row r="2030" ht="22.5" customHeight="1">
      <c r="C2030" s="4">
        <v>4.0165778E7</v>
      </c>
      <c r="D2030" s="17">
        <f t="shared" si="1"/>
        <v>40485826</v>
      </c>
      <c r="E2030" s="4">
        <v>6.47</v>
      </c>
      <c r="F2030" s="4">
        <v>112.5</v>
      </c>
    </row>
    <row r="2031" ht="22.5" customHeight="1">
      <c r="C2031" s="4">
        <v>4.0185781E7</v>
      </c>
      <c r="D2031" s="17">
        <f t="shared" si="1"/>
        <v>40505829</v>
      </c>
      <c r="E2031" s="4">
        <v>6.46</v>
      </c>
      <c r="F2031" s="4">
        <v>112.2</v>
      </c>
    </row>
    <row r="2032" ht="22.5" customHeight="1">
      <c r="C2032" s="4">
        <v>4.0205784E7</v>
      </c>
      <c r="D2032" s="17">
        <f t="shared" si="1"/>
        <v>40525832</v>
      </c>
      <c r="E2032" s="4">
        <v>6.44</v>
      </c>
      <c r="F2032" s="4">
        <v>112.0</v>
      </c>
    </row>
    <row r="2033" ht="22.5" customHeight="1">
      <c r="C2033" s="4">
        <v>4.0225786E7</v>
      </c>
      <c r="D2033" s="17">
        <f t="shared" si="1"/>
        <v>40545834</v>
      </c>
      <c r="E2033" s="4">
        <v>6.43</v>
      </c>
      <c r="F2033" s="4">
        <v>111.7</v>
      </c>
    </row>
    <row r="2034" ht="22.5" customHeight="1">
      <c r="C2034" s="4">
        <v>4.0245789E7</v>
      </c>
      <c r="D2034" s="17">
        <f t="shared" si="1"/>
        <v>40565837</v>
      </c>
      <c r="E2034" s="4">
        <v>6.42</v>
      </c>
      <c r="F2034" s="4">
        <v>111.4</v>
      </c>
    </row>
    <row r="2035" ht="22.5" customHeight="1">
      <c r="C2035" s="4">
        <v>4.0265792E7</v>
      </c>
      <c r="D2035" s="17">
        <f t="shared" si="1"/>
        <v>40585840</v>
      </c>
      <c r="E2035" s="4">
        <v>6.4</v>
      </c>
      <c r="F2035" s="4">
        <v>111.2</v>
      </c>
    </row>
    <row r="2036" ht="22.5" customHeight="1">
      <c r="C2036" s="4">
        <v>4.0285795E7</v>
      </c>
      <c r="D2036" s="17">
        <f t="shared" si="1"/>
        <v>40605843</v>
      </c>
      <c r="E2036" s="4">
        <v>6.39</v>
      </c>
      <c r="F2036" s="4">
        <v>110.9</v>
      </c>
    </row>
    <row r="2037" ht="22.5" customHeight="1">
      <c r="C2037" s="4">
        <v>4.0305798E7</v>
      </c>
      <c r="D2037" s="17">
        <f t="shared" si="1"/>
        <v>40625846</v>
      </c>
      <c r="E2037" s="4">
        <v>6.37</v>
      </c>
      <c r="F2037" s="4">
        <v>110.6</v>
      </c>
    </row>
    <row r="2038" ht="22.5" customHeight="1">
      <c r="C2038" s="4">
        <v>4.0325801E7</v>
      </c>
      <c r="D2038" s="17">
        <f t="shared" si="1"/>
        <v>40645849</v>
      </c>
      <c r="E2038" s="4">
        <v>6.36</v>
      </c>
      <c r="F2038" s="4">
        <v>110.4</v>
      </c>
    </row>
    <row r="2039" ht="22.5" customHeight="1">
      <c r="C2039" s="4">
        <v>4.0345804E7</v>
      </c>
      <c r="D2039" s="17">
        <f t="shared" si="1"/>
        <v>40665852</v>
      </c>
      <c r="E2039" s="4">
        <v>6.34</v>
      </c>
      <c r="F2039" s="4">
        <v>110.1</v>
      </c>
    </row>
    <row r="2040" ht="22.5" customHeight="1">
      <c r="C2040" s="4">
        <v>4.0365807E7</v>
      </c>
      <c r="D2040" s="17">
        <f t="shared" si="1"/>
        <v>40685855</v>
      </c>
      <c r="E2040" s="4">
        <v>6.33</v>
      </c>
      <c r="F2040" s="4">
        <v>109.9</v>
      </c>
    </row>
    <row r="2041" ht="22.5" customHeight="1">
      <c r="C2041" s="4">
        <v>4.038581E7</v>
      </c>
      <c r="D2041" s="17">
        <f t="shared" si="1"/>
        <v>40705858</v>
      </c>
      <c r="E2041" s="4">
        <v>6.32</v>
      </c>
      <c r="F2041" s="4">
        <v>109.5</v>
      </c>
    </row>
    <row r="2042" ht="22.5" customHeight="1">
      <c r="C2042" s="4">
        <v>4.0405813E7</v>
      </c>
      <c r="D2042" s="17">
        <f t="shared" si="1"/>
        <v>40725861</v>
      </c>
      <c r="E2042" s="4">
        <v>6.3</v>
      </c>
      <c r="F2042" s="4">
        <v>109.3</v>
      </c>
    </row>
    <row r="2043" ht="22.5" customHeight="1">
      <c r="C2043" s="4">
        <v>4.0425816E7</v>
      </c>
      <c r="D2043" s="17">
        <f t="shared" si="1"/>
        <v>40745864</v>
      </c>
      <c r="E2043" s="4">
        <v>6.28</v>
      </c>
      <c r="F2043" s="4">
        <v>109.1</v>
      </c>
    </row>
    <row r="2044" ht="22.5" customHeight="1">
      <c r="C2044" s="4">
        <v>4.0445818E7</v>
      </c>
      <c r="D2044" s="17">
        <f t="shared" si="1"/>
        <v>40765866</v>
      </c>
      <c r="E2044" s="4">
        <v>6.27</v>
      </c>
      <c r="F2044" s="4">
        <v>108.8</v>
      </c>
    </row>
    <row r="2045" ht="22.5" customHeight="1">
      <c r="C2045" s="4">
        <v>4.0465821E7</v>
      </c>
      <c r="D2045" s="17">
        <f t="shared" si="1"/>
        <v>40785869</v>
      </c>
      <c r="E2045" s="4">
        <v>6.25</v>
      </c>
      <c r="F2045" s="4">
        <v>108.6</v>
      </c>
    </row>
    <row r="2046" ht="22.5" customHeight="1">
      <c r="C2046" s="4">
        <v>4.0485824E7</v>
      </c>
      <c r="D2046" s="17">
        <f t="shared" si="1"/>
        <v>40805872</v>
      </c>
      <c r="E2046" s="4">
        <v>6.24</v>
      </c>
      <c r="F2046" s="4">
        <v>108.3</v>
      </c>
    </row>
    <row r="2047" ht="22.5" customHeight="1">
      <c r="C2047" s="4">
        <v>4.0505827E7</v>
      </c>
      <c r="D2047" s="17">
        <f t="shared" si="1"/>
        <v>40825875</v>
      </c>
      <c r="E2047" s="4">
        <v>6.22</v>
      </c>
      <c r="F2047" s="4">
        <v>108.0</v>
      </c>
    </row>
    <row r="2048" ht="22.5" customHeight="1">
      <c r="C2048" s="4">
        <v>4.052583E7</v>
      </c>
      <c r="D2048" s="17">
        <f t="shared" si="1"/>
        <v>40845878</v>
      </c>
      <c r="E2048" s="4">
        <v>6.21</v>
      </c>
      <c r="F2048" s="4">
        <v>107.7</v>
      </c>
    </row>
    <row r="2049" ht="22.5" customHeight="1">
      <c r="C2049" s="4">
        <v>4.0545832E7</v>
      </c>
      <c r="D2049" s="17">
        <f t="shared" si="1"/>
        <v>40865880</v>
      </c>
      <c r="E2049" s="4">
        <v>6.2</v>
      </c>
      <c r="F2049" s="4">
        <v>107.4</v>
      </c>
    </row>
    <row r="2050" ht="22.5" customHeight="1">
      <c r="C2050" s="4">
        <v>4.0565835E7</v>
      </c>
      <c r="D2050" s="17">
        <f t="shared" si="1"/>
        <v>40885883</v>
      </c>
      <c r="E2050" s="4">
        <v>6.18</v>
      </c>
      <c r="F2050" s="4">
        <v>107.2</v>
      </c>
    </row>
    <row r="2051" ht="22.5" customHeight="1">
      <c r="C2051" s="4">
        <v>4.0585838E7</v>
      </c>
      <c r="D2051" s="17">
        <f t="shared" si="1"/>
        <v>40905886</v>
      </c>
      <c r="E2051" s="4">
        <v>6.16</v>
      </c>
      <c r="F2051" s="4">
        <v>106.9</v>
      </c>
    </row>
    <row r="2052" ht="22.5" customHeight="1">
      <c r="C2052" s="4">
        <v>4.0605842E7</v>
      </c>
      <c r="D2052" s="17">
        <f t="shared" si="1"/>
        <v>40925890</v>
      </c>
      <c r="E2052" s="4">
        <v>6.15</v>
      </c>
      <c r="F2052" s="4">
        <v>106.6</v>
      </c>
    </row>
    <row r="2053" ht="22.5" customHeight="1">
      <c r="C2053" s="4">
        <v>4.0625845E7</v>
      </c>
      <c r="D2053" s="17">
        <f t="shared" si="1"/>
        <v>40945893</v>
      </c>
      <c r="E2053" s="4">
        <v>6.13</v>
      </c>
      <c r="F2053" s="4">
        <v>106.4</v>
      </c>
    </row>
    <row r="2054" ht="22.5" customHeight="1">
      <c r="C2054" s="4">
        <v>4.0645848E7</v>
      </c>
      <c r="D2054" s="17">
        <f t="shared" si="1"/>
        <v>40965896</v>
      </c>
      <c r="E2054" s="4">
        <v>6.12</v>
      </c>
      <c r="F2054" s="4">
        <v>106.1</v>
      </c>
    </row>
    <row r="2055" ht="22.5" customHeight="1">
      <c r="C2055" s="4">
        <v>4.066585E7</v>
      </c>
      <c r="D2055" s="17">
        <f t="shared" si="1"/>
        <v>40985898</v>
      </c>
      <c r="E2055" s="4">
        <v>6.1</v>
      </c>
      <c r="F2055" s="4">
        <v>105.8</v>
      </c>
    </row>
    <row r="2056" ht="22.5" customHeight="1">
      <c r="C2056" s="4">
        <v>4.0685853E7</v>
      </c>
      <c r="D2056" s="17">
        <f t="shared" si="1"/>
        <v>41005901</v>
      </c>
      <c r="E2056" s="4">
        <v>6.09</v>
      </c>
      <c r="F2056" s="4">
        <v>105.5</v>
      </c>
    </row>
    <row r="2057" ht="22.5" customHeight="1">
      <c r="C2057" s="4">
        <v>4.0705856E7</v>
      </c>
      <c r="D2057" s="17">
        <f t="shared" si="1"/>
        <v>41025904</v>
      </c>
      <c r="E2057" s="4">
        <v>6.07</v>
      </c>
      <c r="F2057" s="4">
        <v>105.3</v>
      </c>
    </row>
    <row r="2058" ht="22.5" customHeight="1">
      <c r="C2058" s="4">
        <v>4.0725859E7</v>
      </c>
      <c r="D2058" s="17">
        <f t="shared" si="1"/>
        <v>41045907</v>
      </c>
      <c r="E2058" s="4">
        <v>6.06</v>
      </c>
      <c r="F2058" s="4">
        <v>104.9</v>
      </c>
    </row>
    <row r="2059" ht="22.5" customHeight="1">
      <c r="C2059" s="4">
        <v>4.0745862E7</v>
      </c>
      <c r="D2059" s="17">
        <f t="shared" si="1"/>
        <v>41065910</v>
      </c>
      <c r="E2059" s="4">
        <v>6.04</v>
      </c>
      <c r="F2059" s="4">
        <v>104.7</v>
      </c>
    </row>
    <row r="2060" ht="22.5" customHeight="1">
      <c r="C2060" s="4">
        <v>4.0765864E7</v>
      </c>
      <c r="D2060" s="17">
        <f t="shared" si="1"/>
        <v>41085912</v>
      </c>
      <c r="E2060" s="4">
        <v>6.03</v>
      </c>
      <c r="F2060" s="4">
        <v>104.5</v>
      </c>
    </row>
    <row r="2061" ht="22.5" customHeight="1">
      <c r="C2061" s="4">
        <v>4.0785867E7</v>
      </c>
      <c r="D2061" s="17">
        <f t="shared" si="1"/>
        <v>41105915</v>
      </c>
      <c r="E2061" s="4">
        <v>6.01</v>
      </c>
      <c r="F2061" s="4">
        <v>104.2</v>
      </c>
    </row>
    <row r="2062" ht="22.5" customHeight="1">
      <c r="C2062" s="4">
        <v>4.080587E7</v>
      </c>
      <c r="D2062" s="17">
        <f t="shared" si="1"/>
        <v>41125918</v>
      </c>
      <c r="E2062" s="4">
        <v>6.0</v>
      </c>
      <c r="F2062" s="4">
        <v>103.8</v>
      </c>
    </row>
    <row r="2063">
      <c r="B2063" s="3" t="s">
        <v>44</v>
      </c>
      <c r="C2063" s="3"/>
      <c r="D2063" s="3"/>
      <c r="E2063" s="3"/>
      <c r="F2063" s="3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38"/>
    <col customWidth="1" min="3" max="3" width="13.38"/>
    <col customWidth="1" min="4" max="4" width="14.63"/>
    <col customWidth="1" min="8" max="8" width="15.88"/>
    <col customWidth="1" min="9" max="9" width="16.63"/>
  </cols>
  <sheetData>
    <row r="4" ht="22.5" customHeight="1">
      <c r="G4" s="13" t="s">
        <v>48</v>
      </c>
      <c r="H4" s="18" t="s">
        <v>49</v>
      </c>
      <c r="I4" s="1" t="s">
        <v>50</v>
      </c>
      <c r="J4" s="1" t="s">
        <v>35</v>
      </c>
    </row>
    <row r="5" ht="22.5" customHeight="1">
      <c r="B5" s="3" t="s">
        <v>23</v>
      </c>
      <c r="C5" s="3"/>
      <c r="D5" s="3"/>
      <c r="G5" s="4" t="s">
        <v>51</v>
      </c>
      <c r="H5" s="19">
        <f>max(Table7[Timestamp(ms)]) / 3600 / 1000</f>
        <v>11.38497139</v>
      </c>
      <c r="I5" s="19">
        <f>average(Table7[Current(mA)])</f>
        <v>132.9783415</v>
      </c>
      <c r="J5" s="19">
        <f t="shared" ref="J5:J6" si="1">H5*I5</f>
        <v>1513.954613</v>
      </c>
    </row>
    <row r="6" ht="22.5" customHeight="1">
      <c r="B6" s="3"/>
      <c r="C6" s="3"/>
      <c r="D6" s="3"/>
      <c r="G6" s="4" t="s">
        <v>52</v>
      </c>
      <c r="H6" s="19">
        <f>(Batt1DischargeV2!B21 + Batt1DischargeV2!C2062)/3600/1000</f>
        <v>11.42386611</v>
      </c>
      <c r="I6" s="19">
        <f>average(Batt1DischargeV2!F5:F2062)</f>
        <v>134.1359572</v>
      </c>
      <c r="J6" s="19">
        <f t="shared" si="1"/>
        <v>1532.351216</v>
      </c>
    </row>
    <row r="7" ht="22.5" customHeight="1">
      <c r="B7" s="1" t="s">
        <v>24</v>
      </c>
      <c r="C7" s="1" t="s">
        <v>53</v>
      </c>
      <c r="D7" s="1" t="s">
        <v>25</v>
      </c>
    </row>
    <row r="8" ht="22.5" customHeight="1">
      <c r="B8" s="4">
        <v>4.0</v>
      </c>
      <c r="C8" s="4">
        <v>8.0</v>
      </c>
      <c r="D8" s="4">
        <v>135.8</v>
      </c>
    </row>
    <row r="9" ht="22.5" customHeight="1">
      <c r="B9" s="4">
        <v>20005.0</v>
      </c>
      <c r="C9" s="4">
        <v>7.99</v>
      </c>
      <c r="D9" s="4">
        <v>139.6</v>
      </c>
    </row>
    <row r="10" ht="22.5" customHeight="1">
      <c r="B10" s="4">
        <v>40008.0</v>
      </c>
      <c r="C10" s="4">
        <v>7.99</v>
      </c>
      <c r="D10" s="4">
        <v>139.7</v>
      </c>
    </row>
    <row r="11" ht="22.5" customHeight="1">
      <c r="B11" s="4">
        <v>60011.0</v>
      </c>
      <c r="C11" s="4">
        <v>7.98</v>
      </c>
      <c r="D11" s="4">
        <v>139.7</v>
      </c>
    </row>
    <row r="12" ht="22.5" customHeight="1">
      <c r="B12" s="4">
        <v>80014.0</v>
      </c>
      <c r="C12" s="4">
        <v>7.98</v>
      </c>
      <c r="D12" s="4">
        <v>139.8</v>
      </c>
    </row>
    <row r="13" ht="22.5" customHeight="1">
      <c r="B13" s="4">
        <v>100017.0</v>
      </c>
      <c r="C13" s="4">
        <v>7.98</v>
      </c>
      <c r="D13" s="4">
        <v>139.6</v>
      </c>
    </row>
    <row r="14" ht="22.5" customHeight="1">
      <c r="B14" s="4">
        <v>120019.0</v>
      </c>
      <c r="C14" s="4">
        <v>7.97</v>
      </c>
      <c r="D14" s="4">
        <v>139.6</v>
      </c>
    </row>
    <row r="15" ht="22.5" customHeight="1">
      <c r="B15" s="4">
        <v>140022.0</v>
      </c>
      <c r="C15" s="4">
        <v>7.97</v>
      </c>
      <c r="D15" s="4">
        <v>139.6</v>
      </c>
    </row>
    <row r="16" ht="22.5" customHeight="1">
      <c r="B16" s="4">
        <v>160025.0</v>
      </c>
      <c r="C16" s="4">
        <v>7.97</v>
      </c>
      <c r="D16" s="4">
        <v>139.6</v>
      </c>
    </row>
    <row r="17" ht="22.5" customHeight="1">
      <c r="B17" s="4">
        <v>180028.0</v>
      </c>
      <c r="C17" s="4">
        <v>7.97</v>
      </c>
      <c r="D17" s="4">
        <v>139.5</v>
      </c>
    </row>
    <row r="18" ht="22.5" customHeight="1">
      <c r="B18" s="4">
        <v>200031.0</v>
      </c>
      <c r="C18" s="4">
        <v>7.97</v>
      </c>
      <c r="D18" s="4">
        <v>139.6</v>
      </c>
    </row>
    <row r="19" ht="22.5" customHeight="1">
      <c r="B19" s="4">
        <v>220034.0</v>
      </c>
      <c r="C19" s="4">
        <v>7.97</v>
      </c>
      <c r="D19" s="4">
        <v>139.6</v>
      </c>
    </row>
    <row r="20" ht="22.5" customHeight="1">
      <c r="B20" s="4">
        <v>240036.0</v>
      </c>
      <c r="C20" s="4">
        <v>7.97</v>
      </c>
      <c r="D20" s="4">
        <v>139.6</v>
      </c>
    </row>
    <row r="21" ht="22.5" customHeight="1">
      <c r="B21" s="4">
        <v>260039.0</v>
      </c>
      <c r="C21" s="4">
        <v>7.96</v>
      </c>
      <c r="D21" s="4">
        <v>139.6</v>
      </c>
    </row>
    <row r="22" ht="22.5" customHeight="1">
      <c r="B22" s="4">
        <v>280042.0</v>
      </c>
      <c r="C22" s="4">
        <v>7.96</v>
      </c>
      <c r="D22" s="4">
        <v>139.5</v>
      </c>
    </row>
    <row r="23" ht="22.5" customHeight="1">
      <c r="B23" s="4">
        <v>300045.0</v>
      </c>
      <c r="C23" s="4">
        <v>7.96</v>
      </c>
      <c r="D23" s="4">
        <v>139.5</v>
      </c>
    </row>
    <row r="24" ht="22.5" customHeight="1">
      <c r="B24" s="4">
        <v>320048.0</v>
      </c>
      <c r="C24" s="4">
        <v>7.96</v>
      </c>
      <c r="D24" s="4">
        <v>139.5</v>
      </c>
    </row>
    <row r="25" ht="22.5" customHeight="1">
      <c r="B25" s="4">
        <v>340050.0</v>
      </c>
      <c r="C25" s="4">
        <v>7.96</v>
      </c>
      <c r="D25" s="4">
        <v>139.5</v>
      </c>
    </row>
    <row r="26" ht="22.5" customHeight="1">
      <c r="B26" s="4">
        <v>360053.0</v>
      </c>
      <c r="C26" s="4">
        <v>7.95</v>
      </c>
      <c r="D26" s="4">
        <v>139.4</v>
      </c>
    </row>
    <row r="27" ht="22.5" customHeight="1">
      <c r="B27" s="4">
        <v>380056.0</v>
      </c>
      <c r="C27" s="4">
        <v>7.95</v>
      </c>
      <c r="D27" s="4">
        <v>139.2</v>
      </c>
    </row>
    <row r="28" ht="22.5" customHeight="1">
      <c r="B28" s="4">
        <v>400059.0</v>
      </c>
      <c r="C28" s="4">
        <v>7.93</v>
      </c>
      <c r="D28" s="4">
        <v>138.9</v>
      </c>
    </row>
    <row r="29" ht="22.5" customHeight="1">
      <c r="B29" s="4">
        <v>420062.0</v>
      </c>
      <c r="C29" s="4">
        <v>7.92</v>
      </c>
      <c r="D29" s="4">
        <v>138.9</v>
      </c>
    </row>
    <row r="30" ht="22.5" customHeight="1">
      <c r="B30" s="4">
        <v>440065.0</v>
      </c>
      <c r="C30" s="4">
        <v>7.92</v>
      </c>
      <c r="D30" s="4">
        <v>138.8</v>
      </c>
    </row>
    <row r="31" ht="22.5" customHeight="1">
      <c r="B31" s="4">
        <v>460067.0</v>
      </c>
      <c r="C31" s="4">
        <v>7.91</v>
      </c>
      <c r="D31" s="4">
        <v>138.6</v>
      </c>
    </row>
    <row r="32" ht="22.5" customHeight="1">
      <c r="B32" s="4">
        <v>480070.0</v>
      </c>
      <c r="C32" s="4">
        <v>7.9</v>
      </c>
      <c r="D32" s="4">
        <v>138.4</v>
      </c>
    </row>
    <row r="33" ht="22.5" customHeight="1">
      <c r="B33" s="4">
        <v>500073.0</v>
      </c>
      <c r="C33" s="4">
        <v>7.91</v>
      </c>
      <c r="D33" s="4">
        <v>138.6</v>
      </c>
    </row>
    <row r="34" ht="22.5" customHeight="1">
      <c r="B34" s="4">
        <v>520076.0</v>
      </c>
      <c r="C34" s="4">
        <v>7.9</v>
      </c>
      <c r="D34" s="4">
        <v>138.3</v>
      </c>
    </row>
    <row r="35" ht="22.5" customHeight="1">
      <c r="B35" s="4">
        <v>540079.0</v>
      </c>
      <c r="C35" s="4">
        <v>7.9</v>
      </c>
      <c r="D35" s="4">
        <v>138.5</v>
      </c>
    </row>
    <row r="36" ht="22.5" customHeight="1">
      <c r="B36" s="4">
        <v>560081.0</v>
      </c>
      <c r="C36" s="4">
        <v>7.93</v>
      </c>
      <c r="D36" s="4">
        <v>138.9</v>
      </c>
    </row>
    <row r="37" ht="22.5" customHeight="1">
      <c r="B37" s="4">
        <v>580084.0</v>
      </c>
      <c r="C37" s="4">
        <v>7.94</v>
      </c>
      <c r="D37" s="4">
        <v>139.1</v>
      </c>
    </row>
    <row r="38" ht="22.5" customHeight="1">
      <c r="B38" s="4">
        <v>600087.0</v>
      </c>
      <c r="C38" s="4">
        <v>7.94</v>
      </c>
      <c r="D38" s="4">
        <v>139.2</v>
      </c>
    </row>
    <row r="39" ht="22.5" customHeight="1">
      <c r="B39" s="4">
        <v>620089.0</v>
      </c>
      <c r="C39" s="4">
        <v>7.94</v>
      </c>
      <c r="D39" s="4">
        <v>139.2</v>
      </c>
    </row>
    <row r="40" ht="22.5" customHeight="1">
      <c r="B40" s="4">
        <v>640092.0</v>
      </c>
      <c r="C40" s="4">
        <v>7.94</v>
      </c>
      <c r="D40" s="4">
        <v>139.2</v>
      </c>
    </row>
    <row r="41" ht="22.5" customHeight="1">
      <c r="B41" s="4">
        <v>660094.0</v>
      </c>
      <c r="C41" s="4">
        <v>7.94</v>
      </c>
      <c r="D41" s="4">
        <v>139.2</v>
      </c>
    </row>
    <row r="42" ht="22.5" customHeight="1">
      <c r="B42" s="4">
        <v>680097.0</v>
      </c>
      <c r="C42" s="4">
        <v>7.95</v>
      </c>
      <c r="D42" s="4">
        <v>139.3</v>
      </c>
    </row>
    <row r="43" ht="22.5" customHeight="1">
      <c r="B43" s="4">
        <v>700100.0</v>
      </c>
      <c r="C43" s="4">
        <v>7.95</v>
      </c>
      <c r="D43" s="4">
        <v>139.3</v>
      </c>
    </row>
    <row r="44" ht="22.5" customHeight="1">
      <c r="B44" s="4">
        <v>720103.0</v>
      </c>
      <c r="C44" s="4">
        <v>7.94</v>
      </c>
      <c r="D44" s="4">
        <v>139.2</v>
      </c>
    </row>
    <row r="45" ht="22.5" customHeight="1">
      <c r="B45" s="4">
        <v>740106.0</v>
      </c>
      <c r="C45" s="4">
        <v>7.94</v>
      </c>
      <c r="D45" s="4">
        <v>139.1</v>
      </c>
    </row>
    <row r="46" ht="22.5" customHeight="1">
      <c r="B46" s="4">
        <v>760109.0</v>
      </c>
      <c r="C46" s="4">
        <v>7.94</v>
      </c>
      <c r="D46" s="4">
        <v>139.2</v>
      </c>
    </row>
    <row r="47" ht="22.5" customHeight="1">
      <c r="B47" s="4">
        <v>780111.0</v>
      </c>
      <c r="C47" s="4">
        <v>7.94</v>
      </c>
      <c r="D47" s="4">
        <v>139.1</v>
      </c>
    </row>
    <row r="48" ht="22.5" customHeight="1">
      <c r="B48" s="4">
        <v>800114.0</v>
      </c>
      <c r="C48" s="4">
        <v>7.92</v>
      </c>
      <c r="D48" s="4">
        <v>138.8</v>
      </c>
    </row>
    <row r="49" ht="22.5" customHeight="1">
      <c r="B49" s="4">
        <v>820117.0</v>
      </c>
      <c r="C49" s="4">
        <v>7.92</v>
      </c>
      <c r="D49" s="4">
        <v>138.8</v>
      </c>
    </row>
    <row r="50" ht="22.5" customHeight="1">
      <c r="B50" s="4">
        <v>840120.0</v>
      </c>
      <c r="C50" s="4">
        <v>7.89</v>
      </c>
      <c r="D50" s="4">
        <v>138.2</v>
      </c>
    </row>
    <row r="51" ht="22.5" customHeight="1">
      <c r="B51" s="4">
        <v>860123.0</v>
      </c>
      <c r="C51" s="4">
        <v>7.91</v>
      </c>
      <c r="D51" s="4">
        <v>138.6</v>
      </c>
    </row>
    <row r="52" ht="22.5" customHeight="1">
      <c r="B52" s="4">
        <v>880125.0</v>
      </c>
      <c r="C52" s="4">
        <v>7.92</v>
      </c>
      <c r="D52" s="4">
        <v>138.7</v>
      </c>
    </row>
    <row r="53" ht="22.5" customHeight="1">
      <c r="B53" s="4">
        <v>900128.0</v>
      </c>
      <c r="C53" s="4">
        <v>7.92</v>
      </c>
      <c r="D53" s="4">
        <v>138.8</v>
      </c>
    </row>
    <row r="54" ht="22.5" customHeight="1">
      <c r="B54" s="4">
        <v>920131.0</v>
      </c>
      <c r="C54" s="4">
        <v>7.92</v>
      </c>
      <c r="D54" s="4">
        <v>138.8</v>
      </c>
    </row>
    <row r="55" ht="22.5" customHeight="1">
      <c r="B55" s="4">
        <v>940134.0</v>
      </c>
      <c r="C55" s="4">
        <v>7.92</v>
      </c>
      <c r="D55" s="4">
        <v>138.8</v>
      </c>
    </row>
    <row r="56" ht="22.5" customHeight="1">
      <c r="B56" s="4">
        <v>960137.0</v>
      </c>
      <c r="C56" s="4">
        <v>7.92</v>
      </c>
      <c r="D56" s="4">
        <v>138.8</v>
      </c>
    </row>
    <row r="57" ht="22.5" customHeight="1">
      <c r="B57" s="4">
        <v>980140.0</v>
      </c>
      <c r="C57" s="4">
        <v>7.92</v>
      </c>
      <c r="D57" s="4">
        <v>138.8</v>
      </c>
    </row>
    <row r="58" ht="22.5" customHeight="1">
      <c r="B58" s="4">
        <v>1000142.0</v>
      </c>
      <c r="C58" s="4">
        <v>7.92</v>
      </c>
      <c r="D58" s="4">
        <v>138.8</v>
      </c>
    </row>
    <row r="59" ht="22.5" customHeight="1">
      <c r="B59" s="4">
        <v>1020145.0</v>
      </c>
      <c r="C59" s="4">
        <v>7.92</v>
      </c>
      <c r="D59" s="4">
        <v>138.8</v>
      </c>
    </row>
    <row r="60" ht="22.5" customHeight="1">
      <c r="B60" s="4">
        <v>1040148.0</v>
      </c>
      <c r="C60" s="4">
        <v>7.92</v>
      </c>
      <c r="D60" s="4">
        <v>138.8</v>
      </c>
    </row>
    <row r="61" ht="22.5" customHeight="1">
      <c r="B61" s="4">
        <v>1060151.0</v>
      </c>
      <c r="C61" s="4">
        <v>7.92</v>
      </c>
      <c r="D61" s="4">
        <v>138.7</v>
      </c>
    </row>
    <row r="62" ht="22.5" customHeight="1">
      <c r="B62" s="4">
        <v>1080154.0</v>
      </c>
      <c r="C62" s="4">
        <v>7.92</v>
      </c>
      <c r="D62" s="4">
        <v>138.7</v>
      </c>
    </row>
    <row r="63" ht="22.5" customHeight="1">
      <c r="B63" s="4">
        <v>1100156.0</v>
      </c>
      <c r="C63" s="4">
        <v>7.91</v>
      </c>
      <c r="D63" s="4">
        <v>138.6</v>
      </c>
    </row>
    <row r="64" ht="22.5" customHeight="1">
      <c r="B64" s="4">
        <v>1120159.0</v>
      </c>
      <c r="C64" s="4">
        <v>7.91</v>
      </c>
      <c r="D64" s="4">
        <v>138.6</v>
      </c>
    </row>
    <row r="65" ht="22.5" customHeight="1">
      <c r="B65" s="4">
        <v>1140162.0</v>
      </c>
      <c r="C65" s="4">
        <v>7.91</v>
      </c>
      <c r="D65" s="4">
        <v>138.6</v>
      </c>
    </row>
    <row r="66" ht="22.5" customHeight="1">
      <c r="B66" s="4">
        <v>1160165.0</v>
      </c>
      <c r="C66" s="4">
        <v>7.91</v>
      </c>
      <c r="D66" s="4">
        <v>138.5</v>
      </c>
    </row>
    <row r="67" ht="22.5" customHeight="1">
      <c r="B67" s="4">
        <v>1180168.0</v>
      </c>
      <c r="C67" s="4">
        <v>7.9</v>
      </c>
      <c r="D67" s="4">
        <v>138.5</v>
      </c>
    </row>
    <row r="68" ht="22.5" customHeight="1">
      <c r="B68" s="4">
        <v>1200171.0</v>
      </c>
      <c r="C68" s="4">
        <v>7.91</v>
      </c>
      <c r="D68" s="4">
        <v>138.5</v>
      </c>
    </row>
    <row r="69" ht="22.5" customHeight="1">
      <c r="B69" s="4">
        <v>1220173.0</v>
      </c>
      <c r="C69" s="4">
        <v>7.9</v>
      </c>
      <c r="D69" s="4">
        <v>138.5</v>
      </c>
    </row>
    <row r="70" ht="22.5" customHeight="1">
      <c r="B70" s="4">
        <v>1240176.0</v>
      </c>
      <c r="C70" s="4">
        <v>7.9</v>
      </c>
      <c r="D70" s="4">
        <v>138.5</v>
      </c>
    </row>
    <row r="71" ht="22.5" customHeight="1">
      <c r="B71" s="4">
        <v>1260179.0</v>
      </c>
      <c r="C71" s="4">
        <v>7.9</v>
      </c>
      <c r="D71" s="4">
        <v>138.5</v>
      </c>
    </row>
    <row r="72" ht="22.5" customHeight="1">
      <c r="B72" s="4">
        <v>1280183.0</v>
      </c>
      <c r="C72" s="4">
        <v>7.9</v>
      </c>
      <c r="D72" s="4">
        <v>138.4</v>
      </c>
    </row>
    <row r="73" ht="22.5" customHeight="1">
      <c r="B73" s="4">
        <v>1300186.0</v>
      </c>
      <c r="C73" s="4">
        <v>7.9</v>
      </c>
      <c r="D73" s="4">
        <v>138.4</v>
      </c>
    </row>
    <row r="74" ht="22.5" customHeight="1">
      <c r="B74" s="4">
        <v>1320188.0</v>
      </c>
      <c r="C74" s="4">
        <v>7.9</v>
      </c>
      <c r="D74" s="4">
        <v>138.4</v>
      </c>
    </row>
    <row r="75" ht="22.5" customHeight="1">
      <c r="B75" s="4">
        <v>1340191.0</v>
      </c>
      <c r="C75" s="4">
        <v>7.9</v>
      </c>
      <c r="D75" s="4">
        <v>138.3</v>
      </c>
    </row>
    <row r="76" ht="22.5" customHeight="1">
      <c r="B76" s="4">
        <v>1360194.0</v>
      </c>
      <c r="C76" s="4">
        <v>7.9</v>
      </c>
      <c r="D76" s="4">
        <v>138.4</v>
      </c>
    </row>
    <row r="77" ht="22.5" customHeight="1">
      <c r="B77" s="4">
        <v>1380197.0</v>
      </c>
      <c r="C77" s="4">
        <v>7.89</v>
      </c>
      <c r="D77" s="4">
        <v>138.2</v>
      </c>
    </row>
    <row r="78" ht="22.5" customHeight="1">
      <c r="B78" s="4">
        <v>1400200.0</v>
      </c>
      <c r="C78" s="4">
        <v>7.89</v>
      </c>
      <c r="D78" s="4">
        <v>138.2</v>
      </c>
    </row>
    <row r="79" ht="22.5" customHeight="1">
      <c r="B79" s="4">
        <v>1420203.0</v>
      </c>
      <c r="C79" s="4">
        <v>7.89</v>
      </c>
      <c r="D79" s="4">
        <v>138.2</v>
      </c>
    </row>
    <row r="80" ht="22.5" customHeight="1">
      <c r="B80" s="4">
        <v>1440205.0</v>
      </c>
      <c r="C80" s="4">
        <v>7.89</v>
      </c>
      <c r="D80" s="4">
        <v>138.2</v>
      </c>
    </row>
    <row r="81" ht="22.5" customHeight="1">
      <c r="B81" s="4">
        <v>1460208.0</v>
      </c>
      <c r="C81" s="4">
        <v>7.93</v>
      </c>
      <c r="D81" s="4">
        <v>138.9</v>
      </c>
    </row>
    <row r="82" ht="22.5" customHeight="1">
      <c r="B82" s="4">
        <v>1480211.0</v>
      </c>
      <c r="C82" s="4">
        <v>7.93</v>
      </c>
      <c r="D82" s="4">
        <v>139.0</v>
      </c>
    </row>
    <row r="83" ht="22.5" customHeight="1">
      <c r="B83" s="4">
        <v>1500214.0</v>
      </c>
      <c r="C83" s="4">
        <v>7.93</v>
      </c>
      <c r="D83" s="4">
        <v>139.0</v>
      </c>
    </row>
    <row r="84" ht="22.5" customHeight="1">
      <c r="B84" s="4">
        <v>1520217.0</v>
      </c>
      <c r="C84" s="4">
        <v>7.92</v>
      </c>
      <c r="D84" s="4">
        <v>138.8</v>
      </c>
    </row>
    <row r="85" ht="22.5" customHeight="1">
      <c r="B85" s="4">
        <v>1540219.0</v>
      </c>
      <c r="C85" s="4">
        <v>7.9</v>
      </c>
      <c r="D85" s="4">
        <v>138.4</v>
      </c>
    </row>
    <row r="86" ht="22.5" customHeight="1">
      <c r="B86" s="4">
        <v>1560222.0</v>
      </c>
      <c r="C86" s="4">
        <v>7.88</v>
      </c>
      <c r="D86" s="4">
        <v>138.2</v>
      </c>
    </row>
    <row r="87" ht="22.5" customHeight="1">
      <c r="B87" s="4">
        <v>1580225.0</v>
      </c>
      <c r="C87" s="4">
        <v>7.88</v>
      </c>
      <c r="D87" s="4">
        <v>138.2</v>
      </c>
    </row>
    <row r="88" ht="22.5" customHeight="1">
      <c r="B88" s="4">
        <v>1600228.0</v>
      </c>
      <c r="C88" s="4">
        <v>7.89</v>
      </c>
      <c r="D88" s="4">
        <v>138.1</v>
      </c>
    </row>
    <row r="89" ht="22.5" customHeight="1">
      <c r="B89" s="4">
        <v>1620231.0</v>
      </c>
      <c r="C89" s="4">
        <v>7.88</v>
      </c>
      <c r="D89" s="4">
        <v>138.1</v>
      </c>
    </row>
    <row r="90" ht="22.5" customHeight="1">
      <c r="B90" s="4">
        <v>1640233.0</v>
      </c>
      <c r="C90" s="4">
        <v>7.88</v>
      </c>
      <c r="D90" s="4">
        <v>138.1</v>
      </c>
    </row>
    <row r="91" ht="22.5" customHeight="1">
      <c r="B91" s="4">
        <v>1660236.0</v>
      </c>
      <c r="C91" s="4">
        <v>7.88</v>
      </c>
      <c r="D91" s="4">
        <v>138.0</v>
      </c>
    </row>
    <row r="92" ht="22.5" customHeight="1">
      <c r="B92" s="4">
        <v>1680239.0</v>
      </c>
      <c r="C92" s="4">
        <v>7.88</v>
      </c>
      <c r="D92" s="4">
        <v>137.9</v>
      </c>
    </row>
    <row r="93" ht="22.5" customHeight="1">
      <c r="B93" s="4">
        <v>1700242.0</v>
      </c>
      <c r="C93" s="4">
        <v>7.87</v>
      </c>
      <c r="D93" s="4">
        <v>137.9</v>
      </c>
    </row>
    <row r="94" ht="22.5" customHeight="1">
      <c r="B94" s="4">
        <v>1720245.0</v>
      </c>
      <c r="C94" s="4">
        <v>7.87</v>
      </c>
      <c r="D94" s="4">
        <v>137.9</v>
      </c>
    </row>
    <row r="95" ht="22.5" customHeight="1">
      <c r="B95" s="4">
        <v>1740248.0</v>
      </c>
      <c r="C95" s="4">
        <v>7.86</v>
      </c>
      <c r="D95" s="4">
        <v>137.8</v>
      </c>
    </row>
    <row r="96" ht="22.5" customHeight="1">
      <c r="B96" s="4">
        <v>1760250.0</v>
      </c>
      <c r="C96" s="4">
        <v>7.86</v>
      </c>
      <c r="D96" s="4">
        <v>137.9</v>
      </c>
    </row>
    <row r="97" ht="22.5" customHeight="1">
      <c r="B97" s="4">
        <v>1780253.0</v>
      </c>
      <c r="C97" s="4">
        <v>7.87</v>
      </c>
      <c r="D97" s="4">
        <v>137.9</v>
      </c>
    </row>
    <row r="98" ht="22.5" customHeight="1">
      <c r="B98" s="4">
        <v>1800256.0</v>
      </c>
      <c r="C98" s="4">
        <v>7.87</v>
      </c>
      <c r="D98" s="4">
        <v>137.9</v>
      </c>
    </row>
    <row r="99" ht="22.5" customHeight="1">
      <c r="B99" s="4">
        <v>1820259.0</v>
      </c>
      <c r="C99" s="4">
        <v>7.88</v>
      </c>
      <c r="D99" s="4">
        <v>138.0</v>
      </c>
    </row>
    <row r="100" ht="22.5" customHeight="1">
      <c r="B100" s="4">
        <v>1840262.0</v>
      </c>
      <c r="C100" s="4">
        <v>7.88</v>
      </c>
      <c r="D100" s="4">
        <v>138.0</v>
      </c>
    </row>
    <row r="101" ht="22.5" customHeight="1">
      <c r="B101" s="4">
        <v>1860264.0</v>
      </c>
      <c r="C101" s="4">
        <v>7.87</v>
      </c>
      <c r="D101" s="4">
        <v>137.9</v>
      </c>
    </row>
    <row r="102" ht="22.5" customHeight="1">
      <c r="B102" s="4">
        <v>1880267.0</v>
      </c>
      <c r="C102" s="4">
        <v>7.87</v>
      </c>
      <c r="D102" s="4">
        <v>138.0</v>
      </c>
    </row>
    <row r="103" ht="22.5" customHeight="1">
      <c r="B103" s="4">
        <v>1900270.0</v>
      </c>
      <c r="C103" s="4">
        <v>7.87</v>
      </c>
      <c r="D103" s="4">
        <v>137.9</v>
      </c>
    </row>
    <row r="104" ht="22.5" customHeight="1">
      <c r="B104" s="4">
        <v>1920273.0</v>
      </c>
      <c r="C104" s="4">
        <v>7.88</v>
      </c>
      <c r="D104" s="4">
        <v>138.0</v>
      </c>
    </row>
    <row r="105" ht="22.5" customHeight="1">
      <c r="B105" s="4">
        <v>1940276.0</v>
      </c>
      <c r="C105" s="4">
        <v>7.88</v>
      </c>
      <c r="D105" s="4">
        <v>138.1</v>
      </c>
    </row>
    <row r="106" ht="22.5" customHeight="1">
      <c r="B106" s="4">
        <v>1960279.0</v>
      </c>
      <c r="C106" s="4">
        <v>7.88</v>
      </c>
      <c r="D106" s="4">
        <v>138.0</v>
      </c>
    </row>
    <row r="107" ht="22.5" customHeight="1">
      <c r="B107" s="4">
        <v>1980281.0</v>
      </c>
      <c r="C107" s="4">
        <v>7.87</v>
      </c>
      <c r="D107" s="4">
        <v>138.0</v>
      </c>
    </row>
    <row r="108" ht="22.5" customHeight="1">
      <c r="B108" s="4">
        <v>2000284.0</v>
      </c>
      <c r="C108" s="4">
        <v>7.88</v>
      </c>
      <c r="D108" s="4">
        <v>138.0</v>
      </c>
    </row>
    <row r="109" ht="22.5" customHeight="1">
      <c r="B109" s="4">
        <v>2020287.0</v>
      </c>
      <c r="C109" s="4">
        <v>7.87</v>
      </c>
      <c r="D109" s="4">
        <v>137.9</v>
      </c>
    </row>
    <row r="110" ht="22.5" customHeight="1">
      <c r="B110" s="4">
        <v>2040290.0</v>
      </c>
      <c r="C110" s="4">
        <v>7.87</v>
      </c>
      <c r="D110" s="4">
        <v>137.9</v>
      </c>
    </row>
    <row r="111" ht="22.5" customHeight="1">
      <c r="B111" s="4">
        <v>2060293.0</v>
      </c>
      <c r="C111" s="4">
        <v>7.87</v>
      </c>
      <c r="D111" s="4">
        <v>138.0</v>
      </c>
    </row>
    <row r="112" ht="22.5" customHeight="1">
      <c r="B112" s="4">
        <v>2080295.0</v>
      </c>
      <c r="C112" s="4">
        <v>7.87</v>
      </c>
      <c r="D112" s="4">
        <v>138.0</v>
      </c>
    </row>
    <row r="113" ht="22.5" customHeight="1">
      <c r="B113" s="4">
        <v>2100298.0</v>
      </c>
      <c r="C113" s="4">
        <v>7.88</v>
      </c>
      <c r="D113" s="4">
        <v>138.0</v>
      </c>
    </row>
    <row r="114" ht="22.5" customHeight="1">
      <c r="B114" s="4">
        <v>2120301.0</v>
      </c>
      <c r="C114" s="4">
        <v>7.88</v>
      </c>
      <c r="D114" s="4">
        <v>138.1</v>
      </c>
    </row>
    <row r="115" ht="22.5" customHeight="1">
      <c r="B115" s="4">
        <v>2140305.0</v>
      </c>
      <c r="C115" s="4">
        <v>7.88</v>
      </c>
      <c r="D115" s="4">
        <v>138.1</v>
      </c>
    </row>
    <row r="116" ht="22.5" customHeight="1">
      <c r="B116" s="4">
        <v>2160308.0</v>
      </c>
      <c r="C116" s="4">
        <v>7.88</v>
      </c>
      <c r="D116" s="4">
        <v>138.1</v>
      </c>
    </row>
    <row r="117" ht="22.5" customHeight="1">
      <c r="B117" s="4">
        <v>2180311.0</v>
      </c>
      <c r="C117" s="4">
        <v>7.88</v>
      </c>
      <c r="D117" s="4">
        <v>137.9</v>
      </c>
    </row>
    <row r="118" ht="22.5" customHeight="1">
      <c r="B118" s="4">
        <v>2200313.0</v>
      </c>
      <c r="C118" s="4">
        <v>7.88</v>
      </c>
      <c r="D118" s="4">
        <v>138.1</v>
      </c>
    </row>
    <row r="119" ht="22.5" customHeight="1">
      <c r="B119" s="4">
        <v>2220316.0</v>
      </c>
      <c r="C119" s="4">
        <v>7.88</v>
      </c>
      <c r="D119" s="4">
        <v>138.1</v>
      </c>
    </row>
    <row r="120" ht="22.5" customHeight="1">
      <c r="B120" s="4">
        <v>2240319.0</v>
      </c>
      <c r="C120" s="4">
        <v>7.88</v>
      </c>
      <c r="D120" s="4">
        <v>138.0</v>
      </c>
    </row>
    <row r="121" ht="22.5" customHeight="1">
      <c r="B121" s="4">
        <v>2260322.0</v>
      </c>
      <c r="C121" s="4">
        <v>7.88</v>
      </c>
      <c r="D121" s="4">
        <v>138.0</v>
      </c>
    </row>
    <row r="122" ht="22.5" customHeight="1">
      <c r="B122" s="4">
        <v>2280325.0</v>
      </c>
      <c r="C122" s="4">
        <v>7.88</v>
      </c>
      <c r="D122" s="4">
        <v>138.0</v>
      </c>
    </row>
    <row r="123" ht="22.5" customHeight="1">
      <c r="B123" s="4">
        <v>2300327.0</v>
      </c>
      <c r="C123" s="4">
        <v>7.88</v>
      </c>
      <c r="D123" s="4">
        <v>137.8</v>
      </c>
    </row>
    <row r="124" ht="22.5" customHeight="1">
      <c r="B124" s="4">
        <v>2320330.0</v>
      </c>
      <c r="C124" s="4">
        <v>7.87</v>
      </c>
      <c r="D124" s="4">
        <v>137.9</v>
      </c>
    </row>
    <row r="125" ht="22.5" customHeight="1">
      <c r="B125" s="4">
        <v>2340333.0</v>
      </c>
      <c r="C125" s="4">
        <v>7.84</v>
      </c>
      <c r="D125" s="4">
        <v>137.5</v>
      </c>
    </row>
    <row r="126" ht="22.5" customHeight="1">
      <c r="B126" s="4">
        <v>2360336.0</v>
      </c>
      <c r="C126" s="4">
        <v>7.86</v>
      </c>
      <c r="D126" s="4">
        <v>137.6</v>
      </c>
    </row>
    <row r="127" ht="22.5" customHeight="1">
      <c r="B127" s="4">
        <v>2380339.0</v>
      </c>
      <c r="C127" s="4">
        <v>7.84</v>
      </c>
      <c r="D127" s="4">
        <v>137.3</v>
      </c>
    </row>
    <row r="128" ht="22.5" customHeight="1">
      <c r="B128" s="4">
        <v>2400342.0</v>
      </c>
      <c r="C128" s="4">
        <v>7.84</v>
      </c>
      <c r="D128" s="4">
        <v>137.4</v>
      </c>
    </row>
    <row r="129" ht="22.5" customHeight="1">
      <c r="B129" s="4">
        <v>2420344.0</v>
      </c>
      <c r="C129" s="4">
        <v>7.84</v>
      </c>
      <c r="D129" s="4">
        <v>137.3</v>
      </c>
    </row>
    <row r="130" ht="22.5" customHeight="1">
      <c r="B130" s="4">
        <v>2440347.0</v>
      </c>
      <c r="C130" s="4">
        <v>7.84</v>
      </c>
      <c r="D130" s="4">
        <v>137.4</v>
      </c>
    </row>
    <row r="131" ht="22.5" customHeight="1">
      <c r="B131" s="4">
        <v>2460350.0</v>
      </c>
      <c r="C131" s="4">
        <v>7.85</v>
      </c>
      <c r="D131" s="4">
        <v>137.6</v>
      </c>
    </row>
    <row r="132" ht="22.5" customHeight="1">
      <c r="B132" s="4">
        <v>2480353.0</v>
      </c>
      <c r="C132" s="4">
        <v>7.84</v>
      </c>
      <c r="D132" s="4">
        <v>137.3</v>
      </c>
    </row>
    <row r="133" ht="22.5" customHeight="1">
      <c r="B133" s="4">
        <v>2500356.0</v>
      </c>
      <c r="C133" s="4">
        <v>7.83</v>
      </c>
      <c r="D133" s="4">
        <v>137.1</v>
      </c>
    </row>
    <row r="134" ht="22.5" customHeight="1">
      <c r="B134" s="4">
        <v>2520358.0</v>
      </c>
      <c r="C134" s="4">
        <v>7.89</v>
      </c>
      <c r="D134" s="4">
        <v>138.2</v>
      </c>
    </row>
    <row r="135" ht="22.5" customHeight="1">
      <c r="B135" s="4">
        <v>2540361.0</v>
      </c>
      <c r="C135" s="4">
        <v>7.86</v>
      </c>
      <c r="D135" s="4">
        <v>137.6</v>
      </c>
    </row>
    <row r="136" ht="22.5" customHeight="1">
      <c r="B136" s="4">
        <v>2560364.0</v>
      </c>
      <c r="C136" s="4">
        <v>7.86</v>
      </c>
      <c r="D136" s="4">
        <v>137.6</v>
      </c>
    </row>
    <row r="137" ht="22.5" customHeight="1">
      <c r="B137" s="4">
        <v>2580367.0</v>
      </c>
      <c r="C137" s="4">
        <v>7.82</v>
      </c>
      <c r="D137" s="4">
        <v>137.1</v>
      </c>
    </row>
    <row r="138" ht="22.5" customHeight="1">
      <c r="B138" s="4">
        <v>2600370.0</v>
      </c>
      <c r="C138" s="4">
        <v>7.86</v>
      </c>
      <c r="D138" s="4">
        <v>137.7</v>
      </c>
    </row>
    <row r="139" ht="22.5" customHeight="1">
      <c r="B139" s="4">
        <v>2620372.0</v>
      </c>
      <c r="C139" s="4">
        <v>7.97</v>
      </c>
      <c r="D139" s="4">
        <v>139.7</v>
      </c>
    </row>
    <row r="140" ht="22.5" customHeight="1">
      <c r="B140" s="4">
        <v>2640375.0</v>
      </c>
      <c r="C140" s="4">
        <v>7.97</v>
      </c>
      <c r="D140" s="4">
        <v>139.7</v>
      </c>
    </row>
    <row r="141" ht="22.5" customHeight="1">
      <c r="B141" s="4">
        <v>2660378.0</v>
      </c>
      <c r="C141" s="4">
        <v>7.97</v>
      </c>
      <c r="D141" s="4">
        <v>139.6</v>
      </c>
    </row>
    <row r="142" ht="22.5" customHeight="1">
      <c r="B142" s="4">
        <v>2680381.0</v>
      </c>
      <c r="C142" s="4">
        <v>7.97</v>
      </c>
      <c r="D142" s="4">
        <v>139.6</v>
      </c>
    </row>
    <row r="143" ht="22.5" customHeight="1">
      <c r="B143" s="4">
        <v>2700384.0</v>
      </c>
      <c r="C143" s="4">
        <v>7.96</v>
      </c>
      <c r="D143" s="4">
        <v>139.6</v>
      </c>
    </row>
    <row r="144" ht="22.5" customHeight="1">
      <c r="B144" s="4">
        <v>2720387.0</v>
      </c>
      <c r="C144" s="4">
        <v>7.96</v>
      </c>
      <c r="D144" s="4">
        <v>139.6</v>
      </c>
    </row>
    <row r="145" ht="22.5" customHeight="1">
      <c r="B145" s="4">
        <v>2740389.0</v>
      </c>
      <c r="C145" s="4">
        <v>7.96</v>
      </c>
      <c r="D145" s="4">
        <v>139.6</v>
      </c>
    </row>
    <row r="146" ht="22.5" customHeight="1">
      <c r="B146" s="4">
        <v>2760392.0</v>
      </c>
      <c r="C146" s="4">
        <v>7.96</v>
      </c>
      <c r="D146" s="4">
        <v>139.6</v>
      </c>
    </row>
    <row r="147" ht="22.5" customHeight="1">
      <c r="B147" s="4">
        <v>2780395.0</v>
      </c>
      <c r="C147" s="4">
        <v>7.96</v>
      </c>
      <c r="D147" s="4">
        <v>139.6</v>
      </c>
    </row>
    <row r="148" ht="22.5" customHeight="1">
      <c r="B148" s="4">
        <v>2800398.0</v>
      </c>
      <c r="C148" s="4">
        <v>7.96</v>
      </c>
      <c r="D148" s="4">
        <v>139.6</v>
      </c>
    </row>
    <row r="149" ht="22.5" customHeight="1">
      <c r="B149" s="4">
        <v>2820401.0</v>
      </c>
      <c r="C149" s="4">
        <v>7.96</v>
      </c>
      <c r="D149" s="4">
        <v>139.6</v>
      </c>
    </row>
    <row r="150" ht="22.5" customHeight="1">
      <c r="B150" s="4">
        <v>2840403.0</v>
      </c>
      <c r="C150" s="4">
        <v>7.96</v>
      </c>
      <c r="D150" s="4">
        <v>139.6</v>
      </c>
    </row>
    <row r="151" ht="22.5" customHeight="1">
      <c r="B151" s="4">
        <v>2860406.0</v>
      </c>
      <c r="C151" s="4">
        <v>7.96</v>
      </c>
      <c r="D151" s="4">
        <v>139.6</v>
      </c>
    </row>
    <row r="152" ht="22.5" customHeight="1">
      <c r="B152" s="4">
        <v>2880409.0</v>
      </c>
      <c r="C152" s="4">
        <v>7.96</v>
      </c>
      <c r="D152" s="4">
        <v>139.5</v>
      </c>
    </row>
    <row r="153" ht="22.5" customHeight="1">
      <c r="B153" s="4">
        <v>2900412.0</v>
      </c>
      <c r="C153" s="4">
        <v>7.96</v>
      </c>
      <c r="D153" s="4">
        <v>139.5</v>
      </c>
    </row>
    <row r="154" ht="22.5" customHeight="1">
      <c r="B154" s="4">
        <v>2920416.0</v>
      </c>
      <c r="C154" s="4">
        <v>7.96</v>
      </c>
      <c r="D154" s="4">
        <v>139.5</v>
      </c>
    </row>
    <row r="155" ht="22.5" customHeight="1">
      <c r="B155" s="4">
        <v>2940419.0</v>
      </c>
      <c r="C155" s="4">
        <v>7.96</v>
      </c>
      <c r="D155" s="4">
        <v>139.5</v>
      </c>
    </row>
    <row r="156" ht="22.5" customHeight="1">
      <c r="B156" s="4">
        <v>2960421.0</v>
      </c>
      <c r="C156" s="4">
        <v>7.96</v>
      </c>
      <c r="D156" s="4">
        <v>139.5</v>
      </c>
    </row>
    <row r="157" ht="22.5" customHeight="1">
      <c r="B157" s="4">
        <v>2980424.0</v>
      </c>
      <c r="C157" s="4">
        <v>7.96</v>
      </c>
      <c r="D157" s="4">
        <v>139.5</v>
      </c>
    </row>
    <row r="158" ht="22.5" customHeight="1">
      <c r="B158" s="4">
        <v>3000427.0</v>
      </c>
      <c r="C158" s="4">
        <v>7.96</v>
      </c>
      <c r="D158" s="4">
        <v>139.5</v>
      </c>
    </row>
    <row r="159" ht="22.5" customHeight="1">
      <c r="B159" s="4">
        <v>3020430.0</v>
      </c>
      <c r="C159" s="4">
        <v>7.96</v>
      </c>
      <c r="D159" s="4">
        <v>139.5</v>
      </c>
    </row>
    <row r="160" ht="22.5" customHeight="1">
      <c r="B160" s="4">
        <v>3040433.0</v>
      </c>
      <c r="C160" s="4">
        <v>7.96</v>
      </c>
      <c r="D160" s="4">
        <v>139.5</v>
      </c>
    </row>
    <row r="161" ht="22.5" customHeight="1">
      <c r="B161" s="4">
        <v>3060435.0</v>
      </c>
      <c r="C161" s="4">
        <v>7.96</v>
      </c>
      <c r="D161" s="4">
        <v>139.5</v>
      </c>
    </row>
    <row r="162" ht="22.5" customHeight="1">
      <c r="B162" s="4">
        <v>3080438.0</v>
      </c>
      <c r="C162" s="4">
        <v>7.96</v>
      </c>
      <c r="D162" s="4">
        <v>139.5</v>
      </c>
    </row>
    <row r="163" ht="22.5" customHeight="1">
      <c r="B163" s="4">
        <v>3100441.0</v>
      </c>
      <c r="C163" s="4">
        <v>7.96</v>
      </c>
      <c r="D163" s="4">
        <v>139.5</v>
      </c>
    </row>
    <row r="164" ht="22.5" customHeight="1">
      <c r="B164" s="4">
        <v>3120444.0</v>
      </c>
      <c r="C164" s="4">
        <v>7.96</v>
      </c>
      <c r="D164" s="4">
        <v>139.6</v>
      </c>
    </row>
    <row r="165" ht="22.5" customHeight="1">
      <c r="B165" s="4">
        <v>3140447.0</v>
      </c>
      <c r="C165" s="4">
        <v>7.96</v>
      </c>
      <c r="D165" s="4">
        <v>139.4</v>
      </c>
    </row>
    <row r="166" ht="22.5" customHeight="1">
      <c r="B166" s="4">
        <v>3160450.0</v>
      </c>
      <c r="C166" s="4">
        <v>7.96</v>
      </c>
      <c r="D166" s="4">
        <v>139.5</v>
      </c>
    </row>
    <row r="167" ht="22.5" customHeight="1">
      <c r="B167" s="4">
        <v>3180452.0</v>
      </c>
      <c r="C167" s="4">
        <v>7.96</v>
      </c>
      <c r="D167" s="4">
        <v>139.5</v>
      </c>
    </row>
    <row r="168" ht="22.5" customHeight="1">
      <c r="B168" s="4">
        <v>3200455.0</v>
      </c>
      <c r="C168" s="4">
        <v>7.96</v>
      </c>
      <c r="D168" s="4">
        <v>139.4</v>
      </c>
    </row>
    <row r="169" ht="22.5" customHeight="1">
      <c r="B169" s="4">
        <v>3220458.0</v>
      </c>
      <c r="C169" s="4">
        <v>7.95</v>
      </c>
      <c r="D169" s="4">
        <v>139.4</v>
      </c>
    </row>
    <row r="170" ht="22.5" customHeight="1">
      <c r="B170" s="4">
        <v>3240461.0</v>
      </c>
      <c r="C170" s="4">
        <v>7.96</v>
      </c>
      <c r="D170" s="4">
        <v>139.4</v>
      </c>
    </row>
    <row r="171" ht="22.5" customHeight="1">
      <c r="B171" s="4">
        <v>3260464.0</v>
      </c>
      <c r="C171" s="4">
        <v>7.95</v>
      </c>
      <c r="D171" s="4">
        <v>139.4</v>
      </c>
    </row>
    <row r="172" ht="22.5" customHeight="1">
      <c r="B172" s="4">
        <v>3280466.0</v>
      </c>
      <c r="C172" s="4">
        <v>7.95</v>
      </c>
      <c r="D172" s="4">
        <v>139.5</v>
      </c>
    </row>
    <row r="173" ht="22.5" customHeight="1">
      <c r="B173" s="4">
        <v>3300469.0</v>
      </c>
      <c r="C173" s="4">
        <v>7.96</v>
      </c>
      <c r="D173" s="4">
        <v>139.4</v>
      </c>
    </row>
    <row r="174" ht="22.5" customHeight="1">
      <c r="B174" s="4">
        <v>3320472.0</v>
      </c>
      <c r="C174" s="4">
        <v>7.96</v>
      </c>
      <c r="D174" s="4">
        <v>139.4</v>
      </c>
    </row>
    <row r="175" ht="22.5" customHeight="1">
      <c r="B175" s="4">
        <v>3340475.0</v>
      </c>
      <c r="C175" s="4">
        <v>7.95</v>
      </c>
      <c r="D175" s="4">
        <v>139.4</v>
      </c>
    </row>
    <row r="176" ht="22.5" customHeight="1">
      <c r="B176" s="4">
        <v>3360478.0</v>
      </c>
      <c r="C176" s="4">
        <v>7.96</v>
      </c>
      <c r="D176" s="4">
        <v>139.4</v>
      </c>
    </row>
    <row r="177" ht="22.5" customHeight="1">
      <c r="B177" s="4">
        <v>3380481.0</v>
      </c>
      <c r="C177" s="4">
        <v>7.95</v>
      </c>
      <c r="D177" s="4">
        <v>139.4</v>
      </c>
    </row>
    <row r="178" ht="22.5" customHeight="1">
      <c r="B178" s="4">
        <v>3400483.0</v>
      </c>
      <c r="C178" s="4">
        <v>7.95</v>
      </c>
      <c r="D178" s="4">
        <v>139.4</v>
      </c>
    </row>
    <row r="179" ht="22.5" customHeight="1">
      <c r="B179" s="4">
        <v>3420486.0</v>
      </c>
      <c r="C179" s="4">
        <v>7.95</v>
      </c>
      <c r="D179" s="4">
        <v>139.4</v>
      </c>
    </row>
    <row r="180" ht="22.5" customHeight="1">
      <c r="B180" s="4">
        <v>3440489.0</v>
      </c>
      <c r="C180" s="4">
        <v>7.95</v>
      </c>
      <c r="D180" s="4">
        <v>139.5</v>
      </c>
    </row>
    <row r="181" ht="22.5" customHeight="1">
      <c r="B181" s="4">
        <v>3460492.0</v>
      </c>
      <c r="C181" s="4">
        <v>7.95</v>
      </c>
      <c r="D181" s="4">
        <v>139.5</v>
      </c>
    </row>
    <row r="182" ht="22.5" customHeight="1">
      <c r="B182" s="4">
        <v>3480495.0</v>
      </c>
      <c r="C182" s="4">
        <v>7.95</v>
      </c>
      <c r="D182" s="4">
        <v>139.4</v>
      </c>
    </row>
    <row r="183" ht="22.5" customHeight="1">
      <c r="B183" s="4">
        <v>3500497.0</v>
      </c>
      <c r="C183" s="4">
        <v>7.95</v>
      </c>
      <c r="D183" s="4">
        <v>139.4</v>
      </c>
    </row>
    <row r="184" ht="22.5" customHeight="1">
      <c r="B184" s="4">
        <v>3520500.0</v>
      </c>
      <c r="C184" s="4">
        <v>7.95</v>
      </c>
      <c r="D184" s="4">
        <v>139.4</v>
      </c>
    </row>
    <row r="185" ht="22.5" customHeight="1">
      <c r="B185" s="4">
        <v>3540503.0</v>
      </c>
      <c r="C185" s="4">
        <v>7.95</v>
      </c>
      <c r="D185" s="4">
        <v>139.4</v>
      </c>
    </row>
    <row r="186" ht="22.5" customHeight="1">
      <c r="B186" s="4">
        <v>3560506.0</v>
      </c>
      <c r="C186" s="4">
        <v>7.95</v>
      </c>
      <c r="D186" s="4">
        <v>139.5</v>
      </c>
    </row>
    <row r="187" ht="22.5" customHeight="1">
      <c r="B187" s="4">
        <v>3580509.0</v>
      </c>
      <c r="C187" s="4">
        <v>7.96</v>
      </c>
      <c r="D187" s="4">
        <v>139.4</v>
      </c>
    </row>
    <row r="188" ht="22.5" customHeight="1">
      <c r="B188" s="4">
        <v>3600512.0</v>
      </c>
      <c r="C188" s="4">
        <v>7.95</v>
      </c>
      <c r="D188" s="4">
        <v>139.5</v>
      </c>
    </row>
    <row r="189" ht="22.5" customHeight="1">
      <c r="B189" s="4">
        <v>3620514.0</v>
      </c>
      <c r="C189" s="4">
        <v>7.95</v>
      </c>
      <c r="D189" s="4">
        <v>139.4</v>
      </c>
    </row>
    <row r="190" ht="22.5" customHeight="1">
      <c r="B190" s="4">
        <v>3640517.0</v>
      </c>
      <c r="C190" s="4">
        <v>7.96</v>
      </c>
      <c r="D190" s="4">
        <v>139.5</v>
      </c>
    </row>
    <row r="191" ht="22.5" customHeight="1">
      <c r="B191" s="4">
        <v>3660520.0</v>
      </c>
      <c r="C191" s="4">
        <v>7.95</v>
      </c>
      <c r="D191" s="4">
        <v>139.4</v>
      </c>
    </row>
    <row r="192" ht="22.5" customHeight="1">
      <c r="B192" s="4">
        <v>3680523.0</v>
      </c>
      <c r="C192" s="4">
        <v>7.95</v>
      </c>
      <c r="D192" s="4">
        <v>139.4</v>
      </c>
    </row>
    <row r="193" ht="22.5" customHeight="1">
      <c r="B193" s="4">
        <v>3700527.0</v>
      </c>
      <c r="C193" s="4">
        <v>7.95</v>
      </c>
      <c r="D193" s="4">
        <v>139.4</v>
      </c>
    </row>
    <row r="194" ht="22.5" customHeight="1">
      <c r="B194" s="4">
        <v>3720529.0</v>
      </c>
      <c r="C194" s="4">
        <v>7.95</v>
      </c>
      <c r="D194" s="4">
        <v>139.4</v>
      </c>
    </row>
    <row r="195" ht="22.5" customHeight="1">
      <c r="B195" s="4">
        <v>3740532.0</v>
      </c>
      <c r="C195" s="4">
        <v>7.95</v>
      </c>
      <c r="D195" s="4">
        <v>139.4</v>
      </c>
    </row>
    <row r="196" ht="22.5" customHeight="1">
      <c r="B196" s="4">
        <v>3760535.0</v>
      </c>
      <c r="C196" s="4">
        <v>7.95</v>
      </c>
      <c r="D196" s="4">
        <v>139.4</v>
      </c>
    </row>
    <row r="197" ht="22.5" customHeight="1">
      <c r="B197" s="4">
        <v>3780538.0</v>
      </c>
      <c r="C197" s="4">
        <v>7.95</v>
      </c>
      <c r="D197" s="4">
        <v>139.4</v>
      </c>
    </row>
    <row r="198" ht="22.5" customHeight="1">
      <c r="B198" s="4">
        <v>3800541.0</v>
      </c>
      <c r="C198" s="4">
        <v>7.95</v>
      </c>
      <c r="D198" s="4">
        <v>139.4</v>
      </c>
    </row>
    <row r="199" ht="22.5" customHeight="1">
      <c r="B199" s="4">
        <v>3820544.0</v>
      </c>
      <c r="C199" s="4">
        <v>7.95</v>
      </c>
      <c r="D199" s="4">
        <v>139.4</v>
      </c>
    </row>
    <row r="200" ht="22.5" customHeight="1">
      <c r="B200" s="4">
        <v>3840546.0</v>
      </c>
      <c r="C200" s="4">
        <v>7.95</v>
      </c>
      <c r="D200" s="4">
        <v>139.4</v>
      </c>
    </row>
    <row r="201" ht="22.5" customHeight="1">
      <c r="B201" s="4">
        <v>3860549.0</v>
      </c>
      <c r="C201" s="4">
        <v>7.95</v>
      </c>
      <c r="D201" s="4">
        <v>139.4</v>
      </c>
    </row>
    <row r="202" ht="22.5" customHeight="1">
      <c r="B202" s="4">
        <v>3880552.0</v>
      </c>
      <c r="C202" s="4">
        <v>7.95</v>
      </c>
      <c r="D202" s="4">
        <v>139.4</v>
      </c>
    </row>
    <row r="203" ht="22.5" customHeight="1">
      <c r="B203" s="4">
        <v>3900555.0</v>
      </c>
      <c r="C203" s="4">
        <v>7.95</v>
      </c>
      <c r="D203" s="4">
        <v>139.4</v>
      </c>
    </row>
    <row r="204" ht="22.5" customHeight="1">
      <c r="B204" s="4">
        <v>3920558.0</v>
      </c>
      <c r="C204" s="4">
        <v>7.95</v>
      </c>
      <c r="D204" s="4">
        <v>139.4</v>
      </c>
    </row>
    <row r="205" ht="22.5" customHeight="1">
      <c r="B205" s="4">
        <v>3940560.0</v>
      </c>
      <c r="C205" s="4">
        <v>7.95</v>
      </c>
      <c r="D205" s="4">
        <v>139.4</v>
      </c>
    </row>
    <row r="206" ht="22.5" customHeight="1">
      <c r="B206" s="4">
        <v>3960563.0</v>
      </c>
      <c r="C206" s="4">
        <v>7.95</v>
      </c>
      <c r="D206" s="4">
        <v>139.4</v>
      </c>
    </row>
    <row r="207" ht="22.5" customHeight="1">
      <c r="B207" s="4">
        <v>3980566.0</v>
      </c>
      <c r="C207" s="4">
        <v>7.95</v>
      </c>
      <c r="D207" s="4">
        <v>139.4</v>
      </c>
    </row>
    <row r="208" ht="22.5" customHeight="1">
      <c r="B208" s="4">
        <v>4000569.0</v>
      </c>
      <c r="C208" s="4">
        <v>7.95</v>
      </c>
      <c r="D208" s="4">
        <v>139.4</v>
      </c>
    </row>
    <row r="209" ht="22.5" customHeight="1">
      <c r="B209" s="4">
        <v>4020572.0</v>
      </c>
      <c r="C209" s="4">
        <v>7.95</v>
      </c>
      <c r="D209" s="4">
        <v>139.4</v>
      </c>
    </row>
    <row r="210" ht="22.5" customHeight="1">
      <c r="B210" s="4">
        <v>4040574.0</v>
      </c>
      <c r="C210" s="4">
        <v>7.95</v>
      </c>
      <c r="D210" s="4">
        <v>139.3</v>
      </c>
    </row>
    <row r="211" ht="22.5" customHeight="1">
      <c r="B211" s="4">
        <v>4060577.0</v>
      </c>
      <c r="C211" s="4">
        <v>7.95</v>
      </c>
      <c r="D211" s="4">
        <v>139.3</v>
      </c>
    </row>
    <row r="212" ht="22.5" customHeight="1">
      <c r="B212" s="4">
        <v>4080580.0</v>
      </c>
      <c r="C212" s="4">
        <v>7.95</v>
      </c>
      <c r="D212" s="4">
        <v>139.4</v>
      </c>
    </row>
    <row r="213" ht="22.5" customHeight="1">
      <c r="B213" s="4">
        <v>4100583.0</v>
      </c>
      <c r="C213" s="4">
        <v>7.95</v>
      </c>
      <c r="D213" s="4">
        <v>139.4</v>
      </c>
    </row>
    <row r="214" ht="22.5" customHeight="1">
      <c r="B214" s="4">
        <v>4120586.0</v>
      </c>
      <c r="C214" s="4">
        <v>7.95</v>
      </c>
      <c r="D214" s="4">
        <v>139.3</v>
      </c>
    </row>
    <row r="215" ht="22.5" customHeight="1">
      <c r="B215" s="4">
        <v>4140589.0</v>
      </c>
      <c r="C215" s="4">
        <v>7.95</v>
      </c>
      <c r="D215" s="4">
        <v>139.4</v>
      </c>
    </row>
    <row r="216" ht="22.5" customHeight="1">
      <c r="B216" s="4">
        <v>4160591.0</v>
      </c>
      <c r="C216" s="4">
        <v>7.95</v>
      </c>
      <c r="D216" s="4">
        <v>139.3</v>
      </c>
    </row>
    <row r="217" ht="22.5" customHeight="1">
      <c r="B217" s="4">
        <v>4180594.0</v>
      </c>
      <c r="C217" s="4">
        <v>7.95</v>
      </c>
      <c r="D217" s="4">
        <v>139.3</v>
      </c>
    </row>
    <row r="218" ht="22.5" customHeight="1">
      <c r="B218" s="4">
        <v>4200597.0</v>
      </c>
      <c r="C218" s="4">
        <v>7.94</v>
      </c>
      <c r="D218" s="4">
        <v>139.3</v>
      </c>
    </row>
    <row r="219" ht="22.5" customHeight="1">
      <c r="B219" s="4">
        <v>4220600.0</v>
      </c>
      <c r="C219" s="4">
        <v>7.94</v>
      </c>
      <c r="D219" s="4">
        <v>139.3</v>
      </c>
    </row>
    <row r="220" ht="22.5" customHeight="1">
      <c r="B220" s="4">
        <v>4240603.0</v>
      </c>
      <c r="C220" s="4">
        <v>7.94</v>
      </c>
      <c r="D220" s="4">
        <v>139.3</v>
      </c>
    </row>
    <row r="221" ht="22.5" customHeight="1">
      <c r="B221" s="4">
        <v>4260605.0</v>
      </c>
      <c r="C221" s="4">
        <v>7.95</v>
      </c>
      <c r="D221" s="4">
        <v>139.3</v>
      </c>
    </row>
    <row r="222" ht="22.5" customHeight="1">
      <c r="B222" s="4">
        <v>4280608.0</v>
      </c>
      <c r="C222" s="4">
        <v>7.94</v>
      </c>
      <c r="D222" s="4">
        <v>139.3</v>
      </c>
    </row>
    <row r="223" ht="22.5" customHeight="1">
      <c r="B223" s="4">
        <v>4300611.0</v>
      </c>
      <c r="C223" s="4">
        <v>7.94</v>
      </c>
      <c r="D223" s="4">
        <v>139.3</v>
      </c>
    </row>
    <row r="224" ht="22.5" customHeight="1">
      <c r="B224" s="4">
        <v>4320614.0</v>
      </c>
      <c r="C224" s="4">
        <v>7.94</v>
      </c>
      <c r="D224" s="4">
        <v>139.3</v>
      </c>
    </row>
    <row r="225" ht="22.5" customHeight="1">
      <c r="B225" s="4">
        <v>4340617.0</v>
      </c>
      <c r="C225" s="4">
        <v>7.94</v>
      </c>
      <c r="D225" s="4">
        <v>139.3</v>
      </c>
    </row>
    <row r="226" ht="22.5" customHeight="1">
      <c r="B226" s="4">
        <v>4360620.0</v>
      </c>
      <c r="C226" s="4">
        <v>7.94</v>
      </c>
      <c r="D226" s="4">
        <v>139.2</v>
      </c>
    </row>
    <row r="227" ht="22.5" customHeight="1">
      <c r="B227" s="4">
        <v>4380622.0</v>
      </c>
      <c r="C227" s="4">
        <v>7.94</v>
      </c>
      <c r="D227" s="4">
        <v>139.2</v>
      </c>
    </row>
    <row r="228" ht="22.5" customHeight="1">
      <c r="B228" s="4">
        <v>4400625.0</v>
      </c>
      <c r="C228" s="4">
        <v>7.94</v>
      </c>
      <c r="D228" s="4">
        <v>139.2</v>
      </c>
    </row>
    <row r="229" ht="22.5" customHeight="1">
      <c r="B229" s="4">
        <v>4420628.0</v>
      </c>
      <c r="C229" s="4">
        <v>7.94</v>
      </c>
      <c r="D229" s="4">
        <v>139.2</v>
      </c>
    </row>
    <row r="230" ht="22.5" customHeight="1">
      <c r="B230" s="4">
        <v>4440632.0</v>
      </c>
      <c r="C230" s="4">
        <v>7.94</v>
      </c>
      <c r="D230" s="4">
        <v>139.1</v>
      </c>
    </row>
    <row r="231" ht="22.5" customHeight="1">
      <c r="B231" s="4">
        <v>4460635.0</v>
      </c>
      <c r="C231" s="4">
        <v>7.93</v>
      </c>
      <c r="D231" s="4">
        <v>139.0</v>
      </c>
    </row>
    <row r="232" ht="22.5" customHeight="1">
      <c r="B232" s="4">
        <v>4480637.0</v>
      </c>
      <c r="C232" s="4">
        <v>7.93</v>
      </c>
      <c r="D232" s="4">
        <v>139.0</v>
      </c>
    </row>
    <row r="233" ht="22.5" customHeight="1">
      <c r="B233" s="4">
        <v>4500640.0</v>
      </c>
      <c r="C233" s="4">
        <v>7.93</v>
      </c>
      <c r="D233" s="4">
        <v>139.0</v>
      </c>
    </row>
    <row r="234" ht="22.5" customHeight="1">
      <c r="B234" s="4">
        <v>4520643.0</v>
      </c>
      <c r="C234" s="4">
        <v>7.93</v>
      </c>
      <c r="D234" s="4">
        <v>139.0</v>
      </c>
    </row>
    <row r="235" ht="22.5" customHeight="1">
      <c r="B235" s="4">
        <v>4540646.0</v>
      </c>
      <c r="C235" s="4">
        <v>7.93</v>
      </c>
      <c r="D235" s="4">
        <v>139.0</v>
      </c>
    </row>
    <row r="236" ht="22.5" customHeight="1">
      <c r="B236" s="4">
        <v>4560649.0</v>
      </c>
      <c r="C236" s="4">
        <v>7.93</v>
      </c>
      <c r="D236" s="4">
        <v>139.0</v>
      </c>
    </row>
    <row r="237" ht="22.5" customHeight="1">
      <c r="B237" s="4">
        <v>4580652.0</v>
      </c>
      <c r="C237" s="4">
        <v>7.93</v>
      </c>
      <c r="D237" s="4">
        <v>139.0</v>
      </c>
    </row>
    <row r="238" ht="22.5" customHeight="1">
      <c r="B238" s="4">
        <v>4600654.0</v>
      </c>
      <c r="C238" s="4">
        <v>7.92</v>
      </c>
      <c r="D238" s="4">
        <v>139.0</v>
      </c>
    </row>
    <row r="239" ht="22.5" customHeight="1">
      <c r="B239" s="4">
        <v>4620657.0</v>
      </c>
      <c r="C239" s="4">
        <v>7.92</v>
      </c>
      <c r="D239" s="4">
        <v>138.9</v>
      </c>
    </row>
    <row r="240" ht="22.5" customHeight="1">
      <c r="B240" s="4">
        <v>4640660.0</v>
      </c>
      <c r="C240" s="4">
        <v>7.92</v>
      </c>
      <c r="D240" s="4">
        <v>138.9</v>
      </c>
    </row>
    <row r="241" ht="22.5" customHeight="1">
      <c r="B241" s="4">
        <v>4660663.0</v>
      </c>
      <c r="C241" s="4">
        <v>7.92</v>
      </c>
      <c r="D241" s="4">
        <v>138.9</v>
      </c>
    </row>
    <row r="242" ht="22.5" customHeight="1">
      <c r="B242" s="4">
        <v>4680666.0</v>
      </c>
      <c r="C242" s="4">
        <v>7.92</v>
      </c>
      <c r="D242" s="4">
        <v>138.8</v>
      </c>
    </row>
    <row r="243" ht="22.5" customHeight="1">
      <c r="B243" s="4">
        <v>4700668.0</v>
      </c>
      <c r="C243" s="4">
        <v>7.92</v>
      </c>
      <c r="D243" s="4">
        <v>138.8</v>
      </c>
    </row>
    <row r="244" ht="22.5" customHeight="1">
      <c r="B244" s="4">
        <v>4720671.0</v>
      </c>
      <c r="C244" s="4">
        <v>7.92</v>
      </c>
      <c r="D244" s="4">
        <v>138.8</v>
      </c>
    </row>
    <row r="245" ht="22.5" customHeight="1">
      <c r="B245" s="4">
        <v>4740674.0</v>
      </c>
      <c r="C245" s="4">
        <v>7.92</v>
      </c>
      <c r="D245" s="4">
        <v>138.8</v>
      </c>
    </row>
    <row r="246" ht="22.5" customHeight="1">
      <c r="B246" s="4">
        <v>4760677.0</v>
      </c>
      <c r="C246" s="4">
        <v>7.92</v>
      </c>
      <c r="D246" s="4">
        <v>138.8</v>
      </c>
    </row>
    <row r="247" ht="22.5" customHeight="1">
      <c r="B247" s="4">
        <v>4780680.0</v>
      </c>
      <c r="C247" s="4">
        <v>7.83</v>
      </c>
      <c r="D247" s="4">
        <v>137.2</v>
      </c>
    </row>
    <row r="248" ht="22.5" customHeight="1">
      <c r="B248" s="4">
        <v>4800683.0</v>
      </c>
      <c r="C248" s="4">
        <v>7.8</v>
      </c>
      <c r="D248" s="4">
        <v>136.6</v>
      </c>
    </row>
    <row r="249" ht="22.5" customHeight="1">
      <c r="B249" s="4">
        <v>4820685.0</v>
      </c>
      <c r="C249" s="4">
        <v>7.86</v>
      </c>
      <c r="D249" s="4">
        <v>137.7</v>
      </c>
    </row>
    <row r="250" ht="22.5" customHeight="1">
      <c r="B250" s="4">
        <v>4840688.0</v>
      </c>
      <c r="C250" s="4">
        <v>7.84</v>
      </c>
      <c r="D250" s="4">
        <v>137.4</v>
      </c>
    </row>
    <row r="251" ht="22.5" customHeight="1">
      <c r="B251" s="4">
        <v>4860691.0</v>
      </c>
      <c r="C251" s="4">
        <v>7.76</v>
      </c>
      <c r="D251" s="4">
        <v>135.8</v>
      </c>
    </row>
    <row r="252" ht="22.5" customHeight="1">
      <c r="B252" s="4">
        <v>4880694.0</v>
      </c>
      <c r="C252" s="4">
        <v>7.84</v>
      </c>
      <c r="D252" s="4">
        <v>137.4</v>
      </c>
    </row>
    <row r="253" ht="22.5" customHeight="1">
      <c r="B253" s="4">
        <v>4900697.0</v>
      </c>
      <c r="C253" s="4">
        <v>7.84</v>
      </c>
      <c r="D253" s="4">
        <v>137.3</v>
      </c>
    </row>
    <row r="254" ht="22.5" customHeight="1">
      <c r="B254" s="4">
        <v>4920699.0</v>
      </c>
      <c r="C254" s="4">
        <v>7.84</v>
      </c>
      <c r="D254" s="4">
        <v>137.4</v>
      </c>
    </row>
    <row r="255" ht="22.5" customHeight="1">
      <c r="B255" s="4">
        <v>4940702.0</v>
      </c>
      <c r="C255" s="4">
        <v>7.82</v>
      </c>
      <c r="D255" s="4">
        <v>137.1</v>
      </c>
    </row>
    <row r="256" ht="22.5" customHeight="1">
      <c r="B256" s="4">
        <v>4960705.0</v>
      </c>
      <c r="C256" s="4">
        <v>7.84</v>
      </c>
      <c r="D256" s="4">
        <v>137.4</v>
      </c>
    </row>
    <row r="257" ht="22.5" customHeight="1">
      <c r="B257" s="4">
        <v>4980708.0</v>
      </c>
      <c r="C257" s="4">
        <v>7.8</v>
      </c>
      <c r="D257" s="4">
        <v>136.7</v>
      </c>
    </row>
    <row r="258" ht="22.5" customHeight="1">
      <c r="B258" s="4">
        <v>5000711.0</v>
      </c>
      <c r="C258" s="4">
        <v>7.8</v>
      </c>
      <c r="D258" s="4">
        <v>136.8</v>
      </c>
    </row>
    <row r="259" ht="22.5" customHeight="1">
      <c r="B259" s="4">
        <v>5020713.0</v>
      </c>
      <c r="C259" s="4">
        <v>7.85</v>
      </c>
      <c r="D259" s="4">
        <v>137.5</v>
      </c>
    </row>
    <row r="260" ht="22.5" customHeight="1">
      <c r="B260" s="4">
        <v>5040716.0</v>
      </c>
      <c r="C260" s="4">
        <v>7.84</v>
      </c>
      <c r="D260" s="4">
        <v>137.3</v>
      </c>
    </row>
    <row r="261" ht="22.5" customHeight="1">
      <c r="B261" s="4">
        <v>5060719.0</v>
      </c>
      <c r="C261" s="4">
        <v>7.83</v>
      </c>
      <c r="D261" s="4">
        <v>137.2</v>
      </c>
    </row>
    <row r="262" ht="22.5" customHeight="1">
      <c r="B262" s="4">
        <v>5080722.0</v>
      </c>
      <c r="C262" s="4">
        <v>7.85</v>
      </c>
      <c r="D262" s="4">
        <v>137.5</v>
      </c>
    </row>
    <row r="263" ht="22.5" customHeight="1">
      <c r="B263" s="4">
        <v>5100725.0</v>
      </c>
      <c r="C263" s="4">
        <v>7.85</v>
      </c>
      <c r="D263" s="4">
        <v>137.6</v>
      </c>
    </row>
    <row r="264" ht="22.5" customHeight="1">
      <c r="B264" s="4">
        <v>5120728.0</v>
      </c>
      <c r="C264" s="4">
        <v>7.87</v>
      </c>
      <c r="D264" s="4">
        <v>137.8</v>
      </c>
    </row>
    <row r="265" ht="22.5" customHeight="1">
      <c r="B265" s="4">
        <v>5140730.0</v>
      </c>
      <c r="C265" s="4">
        <v>7.87</v>
      </c>
      <c r="D265" s="4">
        <v>137.8</v>
      </c>
    </row>
    <row r="266" ht="22.5" customHeight="1">
      <c r="B266" s="4">
        <v>5160733.0</v>
      </c>
      <c r="C266" s="4">
        <v>7.84</v>
      </c>
      <c r="D266" s="4">
        <v>137.3</v>
      </c>
    </row>
    <row r="267" ht="22.5" customHeight="1">
      <c r="B267" s="4">
        <v>5180736.0</v>
      </c>
      <c r="C267" s="4">
        <v>7.82</v>
      </c>
      <c r="D267" s="4">
        <v>137.1</v>
      </c>
    </row>
    <row r="268" ht="22.5" customHeight="1">
      <c r="B268" s="4">
        <v>5200739.0</v>
      </c>
      <c r="C268" s="4">
        <v>7.85</v>
      </c>
      <c r="D268" s="4">
        <v>137.5</v>
      </c>
    </row>
    <row r="269" ht="22.5" customHeight="1">
      <c r="B269" s="4">
        <v>5220742.0</v>
      </c>
      <c r="C269" s="4">
        <v>7.86</v>
      </c>
      <c r="D269" s="4">
        <v>137.7</v>
      </c>
    </row>
    <row r="270" ht="22.5" customHeight="1">
      <c r="B270" s="4">
        <v>5240745.0</v>
      </c>
      <c r="C270" s="4">
        <v>7.84</v>
      </c>
      <c r="D270" s="4">
        <v>137.3</v>
      </c>
    </row>
    <row r="271" ht="22.5" customHeight="1">
      <c r="B271" s="4">
        <v>5260748.0</v>
      </c>
      <c r="C271" s="4">
        <v>7.82</v>
      </c>
      <c r="D271" s="4">
        <v>137.0</v>
      </c>
    </row>
    <row r="272" ht="22.5" customHeight="1">
      <c r="B272" s="4">
        <v>5280751.0</v>
      </c>
      <c r="C272" s="4">
        <v>7.81</v>
      </c>
      <c r="D272" s="4">
        <v>136.8</v>
      </c>
    </row>
    <row r="273" ht="22.5" customHeight="1">
      <c r="B273" s="4">
        <v>5300754.0</v>
      </c>
      <c r="C273" s="4">
        <v>7.81</v>
      </c>
      <c r="D273" s="4">
        <v>136.8</v>
      </c>
    </row>
    <row r="274" ht="22.5" customHeight="1">
      <c r="B274" s="4">
        <v>5320757.0</v>
      </c>
      <c r="C274" s="4">
        <v>7.76</v>
      </c>
      <c r="D274" s="4">
        <v>135.8</v>
      </c>
    </row>
    <row r="275" ht="22.5" customHeight="1">
      <c r="B275" s="4">
        <v>5340760.0</v>
      </c>
      <c r="C275" s="4">
        <v>7.9</v>
      </c>
      <c r="D275" s="4">
        <v>138.5</v>
      </c>
    </row>
    <row r="276" ht="22.5" customHeight="1">
      <c r="B276" s="4">
        <v>5360762.0</v>
      </c>
      <c r="C276" s="4">
        <v>7.9</v>
      </c>
      <c r="D276" s="4">
        <v>138.5</v>
      </c>
    </row>
    <row r="277" ht="22.5" customHeight="1">
      <c r="B277" s="4">
        <v>5380765.0</v>
      </c>
      <c r="C277" s="4">
        <v>7.9</v>
      </c>
      <c r="D277" s="4">
        <v>138.4</v>
      </c>
    </row>
    <row r="278" ht="22.5" customHeight="1">
      <c r="B278" s="4">
        <v>5400768.0</v>
      </c>
      <c r="C278" s="4">
        <v>7.9</v>
      </c>
      <c r="D278" s="4">
        <v>138.4</v>
      </c>
    </row>
    <row r="279" ht="22.5" customHeight="1">
      <c r="B279" s="4">
        <v>5420771.0</v>
      </c>
      <c r="C279" s="4">
        <v>7.9</v>
      </c>
      <c r="D279" s="4">
        <v>138.4</v>
      </c>
    </row>
    <row r="280" ht="22.5" customHeight="1">
      <c r="B280" s="4">
        <v>5440774.0</v>
      </c>
      <c r="C280" s="4">
        <v>7.9</v>
      </c>
      <c r="D280" s="4">
        <v>138.4</v>
      </c>
    </row>
    <row r="281" ht="22.5" customHeight="1">
      <c r="B281" s="4">
        <v>5460776.0</v>
      </c>
      <c r="C281" s="4">
        <v>7.89</v>
      </c>
      <c r="D281" s="4">
        <v>138.3</v>
      </c>
    </row>
    <row r="282" ht="22.5" customHeight="1">
      <c r="B282" s="4">
        <v>5480779.0</v>
      </c>
      <c r="C282" s="4">
        <v>7.89</v>
      </c>
      <c r="D282" s="4">
        <v>138.3</v>
      </c>
    </row>
    <row r="283" ht="22.5" customHeight="1">
      <c r="B283" s="4">
        <v>5500782.0</v>
      </c>
      <c r="C283" s="4">
        <v>7.89</v>
      </c>
      <c r="D283" s="4">
        <v>138.3</v>
      </c>
    </row>
    <row r="284" ht="22.5" customHeight="1">
      <c r="B284" s="4">
        <v>5520785.0</v>
      </c>
      <c r="C284" s="4">
        <v>7.89</v>
      </c>
      <c r="D284" s="4">
        <v>138.3</v>
      </c>
    </row>
    <row r="285" ht="22.5" customHeight="1">
      <c r="B285" s="4">
        <v>5540788.0</v>
      </c>
      <c r="C285" s="4">
        <v>7.89</v>
      </c>
      <c r="D285" s="4">
        <v>138.3</v>
      </c>
    </row>
    <row r="286" ht="22.5" customHeight="1">
      <c r="B286" s="4">
        <v>5560791.0</v>
      </c>
      <c r="C286" s="4">
        <v>7.89</v>
      </c>
      <c r="D286" s="4">
        <v>138.3</v>
      </c>
    </row>
    <row r="287" ht="22.5" customHeight="1">
      <c r="B287" s="4">
        <v>5580793.0</v>
      </c>
      <c r="C287" s="4">
        <v>7.89</v>
      </c>
      <c r="D287" s="4">
        <v>138.3</v>
      </c>
    </row>
    <row r="288" ht="22.5" customHeight="1">
      <c r="B288" s="4">
        <v>5600796.0</v>
      </c>
      <c r="C288" s="4">
        <v>7.89</v>
      </c>
      <c r="D288" s="4">
        <v>138.3</v>
      </c>
    </row>
    <row r="289" ht="22.5" customHeight="1">
      <c r="B289" s="4">
        <v>5620799.0</v>
      </c>
      <c r="C289" s="4">
        <v>7.89</v>
      </c>
      <c r="D289" s="4">
        <v>138.2</v>
      </c>
    </row>
    <row r="290" ht="22.5" customHeight="1">
      <c r="B290" s="4">
        <v>5640802.0</v>
      </c>
      <c r="C290" s="4">
        <v>7.89</v>
      </c>
      <c r="D290" s="4">
        <v>138.3</v>
      </c>
    </row>
    <row r="291" ht="22.5" customHeight="1">
      <c r="B291" s="4">
        <v>5660805.0</v>
      </c>
      <c r="C291" s="4">
        <v>7.89</v>
      </c>
      <c r="D291" s="4">
        <v>138.2</v>
      </c>
    </row>
    <row r="292" ht="22.5" customHeight="1">
      <c r="B292" s="4">
        <v>5680807.0</v>
      </c>
      <c r="C292" s="4">
        <v>7.89</v>
      </c>
      <c r="D292" s="4">
        <v>138.3</v>
      </c>
    </row>
    <row r="293" ht="22.5" customHeight="1">
      <c r="B293" s="4">
        <v>5700810.0</v>
      </c>
      <c r="C293" s="4">
        <v>7.89</v>
      </c>
      <c r="D293" s="4">
        <v>138.3</v>
      </c>
    </row>
    <row r="294" ht="22.5" customHeight="1">
      <c r="B294" s="4">
        <v>5720813.0</v>
      </c>
      <c r="C294" s="4">
        <v>7.89</v>
      </c>
      <c r="D294" s="4">
        <v>138.2</v>
      </c>
    </row>
    <row r="295" ht="22.5" customHeight="1">
      <c r="B295" s="4">
        <v>5740816.0</v>
      </c>
      <c r="C295" s="4">
        <v>7.89</v>
      </c>
      <c r="D295" s="4">
        <v>138.3</v>
      </c>
    </row>
    <row r="296" ht="22.5" customHeight="1">
      <c r="B296" s="4">
        <v>5760819.0</v>
      </c>
      <c r="C296" s="4">
        <v>7.89</v>
      </c>
      <c r="D296" s="4">
        <v>138.3</v>
      </c>
    </row>
    <row r="297" ht="22.5" customHeight="1">
      <c r="B297" s="4">
        <v>5780822.0</v>
      </c>
      <c r="C297" s="4">
        <v>7.89</v>
      </c>
      <c r="D297" s="4">
        <v>138.3</v>
      </c>
    </row>
    <row r="298" ht="22.5" customHeight="1">
      <c r="B298" s="4">
        <v>5800824.0</v>
      </c>
      <c r="C298" s="4">
        <v>7.89</v>
      </c>
      <c r="D298" s="4">
        <v>138.3</v>
      </c>
    </row>
    <row r="299" ht="22.5" customHeight="1">
      <c r="B299" s="4">
        <v>5820827.0</v>
      </c>
      <c r="C299" s="4">
        <v>7.89</v>
      </c>
      <c r="D299" s="4">
        <v>138.2</v>
      </c>
    </row>
    <row r="300" ht="22.5" customHeight="1">
      <c r="B300" s="4">
        <v>5840830.0</v>
      </c>
      <c r="C300" s="4">
        <v>7.89</v>
      </c>
      <c r="D300" s="4">
        <v>138.2</v>
      </c>
    </row>
    <row r="301" ht="22.5" customHeight="1">
      <c r="B301" s="4">
        <v>5860833.0</v>
      </c>
      <c r="C301" s="4">
        <v>7.89</v>
      </c>
      <c r="D301" s="4">
        <v>138.2</v>
      </c>
    </row>
    <row r="302" ht="22.5" customHeight="1">
      <c r="B302" s="4">
        <v>5880836.0</v>
      </c>
      <c r="C302" s="4">
        <v>7.89</v>
      </c>
      <c r="D302" s="4">
        <v>138.3</v>
      </c>
    </row>
    <row r="303" ht="22.5" customHeight="1">
      <c r="B303" s="4">
        <v>5900838.0</v>
      </c>
      <c r="C303" s="4">
        <v>7.89</v>
      </c>
      <c r="D303" s="4">
        <v>138.2</v>
      </c>
    </row>
    <row r="304" ht="22.5" customHeight="1">
      <c r="B304" s="4">
        <v>5920841.0</v>
      </c>
      <c r="C304" s="4">
        <v>7.89</v>
      </c>
      <c r="D304" s="4">
        <v>138.3</v>
      </c>
    </row>
    <row r="305" ht="22.5" customHeight="1">
      <c r="B305" s="4">
        <v>5940844.0</v>
      </c>
      <c r="C305" s="4">
        <v>7.89</v>
      </c>
      <c r="D305" s="4">
        <v>138.2</v>
      </c>
    </row>
    <row r="306" ht="22.5" customHeight="1">
      <c r="B306" s="4">
        <v>5960847.0</v>
      </c>
      <c r="C306" s="4">
        <v>7.89</v>
      </c>
      <c r="D306" s="4">
        <v>138.2</v>
      </c>
    </row>
    <row r="307" ht="22.5" customHeight="1">
      <c r="B307" s="4">
        <v>5980850.0</v>
      </c>
      <c r="C307" s="4">
        <v>7.89</v>
      </c>
      <c r="D307" s="4">
        <v>138.2</v>
      </c>
    </row>
    <row r="308" ht="22.5" customHeight="1">
      <c r="B308" s="4">
        <v>6000854.0</v>
      </c>
      <c r="C308" s="4">
        <v>7.89</v>
      </c>
      <c r="D308" s="4">
        <v>138.2</v>
      </c>
    </row>
    <row r="309" ht="22.5" customHeight="1">
      <c r="B309" s="4">
        <v>6020856.0</v>
      </c>
      <c r="C309" s="4">
        <v>7.89</v>
      </c>
      <c r="D309" s="4">
        <v>138.3</v>
      </c>
    </row>
    <row r="310" ht="22.5" customHeight="1">
      <c r="B310" s="4">
        <v>6040859.0</v>
      </c>
      <c r="C310" s="4">
        <v>7.89</v>
      </c>
      <c r="D310" s="4">
        <v>138.2</v>
      </c>
    </row>
    <row r="311" ht="22.5" customHeight="1">
      <c r="B311" s="4">
        <v>6060862.0</v>
      </c>
      <c r="C311" s="4">
        <v>7.89</v>
      </c>
      <c r="D311" s="4">
        <v>138.2</v>
      </c>
    </row>
    <row r="312" ht="22.5" customHeight="1">
      <c r="B312" s="4">
        <v>6080865.0</v>
      </c>
      <c r="C312" s="4">
        <v>7.89</v>
      </c>
      <c r="D312" s="4">
        <v>138.3</v>
      </c>
    </row>
    <row r="313" ht="22.5" customHeight="1">
      <c r="B313" s="4">
        <v>6100868.0</v>
      </c>
      <c r="C313" s="4">
        <v>7.89</v>
      </c>
      <c r="D313" s="4">
        <v>138.2</v>
      </c>
    </row>
    <row r="314" ht="22.5" customHeight="1">
      <c r="B314" s="4">
        <v>6120870.0</v>
      </c>
      <c r="C314" s="4">
        <v>7.89</v>
      </c>
      <c r="D314" s="4">
        <v>138.2</v>
      </c>
    </row>
    <row r="315" ht="22.5" customHeight="1">
      <c r="B315" s="4">
        <v>6140873.0</v>
      </c>
      <c r="C315" s="4">
        <v>7.88</v>
      </c>
      <c r="D315" s="4">
        <v>138.2</v>
      </c>
    </row>
    <row r="316" ht="22.5" customHeight="1">
      <c r="B316" s="4">
        <v>6160876.0</v>
      </c>
      <c r="C316" s="4">
        <v>7.88</v>
      </c>
      <c r="D316" s="4">
        <v>138.2</v>
      </c>
    </row>
    <row r="317" ht="22.5" customHeight="1">
      <c r="B317" s="4">
        <v>6180879.0</v>
      </c>
      <c r="C317" s="4">
        <v>7.89</v>
      </c>
      <c r="D317" s="4">
        <v>138.2</v>
      </c>
    </row>
    <row r="318" ht="22.5" customHeight="1">
      <c r="B318" s="4">
        <v>6200882.0</v>
      </c>
      <c r="C318" s="4">
        <v>7.89</v>
      </c>
      <c r="D318" s="4">
        <v>138.2</v>
      </c>
    </row>
    <row r="319" ht="22.5" customHeight="1">
      <c r="B319" s="4">
        <v>6220884.0</v>
      </c>
      <c r="C319" s="4">
        <v>7.89</v>
      </c>
      <c r="D319" s="4">
        <v>138.2</v>
      </c>
    </row>
    <row r="320" ht="22.5" customHeight="1">
      <c r="B320" s="4">
        <v>6240887.0</v>
      </c>
      <c r="C320" s="4">
        <v>7.89</v>
      </c>
      <c r="D320" s="4">
        <v>138.3</v>
      </c>
    </row>
    <row r="321" ht="22.5" customHeight="1">
      <c r="B321" s="4">
        <v>6260890.0</v>
      </c>
      <c r="C321" s="4">
        <v>7.89</v>
      </c>
      <c r="D321" s="4">
        <v>138.2</v>
      </c>
    </row>
    <row r="322" ht="22.5" customHeight="1">
      <c r="B322" s="4">
        <v>6280893.0</v>
      </c>
      <c r="C322" s="4">
        <v>7.89</v>
      </c>
      <c r="D322" s="4">
        <v>138.2</v>
      </c>
    </row>
    <row r="323" ht="22.5" customHeight="1">
      <c r="B323" s="4">
        <v>6300896.0</v>
      </c>
      <c r="C323" s="4">
        <v>7.89</v>
      </c>
      <c r="D323" s="4">
        <v>138.2</v>
      </c>
    </row>
    <row r="324" ht="22.5" customHeight="1">
      <c r="B324" s="4">
        <v>6320899.0</v>
      </c>
      <c r="C324" s="4">
        <v>7.89</v>
      </c>
      <c r="D324" s="4">
        <v>138.3</v>
      </c>
    </row>
    <row r="325" ht="22.5" customHeight="1">
      <c r="B325" s="4">
        <v>6340901.0</v>
      </c>
      <c r="C325" s="4">
        <v>7.89</v>
      </c>
      <c r="D325" s="4">
        <v>138.2</v>
      </c>
    </row>
    <row r="326" ht="22.5" customHeight="1">
      <c r="B326" s="4">
        <v>6360904.0</v>
      </c>
      <c r="C326" s="4">
        <v>7.89</v>
      </c>
      <c r="D326" s="4">
        <v>138.2</v>
      </c>
    </row>
    <row r="327" ht="22.5" customHeight="1">
      <c r="B327" s="4">
        <v>6380907.0</v>
      </c>
      <c r="C327" s="4">
        <v>7.89</v>
      </c>
      <c r="D327" s="4">
        <v>138.2</v>
      </c>
    </row>
    <row r="328" ht="22.5" customHeight="1">
      <c r="B328" s="4">
        <v>6400910.0</v>
      </c>
      <c r="C328" s="4">
        <v>7.89</v>
      </c>
      <c r="D328" s="4">
        <v>138.2</v>
      </c>
    </row>
    <row r="329" ht="22.5" customHeight="1">
      <c r="B329" s="4">
        <v>6420913.0</v>
      </c>
      <c r="C329" s="4">
        <v>7.88</v>
      </c>
      <c r="D329" s="4">
        <v>138.2</v>
      </c>
    </row>
    <row r="330" ht="22.5" customHeight="1">
      <c r="B330" s="4">
        <v>6440915.0</v>
      </c>
      <c r="C330" s="4">
        <v>7.88</v>
      </c>
      <c r="D330" s="4">
        <v>138.3</v>
      </c>
    </row>
    <row r="331" ht="22.5" customHeight="1">
      <c r="B331" s="4">
        <v>6460918.0</v>
      </c>
      <c r="C331" s="4">
        <v>7.89</v>
      </c>
      <c r="D331" s="4">
        <v>138.2</v>
      </c>
    </row>
    <row r="332" ht="22.5" customHeight="1">
      <c r="B332" s="4">
        <v>6480921.0</v>
      </c>
      <c r="C332" s="4">
        <v>7.88</v>
      </c>
      <c r="D332" s="4">
        <v>138.2</v>
      </c>
    </row>
    <row r="333" ht="22.5" customHeight="1">
      <c r="B333" s="4">
        <v>6500924.0</v>
      </c>
      <c r="C333" s="4">
        <v>7.88</v>
      </c>
      <c r="D333" s="4">
        <v>138.2</v>
      </c>
    </row>
    <row r="334" ht="22.5" customHeight="1">
      <c r="B334" s="4">
        <v>6520927.0</v>
      </c>
      <c r="C334" s="4">
        <v>7.88</v>
      </c>
      <c r="D334" s="4">
        <v>138.2</v>
      </c>
    </row>
    <row r="335" ht="22.5" customHeight="1">
      <c r="B335" s="4">
        <v>6540930.0</v>
      </c>
      <c r="C335" s="4">
        <v>7.89</v>
      </c>
      <c r="D335" s="4">
        <v>138.2</v>
      </c>
    </row>
    <row r="336" ht="22.5" customHeight="1">
      <c r="B336" s="4">
        <v>6560932.0</v>
      </c>
      <c r="C336" s="4">
        <v>7.88</v>
      </c>
      <c r="D336" s="4">
        <v>138.1</v>
      </c>
    </row>
    <row r="337" ht="22.5" customHeight="1">
      <c r="B337" s="4">
        <v>6580935.0</v>
      </c>
      <c r="C337" s="4">
        <v>7.88</v>
      </c>
      <c r="D337" s="4">
        <v>138.2</v>
      </c>
    </row>
    <row r="338" ht="22.5" customHeight="1">
      <c r="B338" s="4">
        <v>6600938.0</v>
      </c>
      <c r="C338" s="4">
        <v>7.88</v>
      </c>
      <c r="D338" s="4">
        <v>138.1</v>
      </c>
    </row>
    <row r="339" ht="22.5" customHeight="1">
      <c r="B339" s="4">
        <v>6620941.0</v>
      </c>
      <c r="C339" s="4">
        <v>7.89</v>
      </c>
      <c r="D339" s="4">
        <v>138.2</v>
      </c>
    </row>
    <row r="340" ht="22.5" customHeight="1">
      <c r="B340" s="4">
        <v>6640944.0</v>
      </c>
      <c r="C340" s="4">
        <v>7.88</v>
      </c>
      <c r="D340" s="4">
        <v>138.2</v>
      </c>
    </row>
    <row r="341" ht="22.5" customHeight="1">
      <c r="B341" s="4">
        <v>6660946.0</v>
      </c>
      <c r="C341" s="4">
        <v>7.88</v>
      </c>
      <c r="D341" s="4">
        <v>138.2</v>
      </c>
    </row>
    <row r="342" ht="22.5" customHeight="1">
      <c r="B342" s="4">
        <v>6680949.0</v>
      </c>
      <c r="C342" s="4">
        <v>7.88</v>
      </c>
      <c r="D342" s="4">
        <v>138.2</v>
      </c>
    </row>
    <row r="343" ht="22.5" customHeight="1">
      <c r="B343" s="4">
        <v>6700952.0</v>
      </c>
      <c r="C343" s="4">
        <v>7.88</v>
      </c>
      <c r="D343" s="4">
        <v>138.2</v>
      </c>
    </row>
    <row r="344" ht="22.5" customHeight="1">
      <c r="B344" s="4">
        <v>6720955.0</v>
      </c>
      <c r="C344" s="4">
        <v>7.88</v>
      </c>
      <c r="D344" s="4">
        <v>138.1</v>
      </c>
    </row>
    <row r="345" ht="22.5" customHeight="1">
      <c r="B345" s="4">
        <v>6740959.0</v>
      </c>
      <c r="C345" s="4">
        <v>7.88</v>
      </c>
      <c r="D345" s="4">
        <v>138.1</v>
      </c>
    </row>
    <row r="346" ht="22.5" customHeight="1">
      <c r="B346" s="4">
        <v>6760962.0</v>
      </c>
      <c r="C346" s="4">
        <v>7.88</v>
      </c>
      <c r="D346" s="4">
        <v>138.2</v>
      </c>
    </row>
    <row r="347" ht="22.5" customHeight="1">
      <c r="B347" s="4">
        <v>6780964.0</v>
      </c>
      <c r="C347" s="4">
        <v>7.88</v>
      </c>
      <c r="D347" s="4">
        <v>138.2</v>
      </c>
    </row>
    <row r="348" ht="22.5" customHeight="1">
      <c r="B348" s="4">
        <v>6800967.0</v>
      </c>
      <c r="C348" s="4">
        <v>7.88</v>
      </c>
      <c r="D348" s="4">
        <v>138.2</v>
      </c>
    </row>
    <row r="349" ht="22.5" customHeight="1">
      <c r="B349" s="4">
        <v>6820970.0</v>
      </c>
      <c r="C349" s="4">
        <v>7.88</v>
      </c>
      <c r="D349" s="4">
        <v>138.1</v>
      </c>
    </row>
    <row r="350" ht="22.5" customHeight="1">
      <c r="B350" s="4">
        <v>6840973.0</v>
      </c>
      <c r="C350" s="4">
        <v>7.88</v>
      </c>
      <c r="D350" s="4">
        <v>138.2</v>
      </c>
    </row>
    <row r="351" ht="22.5" customHeight="1">
      <c r="B351" s="4">
        <v>6860976.0</v>
      </c>
      <c r="C351" s="4">
        <v>7.88</v>
      </c>
      <c r="D351" s="4">
        <v>138.2</v>
      </c>
    </row>
    <row r="352" ht="22.5" customHeight="1">
      <c r="B352" s="4">
        <v>6880978.0</v>
      </c>
      <c r="C352" s="4">
        <v>7.88</v>
      </c>
      <c r="D352" s="4">
        <v>138.1</v>
      </c>
    </row>
    <row r="353" ht="22.5" customHeight="1">
      <c r="B353" s="4">
        <v>6900981.0</v>
      </c>
      <c r="C353" s="4">
        <v>7.88</v>
      </c>
      <c r="D353" s="4">
        <v>138.1</v>
      </c>
    </row>
    <row r="354" ht="22.5" customHeight="1">
      <c r="B354" s="4">
        <v>6920984.0</v>
      </c>
      <c r="C354" s="4">
        <v>7.88</v>
      </c>
      <c r="D354" s="4">
        <v>138.1</v>
      </c>
    </row>
    <row r="355" ht="22.5" customHeight="1">
      <c r="B355" s="4">
        <v>6940987.0</v>
      </c>
      <c r="C355" s="4">
        <v>7.88</v>
      </c>
      <c r="D355" s="4">
        <v>138.1</v>
      </c>
    </row>
    <row r="356" ht="22.5" customHeight="1">
      <c r="B356" s="4">
        <v>6960990.0</v>
      </c>
      <c r="C356" s="4">
        <v>7.88</v>
      </c>
      <c r="D356" s="4">
        <v>138.1</v>
      </c>
    </row>
    <row r="357" ht="22.5" customHeight="1">
      <c r="B357" s="4">
        <v>6980993.0</v>
      </c>
      <c r="C357" s="4">
        <v>7.88</v>
      </c>
      <c r="D357" s="4">
        <v>138.1</v>
      </c>
    </row>
    <row r="358" ht="22.5" customHeight="1">
      <c r="B358" s="4">
        <v>7000995.0</v>
      </c>
      <c r="C358" s="4">
        <v>7.88</v>
      </c>
      <c r="D358" s="4">
        <v>138.1</v>
      </c>
    </row>
    <row r="359" ht="22.5" customHeight="1">
      <c r="B359" s="4">
        <v>7020998.0</v>
      </c>
      <c r="C359" s="4">
        <v>7.88</v>
      </c>
      <c r="D359" s="4">
        <v>138.1</v>
      </c>
    </row>
    <row r="360" ht="22.5" customHeight="1">
      <c r="B360" s="4">
        <v>7041001.0</v>
      </c>
      <c r="C360" s="4">
        <v>7.88</v>
      </c>
      <c r="D360" s="4">
        <v>138.2</v>
      </c>
    </row>
    <row r="361" ht="22.5" customHeight="1">
      <c r="B361" s="4">
        <v>7061004.0</v>
      </c>
      <c r="C361" s="4">
        <v>7.88</v>
      </c>
      <c r="D361" s="4">
        <v>138.1</v>
      </c>
    </row>
    <row r="362" ht="22.5" customHeight="1">
      <c r="B362" s="4">
        <v>7081007.0</v>
      </c>
      <c r="C362" s="4">
        <v>7.88</v>
      </c>
      <c r="D362" s="4">
        <v>138.1</v>
      </c>
    </row>
    <row r="363" ht="22.5" customHeight="1">
      <c r="B363" s="4">
        <v>7101009.0</v>
      </c>
      <c r="C363" s="4">
        <v>7.88</v>
      </c>
      <c r="D363" s="4">
        <v>138.0</v>
      </c>
    </row>
    <row r="364" ht="22.5" customHeight="1">
      <c r="B364" s="4">
        <v>7121012.0</v>
      </c>
      <c r="C364" s="4">
        <v>7.88</v>
      </c>
      <c r="D364" s="4">
        <v>138.0</v>
      </c>
    </row>
    <row r="365" ht="22.5" customHeight="1">
      <c r="B365" s="4">
        <v>7141015.0</v>
      </c>
      <c r="C365" s="4">
        <v>7.88</v>
      </c>
      <c r="D365" s="4">
        <v>138.1</v>
      </c>
    </row>
    <row r="366" ht="22.5" customHeight="1">
      <c r="B366" s="4">
        <v>7161018.0</v>
      </c>
      <c r="C366" s="4">
        <v>7.88</v>
      </c>
      <c r="D366" s="4">
        <v>138.1</v>
      </c>
    </row>
    <row r="367" ht="22.5" customHeight="1">
      <c r="B367" s="4">
        <v>7181021.0</v>
      </c>
      <c r="C367" s="4">
        <v>7.88</v>
      </c>
      <c r="D367" s="4">
        <v>138.1</v>
      </c>
    </row>
    <row r="368" ht="22.5" customHeight="1">
      <c r="B368" s="4">
        <v>7201024.0</v>
      </c>
      <c r="C368" s="4">
        <v>7.88</v>
      </c>
      <c r="D368" s="4">
        <v>138.1</v>
      </c>
    </row>
    <row r="369" ht="22.5" customHeight="1">
      <c r="B369" s="4">
        <v>7221026.0</v>
      </c>
      <c r="C369" s="4">
        <v>7.88</v>
      </c>
      <c r="D369" s="4">
        <v>138.1</v>
      </c>
    </row>
    <row r="370" ht="22.5" customHeight="1">
      <c r="B370" s="4">
        <v>7241029.0</v>
      </c>
      <c r="C370" s="4">
        <v>7.88</v>
      </c>
      <c r="D370" s="4">
        <v>138.1</v>
      </c>
    </row>
    <row r="371" ht="22.5" customHeight="1">
      <c r="B371" s="4">
        <v>7261032.0</v>
      </c>
      <c r="C371" s="4">
        <v>7.88</v>
      </c>
      <c r="D371" s="4">
        <v>138.1</v>
      </c>
    </row>
    <row r="372" ht="22.5" customHeight="1">
      <c r="B372" s="4">
        <v>7281035.0</v>
      </c>
      <c r="C372" s="4">
        <v>7.88</v>
      </c>
      <c r="D372" s="4">
        <v>138.1</v>
      </c>
    </row>
    <row r="373" ht="22.5" customHeight="1">
      <c r="B373" s="4">
        <v>7301038.0</v>
      </c>
      <c r="C373" s="4">
        <v>7.88</v>
      </c>
      <c r="D373" s="4">
        <v>138.1</v>
      </c>
    </row>
    <row r="374" ht="22.5" customHeight="1">
      <c r="B374" s="4">
        <v>7321040.0</v>
      </c>
      <c r="C374" s="4">
        <v>7.88</v>
      </c>
      <c r="D374" s="4">
        <v>138.0</v>
      </c>
    </row>
    <row r="375" ht="22.5" customHeight="1">
      <c r="B375" s="4">
        <v>7341043.0</v>
      </c>
      <c r="C375" s="4">
        <v>7.88</v>
      </c>
      <c r="D375" s="4">
        <v>138.1</v>
      </c>
    </row>
    <row r="376" ht="22.5" customHeight="1">
      <c r="B376" s="4">
        <v>7361046.0</v>
      </c>
      <c r="C376" s="4">
        <v>7.88</v>
      </c>
      <c r="D376" s="4">
        <v>138.1</v>
      </c>
    </row>
    <row r="377" ht="22.5" customHeight="1">
      <c r="B377" s="4">
        <v>7381049.0</v>
      </c>
      <c r="C377" s="4">
        <v>7.88</v>
      </c>
      <c r="D377" s="4">
        <v>138.0</v>
      </c>
    </row>
    <row r="378" ht="22.5" customHeight="1">
      <c r="B378" s="4">
        <v>7401052.0</v>
      </c>
      <c r="C378" s="4">
        <v>7.88</v>
      </c>
      <c r="D378" s="4">
        <v>138.1</v>
      </c>
    </row>
    <row r="379" ht="22.5" customHeight="1">
      <c r="B379" s="4">
        <v>7421054.0</v>
      </c>
      <c r="C379" s="4">
        <v>7.88</v>
      </c>
      <c r="D379" s="4">
        <v>138.1</v>
      </c>
    </row>
    <row r="380" ht="22.5" customHeight="1">
      <c r="B380" s="4">
        <v>7441057.0</v>
      </c>
      <c r="C380" s="4">
        <v>7.88</v>
      </c>
      <c r="D380" s="4">
        <v>138.1</v>
      </c>
    </row>
    <row r="381" ht="22.5" customHeight="1">
      <c r="B381" s="4">
        <v>7461060.0</v>
      </c>
      <c r="C381" s="4">
        <v>7.88</v>
      </c>
      <c r="D381" s="4">
        <v>138.1</v>
      </c>
    </row>
    <row r="382" ht="22.5" customHeight="1">
      <c r="B382" s="4">
        <v>7481063.0</v>
      </c>
      <c r="C382" s="4">
        <v>7.88</v>
      </c>
      <c r="D382" s="4">
        <v>138.1</v>
      </c>
    </row>
    <row r="383" ht="22.5" customHeight="1">
      <c r="B383" s="4">
        <v>7501067.0</v>
      </c>
      <c r="C383" s="4">
        <v>7.88</v>
      </c>
      <c r="D383" s="4">
        <v>138.1</v>
      </c>
    </row>
    <row r="384" ht="22.5" customHeight="1">
      <c r="B384" s="4">
        <v>7521070.0</v>
      </c>
      <c r="C384" s="4">
        <v>7.88</v>
      </c>
      <c r="D384" s="4">
        <v>138.1</v>
      </c>
    </row>
    <row r="385" ht="22.5" customHeight="1">
      <c r="B385" s="4">
        <v>7541072.0</v>
      </c>
      <c r="C385" s="4">
        <v>7.88</v>
      </c>
      <c r="D385" s="4">
        <v>138.1</v>
      </c>
    </row>
    <row r="386" ht="22.5" customHeight="1">
      <c r="B386" s="4">
        <v>7561075.0</v>
      </c>
      <c r="C386" s="4">
        <v>7.88</v>
      </c>
      <c r="D386" s="4">
        <v>138.0</v>
      </c>
    </row>
    <row r="387" ht="22.5" customHeight="1">
      <c r="B387" s="4">
        <v>7581078.0</v>
      </c>
      <c r="C387" s="4">
        <v>7.88</v>
      </c>
      <c r="D387" s="4">
        <v>138.0</v>
      </c>
    </row>
    <row r="388" ht="22.5" customHeight="1">
      <c r="B388" s="4">
        <v>7601081.0</v>
      </c>
      <c r="C388" s="4">
        <v>7.88</v>
      </c>
      <c r="D388" s="4">
        <v>138.1</v>
      </c>
    </row>
    <row r="389" ht="22.5" customHeight="1">
      <c r="B389" s="4">
        <v>7621084.0</v>
      </c>
      <c r="C389" s="4">
        <v>7.88</v>
      </c>
      <c r="D389" s="4">
        <v>138.1</v>
      </c>
    </row>
    <row r="390" ht="22.5" customHeight="1">
      <c r="B390" s="4">
        <v>7641086.0</v>
      </c>
      <c r="C390" s="4">
        <v>7.88</v>
      </c>
      <c r="D390" s="4">
        <v>138.1</v>
      </c>
    </row>
    <row r="391" ht="22.5" customHeight="1">
      <c r="B391" s="4">
        <v>7661089.0</v>
      </c>
      <c r="C391" s="4">
        <v>7.88</v>
      </c>
      <c r="D391" s="4">
        <v>138.1</v>
      </c>
    </row>
    <row r="392" ht="22.5" customHeight="1">
      <c r="B392" s="4">
        <v>7681092.0</v>
      </c>
      <c r="C392" s="4">
        <v>7.88</v>
      </c>
      <c r="D392" s="4">
        <v>138.1</v>
      </c>
    </row>
    <row r="393" ht="22.5" customHeight="1">
      <c r="B393" s="4">
        <v>7701095.0</v>
      </c>
      <c r="C393" s="4">
        <v>7.88</v>
      </c>
      <c r="D393" s="4">
        <v>138.1</v>
      </c>
    </row>
    <row r="394" ht="22.5" customHeight="1">
      <c r="B394" s="4">
        <v>7721098.0</v>
      </c>
      <c r="C394" s="4">
        <v>7.88</v>
      </c>
      <c r="D394" s="4">
        <v>138.1</v>
      </c>
    </row>
    <row r="395" ht="22.5" customHeight="1">
      <c r="B395" s="4">
        <v>7741101.0</v>
      </c>
      <c r="C395" s="4">
        <v>7.88</v>
      </c>
      <c r="D395" s="4">
        <v>138.0</v>
      </c>
    </row>
    <row r="396" ht="22.5" customHeight="1">
      <c r="B396" s="4">
        <v>7761103.0</v>
      </c>
      <c r="C396" s="4">
        <v>7.88</v>
      </c>
      <c r="D396" s="4">
        <v>138.0</v>
      </c>
    </row>
    <row r="397" ht="22.5" customHeight="1">
      <c r="B397" s="4">
        <v>7781106.0</v>
      </c>
      <c r="C397" s="4">
        <v>7.88</v>
      </c>
      <c r="D397" s="4">
        <v>138.0</v>
      </c>
    </row>
    <row r="398" ht="22.5" customHeight="1">
      <c r="B398" s="4">
        <v>7801109.0</v>
      </c>
      <c r="C398" s="4">
        <v>7.88</v>
      </c>
      <c r="D398" s="4">
        <v>138.1</v>
      </c>
    </row>
    <row r="399" ht="22.5" customHeight="1">
      <c r="B399" s="4">
        <v>7821112.0</v>
      </c>
      <c r="C399" s="4">
        <v>7.88</v>
      </c>
      <c r="D399" s="4">
        <v>138.0</v>
      </c>
    </row>
    <row r="400" ht="22.5" customHeight="1">
      <c r="B400" s="4">
        <v>7841115.0</v>
      </c>
      <c r="C400" s="4">
        <v>7.88</v>
      </c>
      <c r="D400" s="4">
        <v>138.0</v>
      </c>
    </row>
    <row r="401" ht="22.5" customHeight="1">
      <c r="B401" s="4">
        <v>7861117.0</v>
      </c>
      <c r="C401" s="4">
        <v>7.88</v>
      </c>
      <c r="D401" s="4">
        <v>138.0</v>
      </c>
    </row>
    <row r="402" ht="22.5" customHeight="1">
      <c r="B402" s="4">
        <v>7881120.0</v>
      </c>
      <c r="C402" s="4">
        <v>7.88</v>
      </c>
      <c r="D402" s="4">
        <v>138.0</v>
      </c>
    </row>
    <row r="403" ht="22.5" customHeight="1">
      <c r="B403" s="4">
        <v>7901123.0</v>
      </c>
      <c r="C403" s="4">
        <v>7.88</v>
      </c>
      <c r="D403" s="4">
        <v>138.0</v>
      </c>
    </row>
    <row r="404" ht="22.5" customHeight="1">
      <c r="B404" s="4">
        <v>7921126.0</v>
      </c>
      <c r="C404" s="4">
        <v>7.88</v>
      </c>
      <c r="D404" s="4">
        <v>138.0</v>
      </c>
    </row>
    <row r="405" ht="22.5" customHeight="1">
      <c r="B405" s="4">
        <v>7941129.0</v>
      </c>
      <c r="C405" s="4">
        <v>7.88</v>
      </c>
      <c r="D405" s="4">
        <v>138.0</v>
      </c>
    </row>
    <row r="406" ht="22.5" customHeight="1">
      <c r="B406" s="4">
        <v>7961132.0</v>
      </c>
      <c r="C406" s="4">
        <v>7.88</v>
      </c>
      <c r="D406" s="4">
        <v>138.0</v>
      </c>
    </row>
    <row r="407" ht="22.5" customHeight="1">
      <c r="B407" s="4">
        <v>7981134.0</v>
      </c>
      <c r="C407" s="4">
        <v>7.88</v>
      </c>
      <c r="D407" s="4">
        <v>138.0</v>
      </c>
    </row>
    <row r="408" ht="22.5" customHeight="1">
      <c r="B408" s="4">
        <v>8001137.0</v>
      </c>
      <c r="C408" s="4">
        <v>7.88</v>
      </c>
      <c r="D408" s="4">
        <v>138.0</v>
      </c>
    </row>
    <row r="409" ht="22.5" customHeight="1">
      <c r="B409" s="4">
        <v>8021140.0</v>
      </c>
      <c r="C409" s="4">
        <v>7.88</v>
      </c>
      <c r="D409" s="4">
        <v>138.0</v>
      </c>
    </row>
    <row r="410" ht="22.5" customHeight="1">
      <c r="B410" s="4">
        <v>8041143.0</v>
      </c>
      <c r="C410" s="4">
        <v>7.88</v>
      </c>
      <c r="D410" s="4">
        <v>138.0</v>
      </c>
    </row>
    <row r="411" ht="22.5" customHeight="1">
      <c r="B411" s="4">
        <v>8061146.0</v>
      </c>
      <c r="C411" s="4">
        <v>7.88</v>
      </c>
      <c r="D411" s="4">
        <v>138.0</v>
      </c>
    </row>
    <row r="412" ht="22.5" customHeight="1">
      <c r="B412" s="4">
        <v>8081148.0</v>
      </c>
      <c r="C412" s="4">
        <v>7.88</v>
      </c>
      <c r="D412" s="4">
        <v>138.1</v>
      </c>
    </row>
    <row r="413" ht="22.5" customHeight="1">
      <c r="B413" s="4">
        <v>8101151.0</v>
      </c>
      <c r="C413" s="4">
        <v>7.88</v>
      </c>
      <c r="D413" s="4">
        <v>138.0</v>
      </c>
    </row>
    <row r="414" ht="22.5" customHeight="1">
      <c r="B414" s="4">
        <v>8121154.0</v>
      </c>
      <c r="C414" s="4">
        <v>7.88</v>
      </c>
      <c r="D414" s="4">
        <v>138.0</v>
      </c>
    </row>
    <row r="415" ht="22.5" customHeight="1">
      <c r="B415" s="4">
        <v>8141157.0</v>
      </c>
      <c r="C415" s="4">
        <v>7.88</v>
      </c>
      <c r="D415" s="4">
        <v>138.0</v>
      </c>
    </row>
    <row r="416" ht="22.5" customHeight="1">
      <c r="B416" s="4">
        <v>8161160.0</v>
      </c>
      <c r="C416" s="4">
        <v>7.88</v>
      </c>
      <c r="D416" s="4">
        <v>138.0</v>
      </c>
    </row>
    <row r="417" ht="22.5" customHeight="1">
      <c r="B417" s="4">
        <v>8181163.0</v>
      </c>
      <c r="C417" s="4">
        <v>7.87</v>
      </c>
      <c r="D417" s="4">
        <v>138.0</v>
      </c>
    </row>
    <row r="418" ht="22.5" customHeight="1">
      <c r="B418" s="4">
        <v>8201165.0</v>
      </c>
      <c r="C418" s="4">
        <v>7.88</v>
      </c>
      <c r="D418" s="4">
        <v>138.0</v>
      </c>
    </row>
    <row r="419" ht="22.5" customHeight="1">
      <c r="B419" s="4">
        <v>8221168.0</v>
      </c>
      <c r="C419" s="4">
        <v>7.87</v>
      </c>
      <c r="D419" s="4">
        <v>137.9</v>
      </c>
    </row>
    <row r="420" ht="22.5" customHeight="1">
      <c r="B420" s="4">
        <v>8241171.0</v>
      </c>
      <c r="C420" s="4">
        <v>7.87</v>
      </c>
      <c r="D420" s="4">
        <v>138.0</v>
      </c>
    </row>
    <row r="421" ht="22.5" customHeight="1">
      <c r="B421" s="4">
        <v>8261174.0</v>
      </c>
      <c r="C421" s="4">
        <v>7.87</v>
      </c>
      <c r="D421" s="4">
        <v>137.9</v>
      </c>
    </row>
    <row r="422" ht="22.5" customHeight="1">
      <c r="B422" s="4">
        <v>8281177.0</v>
      </c>
      <c r="C422" s="4">
        <v>7.87</v>
      </c>
      <c r="D422" s="4">
        <v>137.9</v>
      </c>
    </row>
    <row r="423" ht="22.5" customHeight="1">
      <c r="B423" s="4">
        <v>8301179.0</v>
      </c>
      <c r="C423" s="4">
        <v>7.87</v>
      </c>
      <c r="D423" s="4">
        <v>137.9</v>
      </c>
    </row>
    <row r="424" ht="22.5" customHeight="1">
      <c r="B424" s="4">
        <v>8321183.0</v>
      </c>
      <c r="C424" s="4">
        <v>7.87</v>
      </c>
      <c r="D424" s="4">
        <v>137.9</v>
      </c>
    </row>
    <row r="425" ht="22.5" customHeight="1">
      <c r="B425" s="4">
        <v>8341186.0</v>
      </c>
      <c r="C425" s="4">
        <v>7.81</v>
      </c>
      <c r="D425" s="4">
        <v>136.9</v>
      </c>
    </row>
    <row r="426" ht="22.5" customHeight="1">
      <c r="B426" s="4">
        <v>8361189.0</v>
      </c>
      <c r="C426" s="4">
        <v>7.8</v>
      </c>
      <c r="D426" s="4">
        <v>136.7</v>
      </c>
    </row>
    <row r="427" ht="22.5" customHeight="1">
      <c r="B427" s="4">
        <v>8381192.0</v>
      </c>
      <c r="C427" s="4">
        <v>7.72</v>
      </c>
      <c r="D427" s="4">
        <v>135.2</v>
      </c>
    </row>
    <row r="428" ht="22.5" customHeight="1">
      <c r="B428" s="4">
        <v>8401195.0</v>
      </c>
      <c r="C428" s="4">
        <v>7.71</v>
      </c>
      <c r="D428" s="4">
        <v>135.0</v>
      </c>
    </row>
    <row r="429" ht="22.5" customHeight="1">
      <c r="B429" s="4">
        <v>8421197.0</v>
      </c>
      <c r="C429" s="4">
        <v>7.86</v>
      </c>
      <c r="D429" s="4">
        <v>137.6</v>
      </c>
    </row>
    <row r="430" ht="22.5" customHeight="1">
      <c r="B430" s="4">
        <v>8441200.0</v>
      </c>
      <c r="C430" s="4">
        <v>7.86</v>
      </c>
      <c r="D430" s="4">
        <v>137.7</v>
      </c>
    </row>
    <row r="431" ht="22.5" customHeight="1">
      <c r="B431" s="4">
        <v>8461203.0</v>
      </c>
      <c r="C431" s="4">
        <v>7.86</v>
      </c>
      <c r="D431" s="4">
        <v>137.6</v>
      </c>
    </row>
    <row r="432" ht="22.5" customHeight="1">
      <c r="B432" s="4">
        <v>8481206.0</v>
      </c>
      <c r="C432" s="4">
        <v>7.86</v>
      </c>
      <c r="D432" s="4">
        <v>137.6</v>
      </c>
    </row>
    <row r="433" ht="22.5" customHeight="1">
      <c r="B433" s="4">
        <v>8501209.0</v>
      </c>
      <c r="C433" s="4">
        <v>7.82</v>
      </c>
      <c r="D433" s="4">
        <v>137.0</v>
      </c>
    </row>
    <row r="434" ht="22.5" customHeight="1">
      <c r="B434" s="4">
        <v>8521211.0</v>
      </c>
      <c r="C434" s="4">
        <v>7.77</v>
      </c>
      <c r="D434" s="4">
        <v>136.2</v>
      </c>
    </row>
    <row r="435" ht="22.5" customHeight="1">
      <c r="B435" s="4">
        <v>8541214.0</v>
      </c>
      <c r="C435" s="4">
        <v>7.81</v>
      </c>
      <c r="D435" s="4">
        <v>136.8</v>
      </c>
    </row>
    <row r="436" ht="22.5" customHeight="1">
      <c r="B436" s="4">
        <v>8561217.0</v>
      </c>
      <c r="C436" s="4">
        <v>7.82</v>
      </c>
      <c r="D436" s="4">
        <v>137.0</v>
      </c>
    </row>
    <row r="437" ht="22.5" customHeight="1">
      <c r="B437" s="4">
        <v>8581220.0</v>
      </c>
      <c r="C437" s="4">
        <v>7.76</v>
      </c>
      <c r="D437" s="4">
        <v>135.9</v>
      </c>
    </row>
    <row r="438" ht="22.5" customHeight="1">
      <c r="B438" s="4">
        <v>8601223.0</v>
      </c>
      <c r="C438" s="4">
        <v>7.82</v>
      </c>
      <c r="D438" s="4">
        <v>137.1</v>
      </c>
    </row>
    <row r="439" ht="22.5" customHeight="1">
      <c r="B439" s="4">
        <v>8621225.0</v>
      </c>
      <c r="C439" s="4">
        <v>7.78</v>
      </c>
      <c r="D439" s="4">
        <v>136.3</v>
      </c>
    </row>
    <row r="440" ht="22.5" customHeight="1">
      <c r="B440" s="4">
        <v>8641228.0</v>
      </c>
      <c r="C440" s="4">
        <v>7.8</v>
      </c>
      <c r="D440" s="4">
        <v>136.6</v>
      </c>
    </row>
    <row r="441" ht="22.5" customHeight="1">
      <c r="B441" s="4">
        <v>8661231.0</v>
      </c>
      <c r="C441" s="4">
        <v>7.82</v>
      </c>
      <c r="D441" s="4">
        <v>136.9</v>
      </c>
    </row>
    <row r="442" ht="22.5" customHeight="1">
      <c r="B442" s="4">
        <v>8681234.0</v>
      </c>
      <c r="C442" s="4">
        <v>7.88</v>
      </c>
      <c r="D442" s="4">
        <v>138.0</v>
      </c>
    </row>
    <row r="443" ht="22.5" customHeight="1">
      <c r="B443" s="4">
        <v>8701237.0</v>
      </c>
      <c r="C443" s="4">
        <v>7.88</v>
      </c>
      <c r="D443" s="4">
        <v>138.1</v>
      </c>
    </row>
    <row r="444" ht="22.5" customHeight="1">
      <c r="B444" s="4">
        <v>8721240.0</v>
      </c>
      <c r="C444" s="4">
        <v>7.88</v>
      </c>
      <c r="D444" s="4">
        <v>138.0</v>
      </c>
    </row>
    <row r="445" ht="22.5" customHeight="1">
      <c r="B445" s="4">
        <v>8741242.0</v>
      </c>
      <c r="C445" s="4">
        <v>7.88</v>
      </c>
      <c r="D445" s="4">
        <v>138.0</v>
      </c>
    </row>
    <row r="446" ht="22.5" customHeight="1">
      <c r="B446" s="4">
        <v>8761245.0</v>
      </c>
      <c r="C446" s="4">
        <v>7.88</v>
      </c>
      <c r="D446" s="4">
        <v>138.0</v>
      </c>
    </row>
    <row r="447" ht="22.5" customHeight="1">
      <c r="B447" s="4">
        <v>8781248.0</v>
      </c>
      <c r="C447" s="4">
        <v>7.88</v>
      </c>
      <c r="D447" s="4">
        <v>138.0</v>
      </c>
    </row>
    <row r="448" ht="22.5" customHeight="1">
      <c r="B448" s="4">
        <v>8801251.0</v>
      </c>
      <c r="C448" s="4">
        <v>7.88</v>
      </c>
      <c r="D448" s="4">
        <v>138.0</v>
      </c>
    </row>
    <row r="449" ht="22.5" customHeight="1">
      <c r="B449" s="4">
        <v>8821254.0</v>
      </c>
      <c r="C449" s="4">
        <v>7.87</v>
      </c>
      <c r="D449" s="4">
        <v>138.0</v>
      </c>
    </row>
    <row r="450" ht="22.5" customHeight="1">
      <c r="B450" s="4">
        <v>8841256.0</v>
      </c>
      <c r="C450" s="4">
        <v>7.88</v>
      </c>
      <c r="D450" s="4">
        <v>138.1</v>
      </c>
    </row>
    <row r="451" ht="22.5" customHeight="1">
      <c r="B451" s="4">
        <v>8861259.0</v>
      </c>
      <c r="C451" s="4">
        <v>7.88</v>
      </c>
      <c r="D451" s="4">
        <v>138.1</v>
      </c>
    </row>
    <row r="452" ht="22.5" customHeight="1">
      <c r="B452" s="4">
        <v>8881262.0</v>
      </c>
      <c r="C452" s="4">
        <v>7.88</v>
      </c>
      <c r="D452" s="4">
        <v>138.1</v>
      </c>
    </row>
    <row r="453" ht="22.5" customHeight="1">
      <c r="B453" s="4">
        <v>8901265.0</v>
      </c>
      <c r="C453" s="4">
        <v>7.88</v>
      </c>
      <c r="D453" s="4">
        <v>138.1</v>
      </c>
    </row>
    <row r="454" ht="22.5" customHeight="1">
      <c r="B454" s="4">
        <v>8921268.0</v>
      </c>
      <c r="C454" s="4">
        <v>7.88</v>
      </c>
      <c r="D454" s="4">
        <v>138.1</v>
      </c>
    </row>
    <row r="455" ht="22.5" customHeight="1">
      <c r="B455" s="4">
        <v>8941271.0</v>
      </c>
      <c r="C455" s="4">
        <v>7.88</v>
      </c>
      <c r="D455" s="4">
        <v>138.1</v>
      </c>
    </row>
    <row r="456" ht="22.5" customHeight="1">
      <c r="B456" s="4">
        <v>8961273.0</v>
      </c>
      <c r="C456" s="4">
        <v>7.88</v>
      </c>
      <c r="D456" s="4">
        <v>138.2</v>
      </c>
    </row>
    <row r="457" ht="22.5" customHeight="1">
      <c r="B457" s="4">
        <v>8981276.0</v>
      </c>
      <c r="C457" s="4">
        <v>7.88</v>
      </c>
      <c r="D457" s="4">
        <v>138.1</v>
      </c>
    </row>
    <row r="458" ht="22.5" customHeight="1">
      <c r="B458" s="4">
        <v>9001279.0</v>
      </c>
      <c r="C458" s="4">
        <v>7.88</v>
      </c>
      <c r="D458" s="4">
        <v>138.1</v>
      </c>
    </row>
    <row r="459" ht="22.5" customHeight="1">
      <c r="B459" s="4">
        <v>9021282.0</v>
      </c>
      <c r="C459" s="4">
        <v>7.88</v>
      </c>
      <c r="D459" s="4">
        <v>138.1</v>
      </c>
    </row>
    <row r="460" ht="22.5" customHeight="1">
      <c r="B460" s="4">
        <v>9041285.0</v>
      </c>
      <c r="C460" s="4">
        <v>7.88</v>
      </c>
      <c r="D460" s="4">
        <v>138.2</v>
      </c>
    </row>
    <row r="461" ht="22.5" customHeight="1">
      <c r="B461" s="4">
        <v>9061287.0</v>
      </c>
      <c r="C461" s="4">
        <v>7.88</v>
      </c>
      <c r="D461" s="4">
        <v>138.1</v>
      </c>
    </row>
    <row r="462" ht="22.5" customHeight="1">
      <c r="B462" s="4">
        <v>9081291.0</v>
      </c>
      <c r="C462" s="4">
        <v>7.88</v>
      </c>
      <c r="D462" s="4">
        <v>138.1</v>
      </c>
    </row>
    <row r="463" ht="22.5" customHeight="1">
      <c r="B463" s="4">
        <v>9101294.0</v>
      </c>
      <c r="C463" s="4">
        <v>7.88</v>
      </c>
      <c r="D463" s="4">
        <v>138.2</v>
      </c>
    </row>
    <row r="464" ht="22.5" customHeight="1">
      <c r="B464" s="4">
        <v>9121297.0</v>
      </c>
      <c r="C464" s="4">
        <v>7.88</v>
      </c>
      <c r="D464" s="4">
        <v>138.2</v>
      </c>
    </row>
    <row r="465" ht="22.5" customHeight="1">
      <c r="B465" s="4">
        <v>9141300.0</v>
      </c>
      <c r="C465" s="4">
        <v>7.88</v>
      </c>
      <c r="D465" s="4">
        <v>138.1</v>
      </c>
    </row>
    <row r="466" ht="22.5" customHeight="1">
      <c r="B466" s="4">
        <v>9161303.0</v>
      </c>
      <c r="C466" s="4">
        <v>7.88</v>
      </c>
      <c r="D466" s="4">
        <v>138.1</v>
      </c>
    </row>
    <row r="467" ht="22.5" customHeight="1">
      <c r="B467" s="4">
        <v>9181305.0</v>
      </c>
      <c r="C467" s="4">
        <v>7.88</v>
      </c>
      <c r="D467" s="4">
        <v>138.1</v>
      </c>
    </row>
    <row r="468" ht="22.5" customHeight="1">
      <c r="B468" s="4">
        <v>9201308.0</v>
      </c>
      <c r="C468" s="4">
        <v>7.88</v>
      </c>
      <c r="D468" s="4">
        <v>138.1</v>
      </c>
    </row>
    <row r="469" ht="22.5" customHeight="1">
      <c r="B469" s="4">
        <v>9221311.0</v>
      </c>
      <c r="C469" s="4">
        <v>7.88</v>
      </c>
      <c r="D469" s="4">
        <v>138.1</v>
      </c>
    </row>
    <row r="470" ht="22.5" customHeight="1">
      <c r="B470" s="4">
        <v>9241314.0</v>
      </c>
      <c r="C470" s="4">
        <v>7.88</v>
      </c>
      <c r="D470" s="4">
        <v>138.2</v>
      </c>
    </row>
    <row r="471" ht="22.5" customHeight="1">
      <c r="B471" s="4">
        <v>9261317.0</v>
      </c>
      <c r="C471" s="4">
        <v>7.88</v>
      </c>
      <c r="D471" s="4">
        <v>138.2</v>
      </c>
    </row>
    <row r="472" ht="22.5" customHeight="1">
      <c r="B472" s="4">
        <v>9281319.0</v>
      </c>
      <c r="C472" s="4">
        <v>7.88</v>
      </c>
      <c r="D472" s="4">
        <v>138.1</v>
      </c>
    </row>
    <row r="473" ht="22.5" customHeight="1">
      <c r="B473" s="4">
        <v>9301322.0</v>
      </c>
      <c r="C473" s="4">
        <v>7.88</v>
      </c>
      <c r="D473" s="4">
        <v>138.1</v>
      </c>
    </row>
    <row r="474" ht="22.5" customHeight="1">
      <c r="B474" s="4">
        <v>9321325.0</v>
      </c>
      <c r="C474" s="4">
        <v>7.88</v>
      </c>
      <c r="D474" s="4">
        <v>138.1</v>
      </c>
    </row>
    <row r="475" ht="22.5" customHeight="1">
      <c r="B475" s="4">
        <v>9341328.0</v>
      </c>
      <c r="C475" s="4">
        <v>7.88</v>
      </c>
      <c r="D475" s="4">
        <v>138.2</v>
      </c>
    </row>
    <row r="476" ht="22.5" customHeight="1">
      <c r="B476" s="4">
        <v>9361331.0</v>
      </c>
      <c r="C476" s="4">
        <v>7.88</v>
      </c>
      <c r="D476" s="4">
        <v>138.1</v>
      </c>
    </row>
    <row r="477" ht="22.5" customHeight="1">
      <c r="B477" s="4">
        <v>9381334.0</v>
      </c>
      <c r="C477" s="4">
        <v>7.88</v>
      </c>
      <c r="D477" s="4">
        <v>138.0</v>
      </c>
    </row>
    <row r="478" ht="22.5" customHeight="1">
      <c r="B478" s="4">
        <v>9401336.0</v>
      </c>
      <c r="C478" s="4">
        <v>7.88</v>
      </c>
      <c r="D478" s="4">
        <v>138.1</v>
      </c>
    </row>
    <row r="479" ht="22.5" customHeight="1">
      <c r="B479" s="4">
        <v>9421339.0</v>
      </c>
      <c r="C479" s="4">
        <v>7.88</v>
      </c>
      <c r="D479" s="4">
        <v>138.1</v>
      </c>
    </row>
    <row r="480" ht="22.5" customHeight="1">
      <c r="B480" s="4">
        <v>9441342.0</v>
      </c>
      <c r="C480" s="4">
        <v>7.88</v>
      </c>
      <c r="D480" s="4">
        <v>138.1</v>
      </c>
    </row>
    <row r="481" ht="22.5" customHeight="1">
      <c r="B481" s="4">
        <v>9461345.0</v>
      </c>
      <c r="C481" s="4">
        <v>7.88</v>
      </c>
      <c r="D481" s="4">
        <v>138.1</v>
      </c>
    </row>
    <row r="482" ht="22.5" customHeight="1">
      <c r="B482" s="4">
        <v>9481348.0</v>
      </c>
      <c r="C482" s="4">
        <v>7.88</v>
      </c>
      <c r="D482" s="4">
        <v>138.1</v>
      </c>
    </row>
    <row r="483" ht="22.5" customHeight="1">
      <c r="B483" s="4">
        <v>9501350.0</v>
      </c>
      <c r="C483" s="4">
        <v>7.88</v>
      </c>
      <c r="D483" s="4">
        <v>138.1</v>
      </c>
    </row>
    <row r="484" ht="22.5" customHeight="1">
      <c r="B484" s="4">
        <v>9521353.0</v>
      </c>
      <c r="C484" s="4">
        <v>7.88</v>
      </c>
      <c r="D484" s="4">
        <v>138.1</v>
      </c>
    </row>
    <row r="485" ht="22.5" customHeight="1">
      <c r="B485" s="4">
        <v>9541356.0</v>
      </c>
      <c r="C485" s="4">
        <v>7.88</v>
      </c>
      <c r="D485" s="4">
        <v>138.1</v>
      </c>
    </row>
    <row r="486" ht="22.5" customHeight="1">
      <c r="B486" s="4">
        <v>9561359.0</v>
      </c>
      <c r="C486" s="4">
        <v>7.88</v>
      </c>
      <c r="D486" s="4">
        <v>138.0</v>
      </c>
    </row>
    <row r="487" ht="22.5" customHeight="1">
      <c r="B487" s="4">
        <v>9581362.0</v>
      </c>
      <c r="C487" s="4">
        <v>7.88</v>
      </c>
      <c r="D487" s="4">
        <v>138.1</v>
      </c>
    </row>
    <row r="488" ht="22.5" customHeight="1">
      <c r="B488" s="4">
        <v>9601364.0</v>
      </c>
      <c r="C488" s="4">
        <v>7.88</v>
      </c>
      <c r="D488" s="4">
        <v>138.1</v>
      </c>
    </row>
    <row r="489" ht="22.5" customHeight="1">
      <c r="B489" s="4">
        <v>9621367.0</v>
      </c>
      <c r="C489" s="4">
        <v>7.88</v>
      </c>
      <c r="D489" s="4">
        <v>138.1</v>
      </c>
    </row>
    <row r="490" ht="22.5" customHeight="1">
      <c r="B490" s="4">
        <v>9641370.0</v>
      </c>
      <c r="C490" s="4">
        <v>7.88</v>
      </c>
      <c r="D490" s="4">
        <v>138.1</v>
      </c>
    </row>
    <row r="491" ht="22.5" customHeight="1">
      <c r="B491" s="4">
        <v>9661373.0</v>
      </c>
      <c r="C491" s="4">
        <v>7.88</v>
      </c>
      <c r="D491" s="4">
        <v>138.1</v>
      </c>
    </row>
    <row r="492" ht="22.5" customHeight="1">
      <c r="B492" s="4">
        <v>9681376.0</v>
      </c>
      <c r="C492" s="4">
        <v>7.88</v>
      </c>
      <c r="D492" s="4">
        <v>138.0</v>
      </c>
    </row>
    <row r="493" ht="22.5" customHeight="1">
      <c r="B493" s="4">
        <v>9701379.0</v>
      </c>
      <c r="C493" s="4">
        <v>7.88</v>
      </c>
      <c r="D493" s="4">
        <v>138.1</v>
      </c>
    </row>
    <row r="494" ht="22.5" customHeight="1">
      <c r="B494" s="4">
        <v>9721381.0</v>
      </c>
      <c r="C494" s="4">
        <v>7.88</v>
      </c>
      <c r="D494" s="4">
        <v>138.0</v>
      </c>
    </row>
    <row r="495" ht="22.5" customHeight="1">
      <c r="B495" s="4">
        <v>9741384.0</v>
      </c>
      <c r="C495" s="4">
        <v>7.88</v>
      </c>
      <c r="D495" s="4">
        <v>138.0</v>
      </c>
    </row>
    <row r="496" ht="22.5" customHeight="1">
      <c r="B496" s="4">
        <v>9761387.0</v>
      </c>
      <c r="C496" s="4">
        <v>7.88</v>
      </c>
      <c r="D496" s="4">
        <v>138.0</v>
      </c>
    </row>
    <row r="497" ht="22.5" customHeight="1">
      <c r="B497" s="4">
        <v>9781390.0</v>
      </c>
      <c r="C497" s="4">
        <v>7.88</v>
      </c>
      <c r="D497" s="4">
        <v>138.1</v>
      </c>
    </row>
    <row r="498" ht="22.5" customHeight="1">
      <c r="B498" s="4">
        <v>9801393.0</v>
      </c>
      <c r="C498" s="4">
        <v>7.88</v>
      </c>
      <c r="D498" s="4">
        <v>138.1</v>
      </c>
    </row>
    <row r="499" ht="22.5" customHeight="1">
      <c r="B499" s="4">
        <v>9821396.0</v>
      </c>
      <c r="C499" s="4">
        <v>7.88</v>
      </c>
      <c r="D499" s="4">
        <v>138.1</v>
      </c>
    </row>
    <row r="500" ht="22.5" customHeight="1">
      <c r="B500" s="4">
        <v>9841399.0</v>
      </c>
      <c r="C500" s="4">
        <v>7.88</v>
      </c>
      <c r="D500" s="4">
        <v>138.0</v>
      </c>
    </row>
    <row r="501" ht="22.5" customHeight="1">
      <c r="B501" s="4">
        <v>9861402.0</v>
      </c>
      <c r="C501" s="4">
        <v>7.88</v>
      </c>
      <c r="D501" s="4">
        <v>138.0</v>
      </c>
    </row>
    <row r="502" ht="22.5" customHeight="1">
      <c r="B502" s="4">
        <v>9881405.0</v>
      </c>
      <c r="C502" s="4">
        <v>7.88</v>
      </c>
      <c r="D502" s="4">
        <v>138.0</v>
      </c>
    </row>
    <row r="503" ht="22.5" customHeight="1">
      <c r="B503" s="4">
        <v>9901408.0</v>
      </c>
      <c r="C503" s="4">
        <v>7.88</v>
      </c>
      <c r="D503" s="4">
        <v>138.0</v>
      </c>
    </row>
    <row r="504" ht="22.5" customHeight="1">
      <c r="B504" s="4">
        <v>9921411.0</v>
      </c>
      <c r="C504" s="4">
        <v>7.88</v>
      </c>
      <c r="D504" s="4">
        <v>138.0</v>
      </c>
    </row>
    <row r="505" ht="22.5" customHeight="1">
      <c r="B505" s="4">
        <v>9941413.0</v>
      </c>
      <c r="C505" s="4">
        <v>7.88</v>
      </c>
      <c r="D505" s="4">
        <v>138.0</v>
      </c>
    </row>
    <row r="506" ht="22.5" customHeight="1">
      <c r="B506" s="4">
        <v>9961416.0</v>
      </c>
      <c r="C506" s="4">
        <v>7.88</v>
      </c>
      <c r="D506" s="4">
        <v>138.0</v>
      </c>
    </row>
    <row r="507" ht="22.5" customHeight="1">
      <c r="B507" s="4">
        <v>9981419.0</v>
      </c>
      <c r="C507" s="4">
        <v>7.88</v>
      </c>
      <c r="D507" s="4">
        <v>138.0</v>
      </c>
    </row>
    <row r="508" ht="22.5" customHeight="1">
      <c r="B508" s="4">
        <v>1.0001422E7</v>
      </c>
      <c r="C508" s="4">
        <v>7.88</v>
      </c>
      <c r="D508" s="4">
        <v>138.1</v>
      </c>
    </row>
    <row r="509" ht="22.5" customHeight="1">
      <c r="B509" s="4">
        <v>1.0021425E7</v>
      </c>
      <c r="C509" s="4">
        <v>7.88</v>
      </c>
      <c r="D509" s="4">
        <v>138.0</v>
      </c>
    </row>
    <row r="510" ht="22.5" customHeight="1">
      <c r="B510" s="4">
        <v>1.0041427E7</v>
      </c>
      <c r="C510" s="4">
        <v>7.88</v>
      </c>
      <c r="D510" s="4">
        <v>138.0</v>
      </c>
    </row>
    <row r="511" ht="22.5" customHeight="1">
      <c r="B511" s="4">
        <v>1.006143E7</v>
      </c>
      <c r="C511" s="4">
        <v>7.88</v>
      </c>
      <c r="D511" s="4">
        <v>138.0</v>
      </c>
    </row>
    <row r="512" ht="22.5" customHeight="1">
      <c r="B512" s="4">
        <v>1.0081433E7</v>
      </c>
      <c r="C512" s="4">
        <v>7.87</v>
      </c>
      <c r="D512" s="4">
        <v>138.0</v>
      </c>
    </row>
    <row r="513" ht="22.5" customHeight="1">
      <c r="B513" s="4">
        <v>1.0101436E7</v>
      </c>
      <c r="C513" s="4">
        <v>7.88</v>
      </c>
      <c r="D513" s="4">
        <v>138.0</v>
      </c>
    </row>
    <row r="514" ht="22.5" customHeight="1">
      <c r="B514" s="4">
        <v>1.0121439E7</v>
      </c>
      <c r="C514" s="4">
        <v>7.88</v>
      </c>
      <c r="D514" s="4">
        <v>137.9</v>
      </c>
    </row>
    <row r="515" ht="22.5" customHeight="1">
      <c r="B515" s="4">
        <v>1.0141442E7</v>
      </c>
      <c r="C515" s="4">
        <v>7.87</v>
      </c>
      <c r="D515" s="4">
        <v>138.0</v>
      </c>
    </row>
    <row r="516" ht="22.5" customHeight="1">
      <c r="B516" s="4">
        <v>1.0161444E7</v>
      </c>
      <c r="C516" s="4">
        <v>7.87</v>
      </c>
      <c r="D516" s="4">
        <v>138.0</v>
      </c>
    </row>
    <row r="517" ht="22.5" customHeight="1">
      <c r="B517" s="4">
        <v>1.0181447E7</v>
      </c>
      <c r="C517" s="4">
        <v>7.87</v>
      </c>
      <c r="D517" s="4">
        <v>137.9</v>
      </c>
    </row>
    <row r="518" ht="22.5" customHeight="1">
      <c r="B518" s="4">
        <v>1.020145E7</v>
      </c>
      <c r="C518" s="4">
        <v>7.87</v>
      </c>
      <c r="D518" s="4">
        <v>137.9</v>
      </c>
    </row>
    <row r="519" ht="22.5" customHeight="1">
      <c r="B519" s="4">
        <v>1.0221453E7</v>
      </c>
      <c r="C519" s="4">
        <v>7.87</v>
      </c>
      <c r="D519" s="4">
        <v>137.9</v>
      </c>
    </row>
    <row r="520" ht="22.5" customHeight="1">
      <c r="B520" s="4">
        <v>1.0241457E7</v>
      </c>
      <c r="C520" s="4">
        <v>7.87</v>
      </c>
      <c r="D520" s="4">
        <v>137.9</v>
      </c>
    </row>
    <row r="521" ht="22.5" customHeight="1">
      <c r="B521" s="4">
        <v>1.0261459E7</v>
      </c>
      <c r="C521" s="4">
        <v>7.87</v>
      </c>
      <c r="D521" s="4">
        <v>137.9</v>
      </c>
    </row>
    <row r="522" ht="22.5" customHeight="1">
      <c r="B522" s="4">
        <v>1.0281462E7</v>
      </c>
      <c r="C522" s="4">
        <v>7.87</v>
      </c>
      <c r="D522" s="4">
        <v>137.9</v>
      </c>
    </row>
    <row r="523" ht="22.5" customHeight="1">
      <c r="B523" s="4">
        <v>1.0301465E7</v>
      </c>
      <c r="C523" s="4">
        <v>7.87</v>
      </c>
      <c r="D523" s="4">
        <v>138.0</v>
      </c>
    </row>
    <row r="524" ht="22.5" customHeight="1">
      <c r="B524" s="4">
        <v>1.0321468E7</v>
      </c>
      <c r="C524" s="4">
        <v>7.87</v>
      </c>
      <c r="D524" s="4">
        <v>137.9</v>
      </c>
    </row>
    <row r="525" ht="22.5" customHeight="1">
      <c r="B525" s="4">
        <v>1.0341471E7</v>
      </c>
      <c r="C525" s="4">
        <v>7.87</v>
      </c>
      <c r="D525" s="4">
        <v>137.9</v>
      </c>
    </row>
    <row r="526" ht="22.5" customHeight="1">
      <c r="B526" s="4">
        <v>1.0361474E7</v>
      </c>
      <c r="C526" s="4">
        <v>7.87</v>
      </c>
      <c r="D526" s="4">
        <v>137.9</v>
      </c>
    </row>
    <row r="527" ht="22.5" customHeight="1">
      <c r="B527" s="4">
        <v>1.0381476E7</v>
      </c>
      <c r="C527" s="4">
        <v>7.87</v>
      </c>
      <c r="D527" s="4">
        <v>137.9</v>
      </c>
    </row>
    <row r="528" ht="22.5" customHeight="1">
      <c r="B528" s="4">
        <v>1.0401479E7</v>
      </c>
      <c r="C528" s="4">
        <v>7.87</v>
      </c>
      <c r="D528" s="4">
        <v>137.9</v>
      </c>
    </row>
    <row r="529" ht="22.5" customHeight="1">
      <c r="B529" s="4">
        <v>1.0421482E7</v>
      </c>
      <c r="C529" s="4">
        <v>7.87</v>
      </c>
      <c r="D529" s="4">
        <v>137.9</v>
      </c>
    </row>
    <row r="530" ht="22.5" customHeight="1">
      <c r="B530" s="4">
        <v>1.0441485E7</v>
      </c>
      <c r="C530" s="4">
        <v>7.87</v>
      </c>
      <c r="D530" s="4">
        <v>137.9</v>
      </c>
    </row>
    <row r="531" ht="22.5" customHeight="1">
      <c r="B531" s="4">
        <v>1.0461488E7</v>
      </c>
      <c r="C531" s="4">
        <v>7.87</v>
      </c>
      <c r="D531" s="4">
        <v>137.9</v>
      </c>
    </row>
    <row r="532" ht="22.5" customHeight="1">
      <c r="B532" s="4">
        <v>1.048149E7</v>
      </c>
      <c r="C532" s="4">
        <v>7.87</v>
      </c>
      <c r="D532" s="4">
        <v>137.9</v>
      </c>
    </row>
    <row r="533" ht="22.5" customHeight="1">
      <c r="B533" s="4">
        <v>1.0501493E7</v>
      </c>
      <c r="C533" s="4">
        <v>7.87</v>
      </c>
      <c r="D533" s="4">
        <v>137.9</v>
      </c>
    </row>
    <row r="534" ht="22.5" customHeight="1">
      <c r="B534" s="4">
        <v>1.0521497E7</v>
      </c>
      <c r="C534" s="4">
        <v>7.87</v>
      </c>
      <c r="D534" s="4">
        <v>138.0</v>
      </c>
    </row>
    <row r="535" ht="22.5" customHeight="1">
      <c r="B535" s="4">
        <v>1.05415E7</v>
      </c>
      <c r="C535" s="4">
        <v>7.87</v>
      </c>
      <c r="D535" s="4">
        <v>137.9</v>
      </c>
    </row>
    <row r="536" ht="22.5" customHeight="1">
      <c r="B536" s="4">
        <v>1.0561503E7</v>
      </c>
      <c r="C536" s="4">
        <v>7.87</v>
      </c>
      <c r="D536" s="4">
        <v>137.9</v>
      </c>
    </row>
    <row r="537" ht="22.5" customHeight="1">
      <c r="B537" s="4">
        <v>1.0581506E7</v>
      </c>
      <c r="C537" s="4">
        <v>7.87</v>
      </c>
      <c r="D537" s="4">
        <v>137.9</v>
      </c>
    </row>
    <row r="538" ht="22.5" customHeight="1">
      <c r="B538" s="4">
        <v>1.0601508E7</v>
      </c>
      <c r="C538" s="4">
        <v>7.87</v>
      </c>
      <c r="D538" s="4">
        <v>137.8</v>
      </c>
    </row>
    <row r="539" ht="22.5" customHeight="1">
      <c r="B539" s="4">
        <v>1.0621511E7</v>
      </c>
      <c r="C539" s="4">
        <v>7.86</v>
      </c>
      <c r="D539" s="4">
        <v>137.8</v>
      </c>
    </row>
    <row r="540" ht="22.5" customHeight="1">
      <c r="B540" s="4">
        <v>1.0641514E7</v>
      </c>
      <c r="C540" s="4">
        <v>7.87</v>
      </c>
      <c r="D540" s="4">
        <v>137.8</v>
      </c>
    </row>
    <row r="541" ht="22.5" customHeight="1">
      <c r="B541" s="4">
        <v>1.0661517E7</v>
      </c>
      <c r="C541" s="4">
        <v>7.87</v>
      </c>
      <c r="D541" s="4">
        <v>137.8</v>
      </c>
    </row>
    <row r="542" ht="22.5" customHeight="1">
      <c r="B542" s="4">
        <v>1.068152E7</v>
      </c>
      <c r="C542" s="4">
        <v>7.87</v>
      </c>
      <c r="D542" s="4">
        <v>137.8</v>
      </c>
    </row>
    <row r="543" ht="22.5" customHeight="1">
      <c r="B543" s="4">
        <v>1.0701522E7</v>
      </c>
      <c r="C543" s="4">
        <v>7.86</v>
      </c>
      <c r="D543" s="4">
        <v>137.8</v>
      </c>
    </row>
    <row r="544" ht="22.5" customHeight="1">
      <c r="B544" s="4">
        <v>1.0721525E7</v>
      </c>
      <c r="C544" s="4">
        <v>7.86</v>
      </c>
      <c r="D544" s="4">
        <v>137.8</v>
      </c>
    </row>
    <row r="545" ht="22.5" customHeight="1">
      <c r="B545" s="4">
        <v>1.0741528E7</v>
      </c>
      <c r="C545" s="4">
        <v>7.86</v>
      </c>
      <c r="D545" s="4">
        <v>137.8</v>
      </c>
    </row>
    <row r="546" ht="22.5" customHeight="1">
      <c r="B546" s="4">
        <v>1.0761531E7</v>
      </c>
      <c r="C546" s="4">
        <v>7.86</v>
      </c>
      <c r="D546" s="4">
        <v>137.8</v>
      </c>
    </row>
    <row r="547" ht="22.5" customHeight="1">
      <c r="B547" s="4">
        <v>1.0781534E7</v>
      </c>
      <c r="C547" s="4">
        <v>7.86</v>
      </c>
      <c r="D547" s="4">
        <v>137.8</v>
      </c>
    </row>
    <row r="548" ht="22.5" customHeight="1">
      <c r="B548" s="4">
        <v>1.0801537E7</v>
      </c>
      <c r="C548" s="4">
        <v>7.86</v>
      </c>
      <c r="D548" s="4">
        <v>137.8</v>
      </c>
    </row>
    <row r="549" ht="22.5" customHeight="1">
      <c r="B549" s="4">
        <v>1.082154E7</v>
      </c>
      <c r="C549" s="4">
        <v>7.86</v>
      </c>
      <c r="D549" s="4">
        <v>137.8</v>
      </c>
    </row>
    <row r="550" ht="22.5" customHeight="1">
      <c r="B550" s="4">
        <v>1.0841543E7</v>
      </c>
      <c r="C550" s="4">
        <v>7.86</v>
      </c>
      <c r="D550" s="4">
        <v>137.8</v>
      </c>
    </row>
    <row r="551" ht="22.5" customHeight="1">
      <c r="B551" s="4">
        <v>1.0861546E7</v>
      </c>
      <c r="C551" s="4">
        <v>7.86</v>
      </c>
      <c r="D551" s="4">
        <v>137.7</v>
      </c>
    </row>
    <row r="552" ht="22.5" customHeight="1">
      <c r="B552" s="4">
        <v>1.0881549E7</v>
      </c>
      <c r="C552" s="4">
        <v>7.86</v>
      </c>
      <c r="D552" s="4">
        <v>137.8</v>
      </c>
    </row>
    <row r="553" ht="22.5" customHeight="1">
      <c r="B553" s="4">
        <v>1.0901552E7</v>
      </c>
      <c r="C553" s="4">
        <v>7.86</v>
      </c>
      <c r="D553" s="4">
        <v>137.8</v>
      </c>
    </row>
    <row r="554" ht="22.5" customHeight="1">
      <c r="B554" s="4">
        <v>1.0921554E7</v>
      </c>
      <c r="C554" s="4">
        <v>7.86</v>
      </c>
      <c r="D554" s="4">
        <v>137.8</v>
      </c>
    </row>
    <row r="555" ht="22.5" customHeight="1">
      <c r="B555" s="4">
        <v>1.0941557E7</v>
      </c>
      <c r="C555" s="4">
        <v>7.86</v>
      </c>
      <c r="D555" s="4">
        <v>137.8</v>
      </c>
    </row>
    <row r="556" ht="22.5" customHeight="1">
      <c r="B556" s="4">
        <v>1.096156E7</v>
      </c>
      <c r="C556" s="4">
        <v>7.86</v>
      </c>
      <c r="D556" s="4">
        <v>137.7</v>
      </c>
    </row>
    <row r="557" ht="22.5" customHeight="1">
      <c r="B557" s="4">
        <v>1.0981563E7</v>
      </c>
      <c r="C557" s="4">
        <v>7.86</v>
      </c>
      <c r="D557" s="4">
        <v>137.7</v>
      </c>
    </row>
    <row r="558" ht="22.5" customHeight="1">
      <c r="B558" s="4">
        <v>1.1001566E7</v>
      </c>
      <c r="C558" s="4">
        <v>7.86</v>
      </c>
      <c r="D558" s="4">
        <v>137.8</v>
      </c>
    </row>
    <row r="559" ht="22.5" customHeight="1">
      <c r="B559" s="4">
        <v>1.1021569E7</v>
      </c>
      <c r="C559" s="4">
        <v>7.86</v>
      </c>
      <c r="D559" s="4">
        <v>137.7</v>
      </c>
    </row>
    <row r="560" ht="22.5" customHeight="1">
      <c r="B560" s="4">
        <v>1.1041571E7</v>
      </c>
      <c r="C560" s="4">
        <v>7.86</v>
      </c>
      <c r="D560" s="4">
        <v>137.7</v>
      </c>
    </row>
    <row r="561" ht="22.5" customHeight="1">
      <c r="B561" s="4">
        <v>1.1061574E7</v>
      </c>
      <c r="C561" s="4">
        <v>7.86</v>
      </c>
      <c r="D561" s="4">
        <v>137.7</v>
      </c>
    </row>
    <row r="562" ht="22.5" customHeight="1">
      <c r="B562" s="4">
        <v>1.1081577E7</v>
      </c>
      <c r="C562" s="4">
        <v>7.86</v>
      </c>
      <c r="D562" s="4">
        <v>137.7</v>
      </c>
    </row>
    <row r="563" ht="22.5" customHeight="1">
      <c r="B563" s="4">
        <v>1.1101581E7</v>
      </c>
      <c r="C563" s="4">
        <v>7.86</v>
      </c>
      <c r="D563" s="4">
        <v>137.7</v>
      </c>
    </row>
    <row r="564" ht="22.5" customHeight="1">
      <c r="B564" s="4">
        <v>1.1121584E7</v>
      </c>
      <c r="C564" s="4">
        <v>7.86</v>
      </c>
      <c r="D564" s="4">
        <v>137.7</v>
      </c>
    </row>
    <row r="565" ht="22.5" customHeight="1">
      <c r="B565" s="4">
        <v>1.1141586E7</v>
      </c>
      <c r="C565" s="4">
        <v>7.86</v>
      </c>
      <c r="D565" s="4">
        <v>137.7</v>
      </c>
    </row>
    <row r="566" ht="22.5" customHeight="1">
      <c r="B566" s="4">
        <v>1.1161589E7</v>
      </c>
      <c r="C566" s="4">
        <v>7.86</v>
      </c>
      <c r="D566" s="4">
        <v>137.7</v>
      </c>
    </row>
    <row r="567" ht="22.5" customHeight="1">
      <c r="B567" s="4">
        <v>1.1181592E7</v>
      </c>
      <c r="C567" s="4">
        <v>7.86</v>
      </c>
      <c r="D567" s="4">
        <v>137.7</v>
      </c>
    </row>
    <row r="568" ht="22.5" customHeight="1">
      <c r="B568" s="4">
        <v>1.1201595E7</v>
      </c>
      <c r="C568" s="4">
        <v>7.86</v>
      </c>
      <c r="D568" s="4">
        <v>137.6</v>
      </c>
    </row>
    <row r="569" ht="22.5" customHeight="1">
      <c r="B569" s="4">
        <v>1.1221598E7</v>
      </c>
      <c r="C569" s="4">
        <v>7.86</v>
      </c>
      <c r="D569" s="4">
        <v>137.7</v>
      </c>
    </row>
    <row r="570" ht="22.5" customHeight="1">
      <c r="B570" s="4">
        <v>1.1241601E7</v>
      </c>
      <c r="C570" s="4">
        <v>7.85</v>
      </c>
      <c r="D570" s="4">
        <v>137.6</v>
      </c>
    </row>
    <row r="571" ht="22.5" customHeight="1">
      <c r="B571" s="4">
        <v>1.1261603E7</v>
      </c>
      <c r="C571" s="4">
        <v>7.86</v>
      </c>
      <c r="D571" s="4">
        <v>137.6</v>
      </c>
    </row>
    <row r="572" ht="22.5" customHeight="1">
      <c r="B572" s="4">
        <v>1.1281606E7</v>
      </c>
      <c r="C572" s="4">
        <v>7.86</v>
      </c>
      <c r="D572" s="4">
        <v>137.7</v>
      </c>
    </row>
    <row r="573" ht="22.5" customHeight="1">
      <c r="B573" s="4">
        <v>1.1301609E7</v>
      </c>
      <c r="C573" s="4">
        <v>7.86</v>
      </c>
      <c r="D573" s="4">
        <v>137.7</v>
      </c>
    </row>
    <row r="574" ht="22.5" customHeight="1">
      <c r="B574" s="4">
        <v>1.1321612E7</v>
      </c>
      <c r="C574" s="4">
        <v>7.86</v>
      </c>
      <c r="D574" s="4">
        <v>137.6</v>
      </c>
    </row>
    <row r="575" ht="22.5" customHeight="1">
      <c r="B575" s="4">
        <v>1.1341615E7</v>
      </c>
      <c r="C575" s="4">
        <v>7.85</v>
      </c>
      <c r="D575" s="4">
        <v>137.6</v>
      </c>
    </row>
    <row r="576" ht="22.5" customHeight="1">
      <c r="B576" s="4">
        <v>1.1361618E7</v>
      </c>
      <c r="C576" s="4">
        <v>7.85</v>
      </c>
      <c r="D576" s="4">
        <v>137.7</v>
      </c>
    </row>
    <row r="577" ht="22.5" customHeight="1">
      <c r="B577" s="4">
        <v>1.1381621E7</v>
      </c>
      <c r="C577" s="4">
        <v>7.85</v>
      </c>
      <c r="D577" s="4">
        <v>137.6</v>
      </c>
    </row>
    <row r="578" ht="22.5" customHeight="1">
      <c r="B578" s="4">
        <v>1.1401624E7</v>
      </c>
      <c r="C578" s="4">
        <v>7.85</v>
      </c>
      <c r="D578" s="4">
        <v>137.6</v>
      </c>
    </row>
    <row r="579" ht="22.5" customHeight="1">
      <c r="B579" s="4">
        <v>1.1421627E7</v>
      </c>
      <c r="C579" s="4">
        <v>7.85</v>
      </c>
      <c r="D579" s="4">
        <v>137.6</v>
      </c>
    </row>
    <row r="580" ht="22.5" customHeight="1">
      <c r="B580" s="4">
        <v>1.144163E7</v>
      </c>
      <c r="C580" s="4">
        <v>7.85</v>
      </c>
      <c r="D580" s="4">
        <v>137.6</v>
      </c>
    </row>
    <row r="581" ht="22.5" customHeight="1">
      <c r="B581" s="4">
        <v>1.1461633E7</v>
      </c>
      <c r="C581" s="4">
        <v>7.85</v>
      </c>
      <c r="D581" s="4">
        <v>137.6</v>
      </c>
    </row>
    <row r="582" ht="22.5" customHeight="1">
      <c r="B582" s="4">
        <v>1.1481635E7</v>
      </c>
      <c r="C582" s="4">
        <v>7.85</v>
      </c>
      <c r="D582" s="4">
        <v>137.6</v>
      </c>
    </row>
    <row r="583" ht="22.5" customHeight="1">
      <c r="B583" s="4">
        <v>1.1501638E7</v>
      </c>
      <c r="C583" s="4">
        <v>7.85</v>
      </c>
      <c r="D583" s="4">
        <v>137.6</v>
      </c>
    </row>
    <row r="584" ht="22.5" customHeight="1">
      <c r="B584" s="4">
        <v>1.1521641E7</v>
      </c>
      <c r="C584" s="4">
        <v>7.85</v>
      </c>
      <c r="D584" s="4">
        <v>137.6</v>
      </c>
    </row>
    <row r="585" ht="22.5" customHeight="1">
      <c r="B585" s="4">
        <v>1.1541644E7</v>
      </c>
      <c r="C585" s="4">
        <v>7.85</v>
      </c>
      <c r="D585" s="4">
        <v>137.5</v>
      </c>
    </row>
    <row r="586" ht="22.5" customHeight="1">
      <c r="B586" s="4">
        <v>1.1561647E7</v>
      </c>
      <c r="C586" s="4">
        <v>7.85</v>
      </c>
      <c r="D586" s="4">
        <v>137.5</v>
      </c>
    </row>
    <row r="587" ht="22.5" customHeight="1">
      <c r="B587" s="4">
        <v>1.1581649E7</v>
      </c>
      <c r="C587" s="4">
        <v>7.85</v>
      </c>
      <c r="D587" s="4">
        <v>137.5</v>
      </c>
    </row>
    <row r="588" ht="22.5" customHeight="1">
      <c r="B588" s="4">
        <v>1.1601652E7</v>
      </c>
      <c r="C588" s="4">
        <v>7.85</v>
      </c>
      <c r="D588" s="4">
        <v>137.5</v>
      </c>
    </row>
    <row r="589" ht="22.5" customHeight="1">
      <c r="B589" s="4">
        <v>1.1621655E7</v>
      </c>
      <c r="C589" s="4">
        <v>7.85</v>
      </c>
      <c r="D589" s="4">
        <v>137.5</v>
      </c>
    </row>
    <row r="590" ht="22.5" customHeight="1">
      <c r="B590" s="4">
        <v>1.1641658E7</v>
      </c>
      <c r="C590" s="4">
        <v>7.85</v>
      </c>
      <c r="D590" s="4">
        <v>137.6</v>
      </c>
    </row>
    <row r="591" ht="22.5" customHeight="1">
      <c r="B591" s="4">
        <v>1.1661662E7</v>
      </c>
      <c r="C591" s="4">
        <v>7.85</v>
      </c>
      <c r="D591" s="4">
        <v>137.6</v>
      </c>
    </row>
    <row r="592" ht="22.5" customHeight="1">
      <c r="B592" s="4">
        <v>1.1681665E7</v>
      </c>
      <c r="C592" s="4">
        <v>7.85</v>
      </c>
      <c r="D592" s="4">
        <v>137.5</v>
      </c>
    </row>
    <row r="593" ht="22.5" customHeight="1">
      <c r="B593" s="4">
        <v>1.1701667E7</v>
      </c>
      <c r="C593" s="4">
        <v>7.85</v>
      </c>
      <c r="D593" s="4">
        <v>137.5</v>
      </c>
    </row>
    <row r="594" ht="22.5" customHeight="1">
      <c r="B594" s="4">
        <v>1.172167E7</v>
      </c>
      <c r="C594" s="4">
        <v>7.85</v>
      </c>
      <c r="D594" s="4">
        <v>137.5</v>
      </c>
    </row>
    <row r="595" ht="22.5" customHeight="1">
      <c r="B595" s="4">
        <v>1.1741673E7</v>
      </c>
      <c r="C595" s="4">
        <v>7.85</v>
      </c>
      <c r="D595" s="4">
        <v>137.5</v>
      </c>
    </row>
    <row r="596" ht="22.5" customHeight="1">
      <c r="B596" s="4">
        <v>1.1761676E7</v>
      </c>
      <c r="C596" s="4">
        <v>7.85</v>
      </c>
      <c r="D596" s="4">
        <v>137.5</v>
      </c>
    </row>
    <row r="597" ht="22.5" customHeight="1">
      <c r="B597" s="4">
        <v>1.1781679E7</v>
      </c>
      <c r="C597" s="4">
        <v>7.85</v>
      </c>
      <c r="D597" s="4">
        <v>137.5</v>
      </c>
    </row>
    <row r="598" ht="22.5" customHeight="1">
      <c r="B598" s="4">
        <v>1.1801681E7</v>
      </c>
      <c r="C598" s="4">
        <v>7.85</v>
      </c>
      <c r="D598" s="4">
        <v>137.5</v>
      </c>
    </row>
    <row r="599" ht="22.5" customHeight="1">
      <c r="B599" s="4">
        <v>1.1821684E7</v>
      </c>
      <c r="C599" s="4">
        <v>7.84</v>
      </c>
      <c r="D599" s="4">
        <v>137.4</v>
      </c>
    </row>
    <row r="600" ht="22.5" customHeight="1">
      <c r="B600" s="4">
        <v>1.1841687E7</v>
      </c>
      <c r="C600" s="4">
        <v>7.84</v>
      </c>
      <c r="D600" s="4">
        <v>137.5</v>
      </c>
    </row>
    <row r="601" ht="22.5" customHeight="1">
      <c r="B601" s="4">
        <v>1.186169E7</v>
      </c>
      <c r="C601" s="4">
        <v>7.84</v>
      </c>
      <c r="D601" s="4">
        <v>137.5</v>
      </c>
    </row>
    <row r="602" ht="22.5" customHeight="1">
      <c r="B602" s="4">
        <v>1.1881693E7</v>
      </c>
      <c r="C602" s="4">
        <v>7.84</v>
      </c>
      <c r="D602" s="4">
        <v>137.4</v>
      </c>
    </row>
    <row r="603" ht="22.5" customHeight="1">
      <c r="B603" s="4">
        <v>1.1901696E7</v>
      </c>
      <c r="C603" s="4">
        <v>7.84</v>
      </c>
      <c r="D603" s="4">
        <v>137.5</v>
      </c>
    </row>
    <row r="604" ht="22.5" customHeight="1">
      <c r="B604" s="4">
        <v>1.1921698E7</v>
      </c>
      <c r="C604" s="4">
        <v>7.84</v>
      </c>
      <c r="D604" s="4">
        <v>137.5</v>
      </c>
    </row>
    <row r="605" ht="22.5" customHeight="1">
      <c r="B605" s="4">
        <v>1.1941702E7</v>
      </c>
      <c r="C605" s="4">
        <v>7.84</v>
      </c>
      <c r="D605" s="4">
        <v>137.5</v>
      </c>
    </row>
    <row r="606" ht="22.5" customHeight="1">
      <c r="B606" s="4">
        <v>1.1961705E7</v>
      </c>
      <c r="C606" s="4">
        <v>7.84</v>
      </c>
      <c r="D606" s="4">
        <v>137.4</v>
      </c>
    </row>
    <row r="607" ht="22.5" customHeight="1">
      <c r="B607" s="4">
        <v>1.1981708E7</v>
      </c>
      <c r="C607" s="4">
        <v>7.84</v>
      </c>
      <c r="D607" s="4">
        <v>137.4</v>
      </c>
    </row>
    <row r="608" ht="22.5" customHeight="1">
      <c r="B608" s="4">
        <v>1.2001711E7</v>
      </c>
      <c r="C608" s="4">
        <v>7.84</v>
      </c>
      <c r="D608" s="4">
        <v>137.4</v>
      </c>
    </row>
    <row r="609" ht="22.5" customHeight="1">
      <c r="B609" s="4">
        <v>1.2021713E7</v>
      </c>
      <c r="C609" s="4">
        <v>7.84</v>
      </c>
      <c r="D609" s="4">
        <v>137.4</v>
      </c>
    </row>
    <row r="610" ht="22.5" customHeight="1">
      <c r="B610" s="4">
        <v>1.2041716E7</v>
      </c>
      <c r="C610" s="4">
        <v>7.84</v>
      </c>
      <c r="D610" s="4">
        <v>137.3</v>
      </c>
    </row>
    <row r="611" ht="22.5" customHeight="1">
      <c r="B611" s="4">
        <v>1.2061719E7</v>
      </c>
      <c r="C611" s="4">
        <v>7.84</v>
      </c>
      <c r="D611" s="4">
        <v>137.4</v>
      </c>
    </row>
    <row r="612" ht="22.5" customHeight="1">
      <c r="B612" s="4">
        <v>1.2081722E7</v>
      </c>
      <c r="C612" s="4">
        <v>7.84</v>
      </c>
      <c r="D612" s="4">
        <v>137.4</v>
      </c>
    </row>
    <row r="613" ht="22.5" customHeight="1">
      <c r="B613" s="4">
        <v>1.2101725E7</v>
      </c>
      <c r="C613" s="4">
        <v>7.84</v>
      </c>
      <c r="D613" s="4">
        <v>137.3</v>
      </c>
    </row>
    <row r="614" ht="22.5" customHeight="1">
      <c r="B614" s="4">
        <v>1.2121728E7</v>
      </c>
      <c r="C614" s="4">
        <v>7.84</v>
      </c>
      <c r="D614" s="4">
        <v>137.3</v>
      </c>
    </row>
    <row r="615" ht="22.5" customHeight="1">
      <c r="B615" s="4">
        <v>1.214173E7</v>
      </c>
      <c r="C615" s="4">
        <v>7.84</v>
      </c>
      <c r="D615" s="4">
        <v>137.3</v>
      </c>
    </row>
    <row r="616" ht="22.5" customHeight="1">
      <c r="B616" s="4">
        <v>1.2161733E7</v>
      </c>
      <c r="C616" s="4">
        <v>7.84</v>
      </c>
      <c r="D616" s="4">
        <v>137.3</v>
      </c>
    </row>
    <row r="617" ht="22.5" customHeight="1">
      <c r="B617" s="4">
        <v>1.2181736E7</v>
      </c>
      <c r="C617" s="4">
        <v>7.84</v>
      </c>
      <c r="D617" s="4">
        <v>137.3</v>
      </c>
    </row>
    <row r="618" ht="22.5" customHeight="1">
      <c r="B618" s="4">
        <v>1.2201739E7</v>
      </c>
      <c r="C618" s="4">
        <v>7.84</v>
      </c>
      <c r="D618" s="4">
        <v>137.3</v>
      </c>
    </row>
    <row r="619" ht="22.5" customHeight="1">
      <c r="B619" s="4">
        <v>1.2221743E7</v>
      </c>
      <c r="C619" s="4">
        <v>7.84</v>
      </c>
      <c r="D619" s="4">
        <v>137.3</v>
      </c>
    </row>
    <row r="620" ht="22.5" customHeight="1">
      <c r="B620" s="4">
        <v>1.2241745E7</v>
      </c>
      <c r="C620" s="4">
        <v>7.84</v>
      </c>
      <c r="D620" s="4">
        <v>137.3</v>
      </c>
    </row>
    <row r="621" ht="22.5" customHeight="1">
      <c r="B621" s="4">
        <v>1.2261748E7</v>
      </c>
      <c r="C621" s="4">
        <v>7.84</v>
      </c>
      <c r="D621" s="4">
        <v>137.3</v>
      </c>
    </row>
    <row r="622" ht="22.5" customHeight="1">
      <c r="B622" s="4">
        <v>1.2281751E7</v>
      </c>
      <c r="C622" s="4">
        <v>7.84</v>
      </c>
      <c r="D622" s="4">
        <v>137.3</v>
      </c>
    </row>
    <row r="623" ht="22.5" customHeight="1">
      <c r="B623" s="4">
        <v>1.2301754E7</v>
      </c>
      <c r="C623" s="4">
        <v>7.84</v>
      </c>
      <c r="D623" s="4">
        <v>137.3</v>
      </c>
    </row>
    <row r="624" ht="22.5" customHeight="1">
      <c r="B624" s="4">
        <v>1.2321757E7</v>
      </c>
      <c r="C624" s="4">
        <v>7.84</v>
      </c>
      <c r="D624" s="4">
        <v>137.3</v>
      </c>
    </row>
    <row r="625" ht="22.5" customHeight="1">
      <c r="B625" s="4">
        <v>1.234176E7</v>
      </c>
      <c r="C625" s="4">
        <v>7.84</v>
      </c>
      <c r="D625" s="4">
        <v>137.3</v>
      </c>
    </row>
    <row r="626" ht="22.5" customHeight="1">
      <c r="B626" s="4">
        <v>1.2361762E7</v>
      </c>
      <c r="C626" s="4">
        <v>7.84</v>
      </c>
      <c r="D626" s="4">
        <v>137.3</v>
      </c>
    </row>
    <row r="627" ht="22.5" customHeight="1">
      <c r="B627" s="4">
        <v>1.2381765E7</v>
      </c>
      <c r="C627" s="4">
        <v>7.83</v>
      </c>
      <c r="D627" s="4">
        <v>137.3</v>
      </c>
    </row>
    <row r="628" ht="22.5" customHeight="1">
      <c r="B628" s="4">
        <v>1.2401768E7</v>
      </c>
      <c r="C628" s="4">
        <v>7.83</v>
      </c>
      <c r="D628" s="4">
        <v>137.2</v>
      </c>
    </row>
    <row r="629" ht="22.5" customHeight="1">
      <c r="B629" s="4">
        <v>1.2421771E7</v>
      </c>
      <c r="C629" s="4">
        <v>7.83</v>
      </c>
      <c r="D629" s="4">
        <v>137.3</v>
      </c>
    </row>
    <row r="630" ht="22.5" customHeight="1">
      <c r="B630" s="4">
        <v>1.2441774E7</v>
      </c>
      <c r="C630" s="4">
        <v>7.83</v>
      </c>
      <c r="D630" s="4">
        <v>137.3</v>
      </c>
    </row>
    <row r="631" ht="22.5" customHeight="1">
      <c r="B631" s="4">
        <v>1.2461776E7</v>
      </c>
      <c r="C631" s="4">
        <v>7.83</v>
      </c>
      <c r="D631" s="4">
        <v>137.2</v>
      </c>
    </row>
    <row r="632" ht="22.5" customHeight="1">
      <c r="B632" s="4">
        <v>1.2481779E7</v>
      </c>
      <c r="C632" s="4">
        <v>7.83</v>
      </c>
      <c r="D632" s="4">
        <v>137.2</v>
      </c>
    </row>
    <row r="633" ht="22.5" customHeight="1">
      <c r="B633" s="4">
        <v>1.2501783E7</v>
      </c>
      <c r="C633" s="4">
        <v>7.83</v>
      </c>
      <c r="D633" s="4">
        <v>137.2</v>
      </c>
    </row>
    <row r="634" ht="22.5" customHeight="1">
      <c r="B634" s="4">
        <v>1.2521786E7</v>
      </c>
      <c r="C634" s="4">
        <v>7.83</v>
      </c>
      <c r="D634" s="4">
        <v>137.2</v>
      </c>
    </row>
    <row r="635" ht="22.5" customHeight="1">
      <c r="B635" s="4">
        <v>1.2541789E7</v>
      </c>
      <c r="C635" s="4">
        <v>7.83</v>
      </c>
      <c r="D635" s="4">
        <v>137.2</v>
      </c>
    </row>
    <row r="636" ht="22.5" customHeight="1">
      <c r="B636" s="4">
        <v>1.2561792E7</v>
      </c>
      <c r="C636" s="4">
        <v>7.83</v>
      </c>
      <c r="D636" s="4">
        <v>137.1</v>
      </c>
    </row>
    <row r="637" ht="22.5" customHeight="1">
      <c r="B637" s="4">
        <v>1.2581794E7</v>
      </c>
      <c r="C637" s="4">
        <v>7.83</v>
      </c>
      <c r="D637" s="4">
        <v>137.1</v>
      </c>
    </row>
    <row r="638" ht="22.5" customHeight="1">
      <c r="B638" s="4">
        <v>1.2601797E7</v>
      </c>
      <c r="C638" s="4">
        <v>7.83</v>
      </c>
      <c r="D638" s="4">
        <v>137.1</v>
      </c>
    </row>
    <row r="639" ht="22.5" customHeight="1">
      <c r="B639" s="4">
        <v>1.26218E7</v>
      </c>
      <c r="C639" s="4">
        <v>7.83</v>
      </c>
      <c r="D639" s="4">
        <v>137.2</v>
      </c>
    </row>
    <row r="640" ht="22.5" customHeight="1">
      <c r="B640" s="4">
        <v>1.2641803E7</v>
      </c>
      <c r="C640" s="4">
        <v>7.83</v>
      </c>
      <c r="D640" s="4">
        <v>137.2</v>
      </c>
    </row>
    <row r="641" ht="22.5" customHeight="1">
      <c r="B641" s="4">
        <v>1.2661806E7</v>
      </c>
      <c r="C641" s="4">
        <v>7.83</v>
      </c>
      <c r="D641" s="4">
        <v>137.1</v>
      </c>
    </row>
    <row r="642" ht="22.5" customHeight="1">
      <c r="B642" s="4">
        <v>1.2681808E7</v>
      </c>
      <c r="C642" s="4">
        <v>7.83</v>
      </c>
      <c r="D642" s="4">
        <v>137.2</v>
      </c>
    </row>
    <row r="643" ht="22.5" customHeight="1">
      <c r="B643" s="4">
        <v>1.2701811E7</v>
      </c>
      <c r="C643" s="4">
        <v>7.83</v>
      </c>
      <c r="D643" s="4">
        <v>137.1</v>
      </c>
    </row>
    <row r="644" ht="22.5" customHeight="1">
      <c r="B644" s="4">
        <v>1.2721814E7</v>
      </c>
      <c r="C644" s="4">
        <v>7.82</v>
      </c>
      <c r="D644" s="4">
        <v>137.1</v>
      </c>
    </row>
    <row r="645" ht="22.5" customHeight="1">
      <c r="B645" s="4">
        <v>1.2741817E7</v>
      </c>
      <c r="C645" s="4">
        <v>7.83</v>
      </c>
      <c r="D645" s="4">
        <v>137.1</v>
      </c>
    </row>
    <row r="646" ht="22.5" customHeight="1">
      <c r="B646" s="4">
        <v>1.276182E7</v>
      </c>
      <c r="C646" s="4">
        <v>7.82</v>
      </c>
      <c r="D646" s="4">
        <v>137.1</v>
      </c>
    </row>
    <row r="647" ht="22.5" customHeight="1">
      <c r="B647" s="4">
        <v>1.2781824E7</v>
      </c>
      <c r="C647" s="4">
        <v>7.82</v>
      </c>
      <c r="D647" s="4">
        <v>137.1</v>
      </c>
    </row>
    <row r="648" ht="22.5" customHeight="1">
      <c r="B648" s="4">
        <v>1.2801826E7</v>
      </c>
      <c r="C648" s="4">
        <v>7.82</v>
      </c>
      <c r="D648" s="4">
        <v>137.1</v>
      </c>
    </row>
    <row r="649" ht="22.5" customHeight="1">
      <c r="B649" s="4">
        <v>1.2821829E7</v>
      </c>
      <c r="C649" s="4">
        <v>7.82</v>
      </c>
      <c r="D649" s="4">
        <v>137.0</v>
      </c>
    </row>
    <row r="650" ht="22.5" customHeight="1">
      <c r="B650" s="4">
        <v>1.2841832E7</v>
      </c>
      <c r="C650" s="4">
        <v>7.82</v>
      </c>
      <c r="D650" s="4">
        <v>137.0</v>
      </c>
    </row>
    <row r="651" ht="22.5" customHeight="1">
      <c r="B651" s="4">
        <v>1.2861835E7</v>
      </c>
      <c r="C651" s="4">
        <v>7.82</v>
      </c>
      <c r="D651" s="4">
        <v>137.0</v>
      </c>
    </row>
    <row r="652" ht="22.5" customHeight="1">
      <c r="B652" s="4">
        <v>1.2881838E7</v>
      </c>
      <c r="C652" s="4">
        <v>7.82</v>
      </c>
      <c r="D652" s="4">
        <v>137.1</v>
      </c>
    </row>
    <row r="653" ht="22.5" customHeight="1">
      <c r="B653" s="4">
        <v>1.290184E7</v>
      </c>
      <c r="C653" s="4">
        <v>7.82</v>
      </c>
      <c r="D653" s="4">
        <v>137.0</v>
      </c>
    </row>
    <row r="654" ht="22.5" customHeight="1">
      <c r="B654" s="4">
        <v>1.2921843E7</v>
      </c>
      <c r="C654" s="4">
        <v>7.82</v>
      </c>
      <c r="D654" s="4">
        <v>137.0</v>
      </c>
    </row>
    <row r="655" ht="22.5" customHeight="1">
      <c r="B655" s="4">
        <v>1.2941846E7</v>
      </c>
      <c r="C655" s="4">
        <v>7.82</v>
      </c>
      <c r="D655" s="4">
        <v>137.0</v>
      </c>
    </row>
    <row r="656" ht="22.5" customHeight="1">
      <c r="B656" s="4">
        <v>1.2961849E7</v>
      </c>
      <c r="C656" s="4">
        <v>7.82</v>
      </c>
      <c r="D656" s="4">
        <v>137.0</v>
      </c>
    </row>
    <row r="657" ht="22.5" customHeight="1">
      <c r="B657" s="4">
        <v>1.2981852E7</v>
      </c>
      <c r="C657" s="4">
        <v>7.82</v>
      </c>
      <c r="D657" s="4">
        <v>137.0</v>
      </c>
    </row>
    <row r="658" ht="22.5" customHeight="1">
      <c r="B658" s="4">
        <v>1.3001854E7</v>
      </c>
      <c r="C658" s="4">
        <v>7.82</v>
      </c>
      <c r="D658" s="4">
        <v>136.9</v>
      </c>
    </row>
    <row r="659" ht="22.5" customHeight="1">
      <c r="B659" s="4">
        <v>1.3021857E7</v>
      </c>
      <c r="C659" s="4">
        <v>7.82</v>
      </c>
      <c r="D659" s="4">
        <v>137.0</v>
      </c>
    </row>
    <row r="660" ht="22.5" customHeight="1">
      <c r="B660" s="4">
        <v>1.304186E7</v>
      </c>
      <c r="C660" s="4">
        <v>7.82</v>
      </c>
      <c r="D660" s="4">
        <v>137.0</v>
      </c>
    </row>
    <row r="661" ht="22.5" customHeight="1">
      <c r="B661" s="4">
        <v>1.3061863E7</v>
      </c>
      <c r="C661" s="4">
        <v>7.82</v>
      </c>
      <c r="D661" s="4">
        <v>136.9</v>
      </c>
    </row>
    <row r="662" ht="22.5" customHeight="1">
      <c r="B662" s="4">
        <v>1.3081867E7</v>
      </c>
      <c r="C662" s="4">
        <v>7.82</v>
      </c>
      <c r="D662" s="4">
        <v>136.9</v>
      </c>
    </row>
    <row r="663" ht="22.5" customHeight="1">
      <c r="B663" s="4">
        <v>1.310187E7</v>
      </c>
      <c r="C663" s="4">
        <v>7.82</v>
      </c>
      <c r="D663" s="4">
        <v>136.9</v>
      </c>
    </row>
    <row r="664" ht="22.5" customHeight="1">
      <c r="B664" s="4">
        <v>1.3121872E7</v>
      </c>
      <c r="C664" s="4">
        <v>7.82</v>
      </c>
      <c r="D664" s="4">
        <v>137.0</v>
      </c>
    </row>
    <row r="665" ht="22.5" customHeight="1">
      <c r="B665" s="4">
        <v>1.3141875E7</v>
      </c>
      <c r="C665" s="4">
        <v>7.82</v>
      </c>
      <c r="D665" s="4">
        <v>136.9</v>
      </c>
    </row>
    <row r="666" ht="22.5" customHeight="1">
      <c r="B666" s="4">
        <v>1.3161878E7</v>
      </c>
      <c r="C666" s="4">
        <v>7.82</v>
      </c>
      <c r="D666" s="4">
        <v>136.9</v>
      </c>
    </row>
    <row r="667" ht="22.5" customHeight="1">
      <c r="B667" s="4">
        <v>1.3181881E7</v>
      </c>
      <c r="C667" s="4">
        <v>7.81</v>
      </c>
      <c r="D667" s="4">
        <v>136.9</v>
      </c>
    </row>
    <row r="668" ht="22.5" customHeight="1">
      <c r="B668" s="4">
        <v>1.3201884E7</v>
      </c>
      <c r="C668" s="4">
        <v>7.82</v>
      </c>
      <c r="D668" s="4">
        <v>136.9</v>
      </c>
    </row>
    <row r="669" ht="22.5" customHeight="1">
      <c r="B669" s="4">
        <v>1.3221886E7</v>
      </c>
      <c r="C669" s="4">
        <v>7.82</v>
      </c>
      <c r="D669" s="4">
        <v>136.9</v>
      </c>
    </row>
    <row r="670" ht="22.5" customHeight="1">
      <c r="B670" s="4">
        <v>1.3241889E7</v>
      </c>
      <c r="C670" s="4">
        <v>7.82</v>
      </c>
      <c r="D670" s="4">
        <v>136.8</v>
      </c>
    </row>
    <row r="671" ht="22.5" customHeight="1">
      <c r="B671" s="4">
        <v>1.3261892E7</v>
      </c>
      <c r="C671" s="4">
        <v>7.81</v>
      </c>
      <c r="D671" s="4">
        <v>136.9</v>
      </c>
    </row>
    <row r="672" ht="22.5" customHeight="1">
      <c r="B672" s="4">
        <v>1.3281895E7</v>
      </c>
      <c r="C672" s="4">
        <v>7.81</v>
      </c>
      <c r="D672" s="4">
        <v>136.8</v>
      </c>
    </row>
    <row r="673" ht="22.5" customHeight="1">
      <c r="B673" s="4">
        <v>1.3301898E7</v>
      </c>
      <c r="C673" s="4">
        <v>7.81</v>
      </c>
      <c r="D673" s="4">
        <v>136.9</v>
      </c>
    </row>
    <row r="674" ht="22.5" customHeight="1">
      <c r="B674" s="4">
        <v>1.3321901E7</v>
      </c>
      <c r="C674" s="4">
        <v>7.81</v>
      </c>
      <c r="D674" s="4">
        <v>136.8</v>
      </c>
    </row>
    <row r="675" ht="22.5" customHeight="1">
      <c r="B675" s="4">
        <v>1.3341903E7</v>
      </c>
      <c r="C675" s="4">
        <v>7.81</v>
      </c>
      <c r="D675" s="4">
        <v>136.8</v>
      </c>
    </row>
    <row r="676" ht="22.5" customHeight="1">
      <c r="B676" s="4">
        <v>1.3361907E7</v>
      </c>
      <c r="C676" s="4">
        <v>7.81</v>
      </c>
      <c r="D676" s="4">
        <v>136.8</v>
      </c>
    </row>
    <row r="677" ht="22.5" customHeight="1">
      <c r="B677" s="4">
        <v>1.338191E7</v>
      </c>
      <c r="C677" s="4">
        <v>7.81</v>
      </c>
      <c r="D677" s="4">
        <v>136.8</v>
      </c>
    </row>
    <row r="678" ht="22.5" customHeight="1">
      <c r="B678" s="4">
        <v>1.3401913E7</v>
      </c>
      <c r="C678" s="4">
        <v>7.81</v>
      </c>
      <c r="D678" s="4">
        <v>136.8</v>
      </c>
    </row>
    <row r="679" ht="22.5" customHeight="1">
      <c r="B679" s="4">
        <v>1.3421916E7</v>
      </c>
      <c r="C679" s="4">
        <v>7.81</v>
      </c>
      <c r="D679" s="4">
        <v>136.8</v>
      </c>
    </row>
    <row r="680" ht="22.5" customHeight="1">
      <c r="B680" s="4">
        <v>1.3441918E7</v>
      </c>
      <c r="C680" s="4">
        <v>7.81</v>
      </c>
      <c r="D680" s="4">
        <v>136.7</v>
      </c>
    </row>
    <row r="681" ht="22.5" customHeight="1">
      <c r="B681" s="4">
        <v>1.3461921E7</v>
      </c>
      <c r="C681" s="4">
        <v>7.81</v>
      </c>
      <c r="D681" s="4">
        <v>136.7</v>
      </c>
    </row>
    <row r="682" ht="22.5" customHeight="1">
      <c r="B682" s="4">
        <v>1.3481924E7</v>
      </c>
      <c r="C682" s="4">
        <v>7.81</v>
      </c>
      <c r="D682" s="4">
        <v>136.7</v>
      </c>
    </row>
    <row r="683" ht="22.5" customHeight="1">
      <c r="B683" s="4">
        <v>1.3501927E7</v>
      </c>
      <c r="C683" s="4">
        <v>7.81</v>
      </c>
      <c r="D683" s="4">
        <v>136.7</v>
      </c>
    </row>
    <row r="684" ht="22.5" customHeight="1">
      <c r="B684" s="4">
        <v>1.352193E7</v>
      </c>
      <c r="C684" s="4">
        <v>7.81</v>
      </c>
      <c r="D684" s="4">
        <v>136.8</v>
      </c>
    </row>
    <row r="685" ht="22.5" customHeight="1">
      <c r="B685" s="4">
        <v>1.3541933E7</v>
      </c>
      <c r="C685" s="4">
        <v>7.8</v>
      </c>
      <c r="D685" s="4">
        <v>136.7</v>
      </c>
    </row>
    <row r="686" ht="22.5" customHeight="1">
      <c r="B686" s="4">
        <v>1.3561935E7</v>
      </c>
      <c r="C686" s="4">
        <v>7.8</v>
      </c>
      <c r="D686" s="4">
        <v>136.7</v>
      </c>
    </row>
    <row r="687" ht="22.5" customHeight="1">
      <c r="B687" s="4">
        <v>1.3581938E7</v>
      </c>
      <c r="C687" s="4">
        <v>7.8</v>
      </c>
      <c r="D687" s="4">
        <v>136.7</v>
      </c>
    </row>
    <row r="688" ht="22.5" customHeight="1">
      <c r="B688" s="4">
        <v>1.3601941E7</v>
      </c>
      <c r="C688" s="4">
        <v>7.8</v>
      </c>
      <c r="D688" s="4">
        <v>136.7</v>
      </c>
    </row>
    <row r="689" ht="22.5" customHeight="1">
      <c r="B689" s="4">
        <v>1.3621944E7</v>
      </c>
      <c r="C689" s="4">
        <v>7.8</v>
      </c>
      <c r="D689" s="4">
        <v>136.7</v>
      </c>
    </row>
    <row r="690" ht="22.5" customHeight="1">
      <c r="B690" s="4">
        <v>1.3641948E7</v>
      </c>
      <c r="C690" s="4">
        <v>7.8</v>
      </c>
      <c r="D690" s="4">
        <v>136.7</v>
      </c>
    </row>
    <row r="691" ht="22.5" customHeight="1">
      <c r="B691" s="4">
        <v>1.366195E7</v>
      </c>
      <c r="C691" s="4">
        <v>7.8</v>
      </c>
      <c r="D691" s="4">
        <v>136.7</v>
      </c>
    </row>
    <row r="692" ht="22.5" customHeight="1">
      <c r="B692" s="4">
        <v>1.3681953E7</v>
      </c>
      <c r="C692" s="4">
        <v>7.8</v>
      </c>
      <c r="D692" s="4">
        <v>136.6</v>
      </c>
    </row>
    <row r="693" ht="22.5" customHeight="1">
      <c r="B693" s="4">
        <v>1.3701956E7</v>
      </c>
      <c r="C693" s="4">
        <v>7.8</v>
      </c>
      <c r="D693" s="4">
        <v>136.7</v>
      </c>
    </row>
    <row r="694" ht="22.5" customHeight="1">
      <c r="B694" s="4">
        <v>1.3721959E7</v>
      </c>
      <c r="C694" s="4">
        <v>7.8</v>
      </c>
      <c r="D694" s="4">
        <v>136.7</v>
      </c>
    </row>
    <row r="695" ht="22.5" customHeight="1">
      <c r="B695" s="4">
        <v>1.3741962E7</v>
      </c>
      <c r="C695" s="4">
        <v>7.8</v>
      </c>
      <c r="D695" s="4">
        <v>136.6</v>
      </c>
    </row>
    <row r="696" ht="22.5" customHeight="1">
      <c r="B696" s="4">
        <v>1.3761965E7</v>
      </c>
      <c r="C696" s="4">
        <v>7.8</v>
      </c>
      <c r="D696" s="4">
        <v>136.6</v>
      </c>
    </row>
    <row r="697" ht="22.5" customHeight="1">
      <c r="B697" s="4">
        <v>1.3781967E7</v>
      </c>
      <c r="C697" s="4">
        <v>7.8</v>
      </c>
      <c r="D697" s="4">
        <v>136.6</v>
      </c>
    </row>
    <row r="698" ht="22.5" customHeight="1">
      <c r="B698" s="4">
        <v>1.380197E7</v>
      </c>
      <c r="C698" s="4">
        <v>7.8</v>
      </c>
      <c r="D698" s="4">
        <v>136.6</v>
      </c>
    </row>
    <row r="699" ht="22.5" customHeight="1">
      <c r="B699" s="4">
        <v>1.3821973E7</v>
      </c>
      <c r="C699" s="4">
        <v>7.8</v>
      </c>
      <c r="D699" s="4">
        <v>136.6</v>
      </c>
    </row>
    <row r="700" ht="22.5" customHeight="1">
      <c r="B700" s="4">
        <v>1.3841976E7</v>
      </c>
      <c r="C700" s="4">
        <v>7.8</v>
      </c>
      <c r="D700" s="4">
        <v>136.6</v>
      </c>
    </row>
    <row r="701" ht="22.5" customHeight="1">
      <c r="B701" s="4">
        <v>1.3861979E7</v>
      </c>
      <c r="C701" s="4">
        <v>7.8</v>
      </c>
      <c r="D701" s="4">
        <v>136.5</v>
      </c>
    </row>
    <row r="702" ht="22.5" customHeight="1">
      <c r="B702" s="4">
        <v>1.3881981E7</v>
      </c>
      <c r="C702" s="4">
        <v>7.8</v>
      </c>
      <c r="D702" s="4">
        <v>136.6</v>
      </c>
    </row>
    <row r="703" ht="22.5" customHeight="1">
      <c r="B703" s="4">
        <v>1.3901984E7</v>
      </c>
      <c r="C703" s="4">
        <v>7.8</v>
      </c>
      <c r="D703" s="4">
        <v>136.6</v>
      </c>
    </row>
    <row r="704" ht="22.5" customHeight="1">
      <c r="B704" s="4">
        <v>1.3921987E7</v>
      </c>
      <c r="C704" s="4">
        <v>7.8</v>
      </c>
      <c r="D704" s="4">
        <v>136.5</v>
      </c>
    </row>
    <row r="705" ht="22.5" customHeight="1">
      <c r="B705" s="4">
        <v>1.3941991E7</v>
      </c>
      <c r="C705" s="4">
        <v>7.8</v>
      </c>
      <c r="D705" s="4">
        <v>136.5</v>
      </c>
    </row>
    <row r="706" ht="22.5" customHeight="1">
      <c r="B706" s="4">
        <v>1.3961994E7</v>
      </c>
      <c r="C706" s="4">
        <v>7.79</v>
      </c>
      <c r="D706" s="4">
        <v>136.6</v>
      </c>
    </row>
    <row r="707" ht="22.5" customHeight="1">
      <c r="B707" s="4">
        <v>1.3981997E7</v>
      </c>
      <c r="C707" s="4">
        <v>7.79</v>
      </c>
      <c r="D707" s="4">
        <v>136.5</v>
      </c>
    </row>
    <row r="708" ht="22.5" customHeight="1">
      <c r="B708" s="4">
        <v>1.4001999E7</v>
      </c>
      <c r="C708" s="4">
        <v>7.79</v>
      </c>
      <c r="D708" s="4">
        <v>136.5</v>
      </c>
    </row>
    <row r="709" ht="22.5" customHeight="1">
      <c r="B709" s="4">
        <v>1.4022002E7</v>
      </c>
      <c r="C709" s="4">
        <v>7.79</v>
      </c>
      <c r="D709" s="4">
        <v>136.5</v>
      </c>
    </row>
    <row r="710" ht="22.5" customHeight="1">
      <c r="B710" s="4">
        <v>1.4042005E7</v>
      </c>
      <c r="C710" s="4">
        <v>7.79</v>
      </c>
      <c r="D710" s="4">
        <v>136.5</v>
      </c>
    </row>
    <row r="711" ht="22.5" customHeight="1">
      <c r="B711" s="4">
        <v>1.4062008E7</v>
      </c>
      <c r="C711" s="4">
        <v>7.79</v>
      </c>
      <c r="D711" s="4">
        <v>136.4</v>
      </c>
    </row>
    <row r="712" ht="22.5" customHeight="1">
      <c r="B712" s="4">
        <v>1.4082011E7</v>
      </c>
      <c r="C712" s="4">
        <v>7.79</v>
      </c>
      <c r="D712" s="4">
        <v>136.5</v>
      </c>
    </row>
    <row r="713" ht="22.5" customHeight="1">
      <c r="B713" s="4">
        <v>1.4102013E7</v>
      </c>
      <c r="C713" s="4">
        <v>7.79</v>
      </c>
      <c r="D713" s="4">
        <v>136.4</v>
      </c>
    </row>
    <row r="714" ht="22.5" customHeight="1">
      <c r="B714" s="4">
        <v>1.4122016E7</v>
      </c>
      <c r="C714" s="4">
        <v>7.79</v>
      </c>
      <c r="D714" s="4">
        <v>136.4</v>
      </c>
    </row>
    <row r="715" ht="22.5" customHeight="1">
      <c r="B715" s="4">
        <v>1.4142019E7</v>
      </c>
      <c r="C715" s="4">
        <v>7.79</v>
      </c>
      <c r="D715" s="4">
        <v>136.4</v>
      </c>
    </row>
    <row r="716" ht="22.5" customHeight="1">
      <c r="B716" s="4">
        <v>1.4162022E7</v>
      </c>
      <c r="C716" s="4">
        <v>7.79</v>
      </c>
      <c r="D716" s="4">
        <v>136.4</v>
      </c>
    </row>
    <row r="717" ht="22.5" customHeight="1">
      <c r="B717" s="4">
        <v>1.4182025E7</v>
      </c>
      <c r="C717" s="4">
        <v>7.79</v>
      </c>
      <c r="D717" s="4">
        <v>136.4</v>
      </c>
    </row>
    <row r="718" ht="22.5" customHeight="1">
      <c r="B718" s="4">
        <v>1.4202028E7</v>
      </c>
      <c r="C718" s="4">
        <v>7.79</v>
      </c>
      <c r="D718" s="4">
        <v>136.4</v>
      </c>
    </row>
    <row r="719" ht="22.5" customHeight="1">
      <c r="B719" s="4">
        <v>1.422203E7</v>
      </c>
      <c r="C719" s="4">
        <v>7.79</v>
      </c>
      <c r="D719" s="4">
        <v>136.4</v>
      </c>
    </row>
    <row r="720" ht="22.5" customHeight="1">
      <c r="B720" s="4">
        <v>1.4242034E7</v>
      </c>
      <c r="C720" s="4">
        <v>7.79</v>
      </c>
      <c r="D720" s="4">
        <v>136.4</v>
      </c>
    </row>
    <row r="721" ht="22.5" customHeight="1">
      <c r="B721" s="4">
        <v>1.4262037E7</v>
      </c>
      <c r="C721" s="4">
        <v>7.78</v>
      </c>
      <c r="D721" s="4">
        <v>136.4</v>
      </c>
    </row>
    <row r="722" ht="22.5" customHeight="1">
      <c r="B722" s="4">
        <v>1.428204E7</v>
      </c>
      <c r="C722" s="4">
        <v>7.79</v>
      </c>
      <c r="D722" s="4">
        <v>136.3</v>
      </c>
    </row>
    <row r="723" ht="22.5" customHeight="1">
      <c r="B723" s="4">
        <v>1.4302043E7</v>
      </c>
      <c r="C723" s="4">
        <v>7.78</v>
      </c>
      <c r="D723" s="4">
        <v>136.4</v>
      </c>
    </row>
    <row r="724" ht="22.5" customHeight="1">
      <c r="B724" s="4">
        <v>1.4322045E7</v>
      </c>
      <c r="C724" s="4">
        <v>7.79</v>
      </c>
      <c r="D724" s="4">
        <v>136.4</v>
      </c>
    </row>
    <row r="725" ht="22.5" customHeight="1">
      <c r="B725" s="4">
        <v>1.4342048E7</v>
      </c>
      <c r="C725" s="4">
        <v>7.78</v>
      </c>
      <c r="D725" s="4">
        <v>136.4</v>
      </c>
    </row>
    <row r="726" ht="22.5" customHeight="1">
      <c r="B726" s="4">
        <v>1.4362051E7</v>
      </c>
      <c r="C726" s="4">
        <v>7.78</v>
      </c>
      <c r="D726" s="4">
        <v>136.3</v>
      </c>
    </row>
    <row r="727" ht="22.5" customHeight="1">
      <c r="B727" s="4">
        <v>1.4382054E7</v>
      </c>
      <c r="C727" s="4">
        <v>7.78</v>
      </c>
      <c r="D727" s="4">
        <v>136.3</v>
      </c>
    </row>
    <row r="728" ht="22.5" customHeight="1">
      <c r="B728" s="4">
        <v>1.4402057E7</v>
      </c>
      <c r="C728" s="4">
        <v>7.78</v>
      </c>
      <c r="D728" s="4">
        <v>136.3</v>
      </c>
    </row>
    <row r="729" ht="22.5" customHeight="1">
      <c r="B729" s="4">
        <v>1.442206E7</v>
      </c>
      <c r="C729" s="4">
        <v>7.78</v>
      </c>
      <c r="D729" s="4">
        <v>136.3</v>
      </c>
    </row>
    <row r="730" ht="22.5" customHeight="1">
      <c r="B730" s="4">
        <v>1.4442062E7</v>
      </c>
      <c r="C730" s="4">
        <v>7.78</v>
      </c>
      <c r="D730" s="4">
        <v>136.3</v>
      </c>
    </row>
    <row r="731" ht="22.5" customHeight="1">
      <c r="B731" s="4">
        <v>1.4462065E7</v>
      </c>
      <c r="C731" s="4">
        <v>7.78</v>
      </c>
      <c r="D731" s="4">
        <v>136.3</v>
      </c>
    </row>
    <row r="732" ht="22.5" customHeight="1">
      <c r="B732" s="4">
        <v>1.4482068E7</v>
      </c>
      <c r="C732" s="4">
        <v>7.78</v>
      </c>
      <c r="D732" s="4">
        <v>136.3</v>
      </c>
    </row>
    <row r="733" ht="22.5" customHeight="1">
      <c r="B733" s="4">
        <v>1.4502072E7</v>
      </c>
      <c r="C733" s="4">
        <v>7.78</v>
      </c>
      <c r="D733" s="4">
        <v>136.2</v>
      </c>
    </row>
    <row r="734" ht="22.5" customHeight="1">
      <c r="B734" s="4">
        <v>1.4522075E7</v>
      </c>
      <c r="C734" s="4">
        <v>7.78</v>
      </c>
      <c r="D734" s="4">
        <v>136.3</v>
      </c>
    </row>
    <row r="735" ht="22.5" customHeight="1">
      <c r="B735" s="4">
        <v>1.4542077E7</v>
      </c>
      <c r="C735" s="4">
        <v>7.78</v>
      </c>
      <c r="D735" s="4">
        <v>136.3</v>
      </c>
    </row>
    <row r="736" ht="22.5" customHeight="1">
      <c r="B736" s="4">
        <v>1.456208E7</v>
      </c>
      <c r="C736" s="4">
        <v>7.78</v>
      </c>
      <c r="D736" s="4">
        <v>136.2</v>
      </c>
    </row>
    <row r="737" ht="22.5" customHeight="1">
      <c r="B737" s="4">
        <v>1.4582083E7</v>
      </c>
      <c r="C737" s="4">
        <v>7.78</v>
      </c>
      <c r="D737" s="4">
        <v>136.2</v>
      </c>
    </row>
    <row r="738" ht="22.5" customHeight="1">
      <c r="B738" s="4">
        <v>1.4602086E7</v>
      </c>
      <c r="C738" s="4">
        <v>7.78</v>
      </c>
      <c r="D738" s="4">
        <v>136.2</v>
      </c>
    </row>
    <row r="739" ht="22.5" customHeight="1">
      <c r="B739" s="4">
        <v>1.4622089E7</v>
      </c>
      <c r="C739" s="4">
        <v>7.78</v>
      </c>
      <c r="D739" s="4">
        <v>136.2</v>
      </c>
    </row>
    <row r="740" ht="22.5" customHeight="1">
      <c r="B740" s="4">
        <v>1.4642092E7</v>
      </c>
      <c r="C740" s="4">
        <v>7.78</v>
      </c>
      <c r="D740" s="4">
        <v>136.2</v>
      </c>
    </row>
    <row r="741" ht="22.5" customHeight="1">
      <c r="B741" s="4">
        <v>1.4662094E7</v>
      </c>
      <c r="C741" s="4">
        <v>7.78</v>
      </c>
      <c r="D741" s="4">
        <v>136.2</v>
      </c>
    </row>
    <row r="742" ht="22.5" customHeight="1">
      <c r="B742" s="4">
        <v>1.4682097E7</v>
      </c>
      <c r="C742" s="4">
        <v>7.78</v>
      </c>
      <c r="D742" s="4">
        <v>136.2</v>
      </c>
    </row>
    <row r="743" ht="22.5" customHeight="1">
      <c r="B743" s="4">
        <v>1.47021E7</v>
      </c>
      <c r="C743" s="4">
        <v>7.78</v>
      </c>
      <c r="D743" s="4">
        <v>136.2</v>
      </c>
    </row>
    <row r="744" ht="22.5" customHeight="1">
      <c r="B744" s="4">
        <v>1.4722103E7</v>
      </c>
      <c r="C744" s="4">
        <v>7.78</v>
      </c>
      <c r="D744" s="4">
        <v>136.1</v>
      </c>
    </row>
    <row r="745" ht="22.5" customHeight="1">
      <c r="B745" s="4">
        <v>1.4742106E7</v>
      </c>
      <c r="C745" s="4">
        <v>7.77</v>
      </c>
      <c r="D745" s="4">
        <v>136.2</v>
      </c>
    </row>
    <row r="746" ht="22.5" customHeight="1">
      <c r="B746" s="4">
        <v>1.4762108E7</v>
      </c>
      <c r="C746" s="4">
        <v>7.77</v>
      </c>
      <c r="D746" s="4">
        <v>136.2</v>
      </c>
    </row>
    <row r="747" ht="22.5" customHeight="1">
      <c r="B747" s="4">
        <v>1.4782112E7</v>
      </c>
      <c r="C747" s="4">
        <v>7.77</v>
      </c>
      <c r="D747" s="4">
        <v>136.1</v>
      </c>
    </row>
    <row r="748" ht="22.5" customHeight="1">
      <c r="B748" s="4">
        <v>1.4802115E7</v>
      </c>
      <c r="C748" s="4">
        <v>7.77</v>
      </c>
      <c r="D748" s="4">
        <v>136.1</v>
      </c>
    </row>
    <row r="749" ht="22.5" customHeight="1">
      <c r="B749" s="4">
        <v>1.4822118E7</v>
      </c>
      <c r="C749" s="4">
        <v>7.77</v>
      </c>
      <c r="D749" s="4">
        <v>136.1</v>
      </c>
    </row>
    <row r="750" ht="22.5" customHeight="1">
      <c r="B750" s="4">
        <v>1.4842121E7</v>
      </c>
      <c r="C750" s="4">
        <v>7.77</v>
      </c>
      <c r="D750" s="4">
        <v>136.1</v>
      </c>
    </row>
    <row r="751" ht="22.5" customHeight="1">
      <c r="B751" s="4">
        <v>1.4862124E7</v>
      </c>
      <c r="C751" s="4">
        <v>7.77</v>
      </c>
      <c r="D751" s="4">
        <v>136.1</v>
      </c>
    </row>
    <row r="752" ht="22.5" customHeight="1">
      <c r="B752" s="4">
        <v>1.4882126E7</v>
      </c>
      <c r="C752" s="4">
        <v>7.77</v>
      </c>
      <c r="D752" s="4">
        <v>136.1</v>
      </c>
    </row>
    <row r="753" ht="22.5" customHeight="1">
      <c r="B753" s="4">
        <v>1.4902129E7</v>
      </c>
      <c r="C753" s="4">
        <v>7.77</v>
      </c>
      <c r="D753" s="4">
        <v>136.1</v>
      </c>
    </row>
    <row r="754" ht="22.5" customHeight="1">
      <c r="B754" s="4">
        <v>1.4922132E7</v>
      </c>
      <c r="C754" s="4">
        <v>7.77</v>
      </c>
      <c r="D754" s="4">
        <v>136.1</v>
      </c>
    </row>
    <row r="755" ht="22.5" customHeight="1">
      <c r="B755" s="4">
        <v>1.4942135E7</v>
      </c>
      <c r="C755" s="4">
        <v>7.77</v>
      </c>
      <c r="D755" s="4">
        <v>136.1</v>
      </c>
    </row>
    <row r="756" ht="22.5" customHeight="1">
      <c r="B756" s="4">
        <v>1.4962138E7</v>
      </c>
      <c r="C756" s="4">
        <v>7.77</v>
      </c>
      <c r="D756" s="4">
        <v>136.0</v>
      </c>
    </row>
    <row r="757" ht="22.5" customHeight="1">
      <c r="B757" s="4">
        <v>1.498214E7</v>
      </c>
      <c r="C757" s="4">
        <v>7.77</v>
      </c>
      <c r="D757" s="4">
        <v>136.1</v>
      </c>
    </row>
    <row r="758" ht="22.5" customHeight="1">
      <c r="B758" s="4">
        <v>1.5002143E7</v>
      </c>
      <c r="C758" s="4">
        <v>7.77</v>
      </c>
      <c r="D758" s="4">
        <v>136.0</v>
      </c>
    </row>
    <row r="759" ht="22.5" customHeight="1">
      <c r="B759" s="4">
        <v>1.5022146E7</v>
      </c>
      <c r="C759" s="4">
        <v>7.77</v>
      </c>
      <c r="D759" s="4">
        <v>136.0</v>
      </c>
    </row>
    <row r="760" ht="22.5" customHeight="1">
      <c r="B760" s="4">
        <v>1.5042149E7</v>
      </c>
      <c r="C760" s="4">
        <v>7.77</v>
      </c>
      <c r="D760" s="4">
        <v>136.0</v>
      </c>
    </row>
    <row r="761" ht="22.5" customHeight="1">
      <c r="B761" s="4">
        <v>1.5062153E7</v>
      </c>
      <c r="C761" s="4">
        <v>7.76</v>
      </c>
      <c r="D761" s="4">
        <v>136.0</v>
      </c>
    </row>
    <row r="762" ht="22.5" customHeight="1">
      <c r="B762" s="4">
        <v>1.5082156E7</v>
      </c>
      <c r="C762" s="4">
        <v>7.76</v>
      </c>
      <c r="D762" s="4">
        <v>136.0</v>
      </c>
    </row>
    <row r="763" ht="22.5" customHeight="1">
      <c r="B763" s="4">
        <v>1.5102158E7</v>
      </c>
      <c r="C763" s="4">
        <v>7.76</v>
      </c>
      <c r="D763" s="4">
        <v>136.0</v>
      </c>
    </row>
    <row r="764" ht="22.5" customHeight="1">
      <c r="B764" s="4">
        <v>1.5122161E7</v>
      </c>
      <c r="C764" s="4">
        <v>7.76</v>
      </c>
      <c r="D764" s="4">
        <v>136.0</v>
      </c>
    </row>
    <row r="765" ht="22.5" customHeight="1">
      <c r="B765" s="4">
        <v>1.5142164E7</v>
      </c>
      <c r="C765" s="4">
        <v>7.76</v>
      </c>
      <c r="D765" s="4">
        <v>136.0</v>
      </c>
    </row>
    <row r="766" ht="22.5" customHeight="1">
      <c r="B766" s="4">
        <v>1.5162167E7</v>
      </c>
      <c r="C766" s="4">
        <v>7.76</v>
      </c>
      <c r="D766" s="4">
        <v>135.9</v>
      </c>
    </row>
    <row r="767" ht="22.5" customHeight="1">
      <c r="B767" s="4">
        <v>1.518217E7</v>
      </c>
      <c r="C767" s="4">
        <v>7.76</v>
      </c>
      <c r="D767" s="4">
        <v>135.9</v>
      </c>
    </row>
    <row r="768" ht="22.5" customHeight="1">
      <c r="B768" s="4">
        <v>1.5202172E7</v>
      </c>
      <c r="C768" s="4">
        <v>7.76</v>
      </c>
      <c r="D768" s="4">
        <v>136.0</v>
      </c>
    </row>
    <row r="769" ht="22.5" customHeight="1">
      <c r="B769" s="4">
        <v>1.5222175E7</v>
      </c>
      <c r="C769" s="4">
        <v>7.76</v>
      </c>
      <c r="D769" s="4">
        <v>135.9</v>
      </c>
    </row>
    <row r="770" ht="22.5" customHeight="1">
      <c r="B770" s="4">
        <v>1.5242178E7</v>
      </c>
      <c r="C770" s="4">
        <v>7.76</v>
      </c>
      <c r="D770" s="4">
        <v>135.9</v>
      </c>
    </row>
    <row r="771" ht="22.5" customHeight="1">
      <c r="B771" s="4">
        <v>1.5262181E7</v>
      </c>
      <c r="C771" s="4">
        <v>7.76</v>
      </c>
      <c r="D771" s="4">
        <v>135.9</v>
      </c>
    </row>
    <row r="772" ht="22.5" customHeight="1">
      <c r="B772" s="4">
        <v>1.5282184E7</v>
      </c>
      <c r="C772" s="4">
        <v>7.76</v>
      </c>
      <c r="D772" s="4">
        <v>135.9</v>
      </c>
    </row>
    <row r="773" ht="22.5" customHeight="1">
      <c r="B773" s="4">
        <v>1.5302187E7</v>
      </c>
      <c r="C773" s="4">
        <v>7.76</v>
      </c>
      <c r="D773" s="4">
        <v>135.8</v>
      </c>
    </row>
    <row r="774" ht="22.5" customHeight="1">
      <c r="B774" s="4">
        <v>1.5322189E7</v>
      </c>
      <c r="C774" s="4">
        <v>7.76</v>
      </c>
      <c r="D774" s="4">
        <v>135.9</v>
      </c>
    </row>
    <row r="775" ht="22.5" customHeight="1">
      <c r="B775" s="4">
        <v>1.5342193E7</v>
      </c>
      <c r="C775" s="4">
        <v>7.76</v>
      </c>
      <c r="D775" s="4">
        <v>135.9</v>
      </c>
    </row>
    <row r="776" ht="22.5" customHeight="1">
      <c r="B776" s="4">
        <v>1.5362196E7</v>
      </c>
      <c r="C776" s="4">
        <v>7.76</v>
      </c>
      <c r="D776" s="4">
        <v>135.9</v>
      </c>
    </row>
    <row r="777" ht="22.5" customHeight="1">
      <c r="B777" s="4">
        <v>1.5382199E7</v>
      </c>
      <c r="C777" s="4">
        <v>7.76</v>
      </c>
      <c r="D777" s="4">
        <v>135.9</v>
      </c>
    </row>
    <row r="778" ht="22.5" customHeight="1">
      <c r="B778" s="4">
        <v>1.5402202E7</v>
      </c>
      <c r="C778" s="4">
        <v>7.76</v>
      </c>
      <c r="D778" s="4">
        <v>135.8</v>
      </c>
    </row>
    <row r="779" ht="22.5" customHeight="1">
      <c r="B779" s="4">
        <v>1.5422204E7</v>
      </c>
      <c r="C779" s="4">
        <v>7.76</v>
      </c>
      <c r="D779" s="4">
        <v>135.8</v>
      </c>
    </row>
    <row r="780" ht="22.5" customHeight="1">
      <c r="B780" s="4">
        <v>1.5442207E7</v>
      </c>
      <c r="C780" s="4">
        <v>7.76</v>
      </c>
      <c r="D780" s="4">
        <v>135.8</v>
      </c>
    </row>
    <row r="781" ht="22.5" customHeight="1">
      <c r="B781" s="4">
        <v>1.546221E7</v>
      </c>
      <c r="C781" s="4">
        <v>7.76</v>
      </c>
      <c r="D781" s="4">
        <v>135.8</v>
      </c>
    </row>
    <row r="782" ht="22.5" customHeight="1">
      <c r="B782" s="4">
        <v>1.5482213E7</v>
      </c>
      <c r="C782" s="4">
        <v>7.75</v>
      </c>
      <c r="D782" s="4">
        <v>135.7</v>
      </c>
    </row>
    <row r="783" ht="22.5" customHeight="1">
      <c r="B783" s="4">
        <v>1.5502216E7</v>
      </c>
      <c r="C783" s="4">
        <v>7.75</v>
      </c>
      <c r="D783" s="4">
        <v>135.8</v>
      </c>
    </row>
    <row r="784" ht="22.5" customHeight="1">
      <c r="B784" s="4">
        <v>1.5522219E7</v>
      </c>
      <c r="C784" s="4">
        <v>7.75</v>
      </c>
      <c r="D784" s="4">
        <v>135.7</v>
      </c>
    </row>
    <row r="785" ht="22.5" customHeight="1">
      <c r="B785" s="4">
        <v>1.5542221E7</v>
      </c>
      <c r="C785" s="4">
        <v>7.75</v>
      </c>
      <c r="D785" s="4">
        <v>135.8</v>
      </c>
    </row>
    <row r="786" ht="22.5" customHeight="1">
      <c r="B786" s="4">
        <v>1.5562224E7</v>
      </c>
      <c r="C786" s="4">
        <v>7.75</v>
      </c>
      <c r="D786" s="4">
        <v>135.8</v>
      </c>
    </row>
    <row r="787" ht="22.5" customHeight="1">
      <c r="B787" s="4">
        <v>1.5582227E7</v>
      </c>
      <c r="C787" s="4">
        <v>7.75</v>
      </c>
      <c r="D787" s="4">
        <v>135.7</v>
      </c>
    </row>
    <row r="788" ht="22.5" customHeight="1">
      <c r="B788" s="4">
        <v>1.560223E7</v>
      </c>
      <c r="C788" s="4">
        <v>7.75</v>
      </c>
      <c r="D788" s="4">
        <v>135.8</v>
      </c>
    </row>
    <row r="789" ht="22.5" customHeight="1">
      <c r="B789" s="4">
        <v>1.5622234E7</v>
      </c>
      <c r="C789" s="4">
        <v>7.75</v>
      </c>
      <c r="D789" s="4">
        <v>135.7</v>
      </c>
    </row>
    <row r="790" ht="22.5" customHeight="1">
      <c r="B790" s="4">
        <v>1.5642236E7</v>
      </c>
      <c r="C790" s="4">
        <v>7.75</v>
      </c>
      <c r="D790" s="4">
        <v>135.7</v>
      </c>
    </row>
    <row r="791" ht="22.5" customHeight="1">
      <c r="B791" s="4">
        <v>1.5662239E7</v>
      </c>
      <c r="C791" s="4">
        <v>7.75</v>
      </c>
      <c r="D791" s="4">
        <v>135.7</v>
      </c>
    </row>
    <row r="792" ht="22.5" customHeight="1">
      <c r="B792" s="4">
        <v>1.5682242E7</v>
      </c>
      <c r="C792" s="4">
        <v>7.75</v>
      </c>
      <c r="D792" s="4">
        <v>135.7</v>
      </c>
    </row>
    <row r="793" ht="22.5" customHeight="1">
      <c r="B793" s="4">
        <v>1.5702245E7</v>
      </c>
      <c r="C793" s="4">
        <v>7.75</v>
      </c>
      <c r="D793" s="4">
        <v>135.7</v>
      </c>
    </row>
    <row r="794" ht="22.5" customHeight="1">
      <c r="B794" s="4">
        <v>1.5722248E7</v>
      </c>
      <c r="C794" s="4">
        <v>7.75</v>
      </c>
      <c r="D794" s="4">
        <v>135.7</v>
      </c>
    </row>
    <row r="795" ht="22.5" customHeight="1">
      <c r="B795" s="4">
        <v>1.5742251E7</v>
      </c>
      <c r="C795" s="4">
        <v>7.75</v>
      </c>
      <c r="D795" s="4">
        <v>135.7</v>
      </c>
    </row>
    <row r="796" ht="22.5" customHeight="1">
      <c r="B796" s="4">
        <v>1.5762253E7</v>
      </c>
      <c r="C796" s="4">
        <v>7.75</v>
      </c>
      <c r="D796" s="4">
        <v>135.6</v>
      </c>
    </row>
    <row r="797" ht="22.5" customHeight="1">
      <c r="B797" s="4">
        <v>1.5782256E7</v>
      </c>
      <c r="C797" s="4">
        <v>7.74</v>
      </c>
      <c r="D797" s="4">
        <v>135.6</v>
      </c>
    </row>
    <row r="798" ht="22.5" customHeight="1">
      <c r="B798" s="4">
        <v>1.5802259E7</v>
      </c>
      <c r="C798" s="4">
        <v>7.74</v>
      </c>
      <c r="D798" s="4">
        <v>135.6</v>
      </c>
    </row>
    <row r="799" ht="22.5" customHeight="1">
      <c r="B799" s="4">
        <v>1.5822262E7</v>
      </c>
      <c r="C799" s="4">
        <v>7.74</v>
      </c>
      <c r="D799" s="4">
        <v>135.6</v>
      </c>
    </row>
    <row r="800" ht="22.5" customHeight="1">
      <c r="B800" s="4">
        <v>1.5842265E7</v>
      </c>
      <c r="C800" s="4">
        <v>7.74</v>
      </c>
      <c r="D800" s="4">
        <v>135.6</v>
      </c>
    </row>
    <row r="801" ht="22.5" customHeight="1">
      <c r="B801" s="4">
        <v>1.5862267E7</v>
      </c>
      <c r="C801" s="4">
        <v>7.74</v>
      </c>
      <c r="D801" s="4">
        <v>135.6</v>
      </c>
    </row>
    <row r="802" ht="22.5" customHeight="1">
      <c r="B802" s="4">
        <v>1.588227E7</v>
      </c>
      <c r="C802" s="4">
        <v>7.74</v>
      </c>
      <c r="D802" s="4">
        <v>135.6</v>
      </c>
    </row>
    <row r="803" ht="22.5" customHeight="1">
      <c r="B803" s="4">
        <v>1.5902274E7</v>
      </c>
      <c r="C803" s="4">
        <v>7.74</v>
      </c>
      <c r="D803" s="4">
        <v>135.5</v>
      </c>
    </row>
    <row r="804" ht="22.5" customHeight="1">
      <c r="B804" s="4">
        <v>1.5922277E7</v>
      </c>
      <c r="C804" s="4">
        <v>7.74</v>
      </c>
      <c r="D804" s="4">
        <v>135.6</v>
      </c>
    </row>
    <row r="805" ht="22.5" customHeight="1">
      <c r="B805" s="4">
        <v>1.594228E7</v>
      </c>
      <c r="C805" s="4">
        <v>7.74</v>
      </c>
      <c r="D805" s="4">
        <v>135.5</v>
      </c>
    </row>
    <row r="806" ht="22.5" customHeight="1">
      <c r="B806" s="4">
        <v>1.5962283E7</v>
      </c>
      <c r="C806" s="4">
        <v>7.74</v>
      </c>
      <c r="D806" s="4">
        <v>135.5</v>
      </c>
    </row>
    <row r="807" ht="22.5" customHeight="1">
      <c r="B807" s="4">
        <v>1.5982285E7</v>
      </c>
      <c r="C807" s="4">
        <v>7.74</v>
      </c>
      <c r="D807" s="4">
        <v>135.5</v>
      </c>
    </row>
    <row r="808" ht="22.5" customHeight="1">
      <c r="B808" s="4">
        <v>1.6002288E7</v>
      </c>
      <c r="C808" s="4">
        <v>7.74</v>
      </c>
      <c r="D808" s="4">
        <v>135.5</v>
      </c>
    </row>
    <row r="809" ht="22.5" customHeight="1">
      <c r="B809" s="4">
        <v>1.6022291E7</v>
      </c>
      <c r="C809" s="4">
        <v>7.74</v>
      </c>
      <c r="D809" s="4">
        <v>135.5</v>
      </c>
    </row>
    <row r="810" ht="22.5" customHeight="1">
      <c r="B810" s="4">
        <v>1.6042294E7</v>
      </c>
      <c r="C810" s="4">
        <v>7.74</v>
      </c>
      <c r="D810" s="4">
        <v>135.4</v>
      </c>
    </row>
    <row r="811" ht="22.5" customHeight="1">
      <c r="B811" s="4">
        <v>1.6062297E7</v>
      </c>
      <c r="C811" s="4">
        <v>7.74</v>
      </c>
      <c r="D811" s="4">
        <v>135.5</v>
      </c>
    </row>
    <row r="812" ht="22.5" customHeight="1">
      <c r="B812" s="4">
        <v>1.6082299E7</v>
      </c>
      <c r="C812" s="4">
        <v>7.74</v>
      </c>
      <c r="D812" s="4">
        <v>135.5</v>
      </c>
    </row>
    <row r="813" ht="22.5" customHeight="1">
      <c r="B813" s="4">
        <v>1.6102302E7</v>
      </c>
      <c r="C813" s="4">
        <v>7.74</v>
      </c>
      <c r="D813" s="4">
        <v>135.5</v>
      </c>
    </row>
    <row r="814" ht="22.5" customHeight="1">
      <c r="B814" s="4">
        <v>1.6122305E7</v>
      </c>
      <c r="C814" s="4">
        <v>7.74</v>
      </c>
      <c r="D814" s="4">
        <v>135.4</v>
      </c>
    </row>
    <row r="815" ht="22.5" customHeight="1">
      <c r="B815" s="4">
        <v>1.6142308E7</v>
      </c>
      <c r="C815" s="4">
        <v>7.74</v>
      </c>
      <c r="D815" s="4">
        <v>135.4</v>
      </c>
    </row>
    <row r="816" ht="22.5" customHeight="1">
      <c r="B816" s="4">
        <v>1.6162311E7</v>
      </c>
      <c r="C816" s="4">
        <v>7.74</v>
      </c>
      <c r="D816" s="4">
        <v>135.5</v>
      </c>
    </row>
    <row r="817" ht="22.5" customHeight="1">
      <c r="B817" s="4">
        <v>1.6182315E7</v>
      </c>
      <c r="C817" s="4">
        <v>7.74</v>
      </c>
      <c r="D817" s="4">
        <v>135.4</v>
      </c>
    </row>
    <row r="818" ht="22.5" customHeight="1">
      <c r="B818" s="4">
        <v>1.6202317E7</v>
      </c>
      <c r="C818" s="4">
        <v>7.73</v>
      </c>
      <c r="D818" s="4">
        <v>135.4</v>
      </c>
    </row>
    <row r="819" ht="22.5" customHeight="1">
      <c r="B819" s="4">
        <v>1.622232E7</v>
      </c>
      <c r="C819" s="4">
        <v>7.73</v>
      </c>
      <c r="D819" s="4">
        <v>135.4</v>
      </c>
    </row>
    <row r="820" ht="22.5" customHeight="1">
      <c r="B820" s="4">
        <v>1.6242323E7</v>
      </c>
      <c r="C820" s="4">
        <v>7.73</v>
      </c>
      <c r="D820" s="4">
        <v>135.4</v>
      </c>
    </row>
    <row r="821" ht="22.5" customHeight="1">
      <c r="B821" s="4">
        <v>1.6262326E7</v>
      </c>
      <c r="C821" s="4">
        <v>7.73</v>
      </c>
      <c r="D821" s="4">
        <v>135.4</v>
      </c>
    </row>
    <row r="822" ht="22.5" customHeight="1">
      <c r="B822" s="4">
        <v>1.6282329E7</v>
      </c>
      <c r="C822" s="4">
        <v>7.73</v>
      </c>
      <c r="D822" s="4">
        <v>135.4</v>
      </c>
    </row>
    <row r="823" ht="22.5" customHeight="1">
      <c r="B823" s="4">
        <v>1.6302331E7</v>
      </c>
      <c r="C823" s="4">
        <v>7.73</v>
      </c>
      <c r="D823" s="4">
        <v>135.3</v>
      </c>
    </row>
    <row r="824" ht="22.5" customHeight="1">
      <c r="B824" s="4">
        <v>1.6322334E7</v>
      </c>
      <c r="C824" s="4">
        <v>7.73</v>
      </c>
      <c r="D824" s="4">
        <v>135.3</v>
      </c>
    </row>
    <row r="825" ht="22.5" customHeight="1">
      <c r="B825" s="4">
        <v>1.6342337E7</v>
      </c>
      <c r="C825" s="4">
        <v>7.73</v>
      </c>
      <c r="D825" s="4">
        <v>135.3</v>
      </c>
    </row>
    <row r="826" ht="22.5" customHeight="1">
      <c r="B826" s="4">
        <v>1.636234E7</v>
      </c>
      <c r="C826" s="4">
        <v>7.73</v>
      </c>
      <c r="D826" s="4">
        <v>135.3</v>
      </c>
    </row>
    <row r="827" ht="22.5" customHeight="1">
      <c r="B827" s="4">
        <v>1.6382343E7</v>
      </c>
      <c r="C827" s="4">
        <v>7.73</v>
      </c>
      <c r="D827" s="4">
        <v>135.3</v>
      </c>
    </row>
    <row r="828" ht="22.5" customHeight="1">
      <c r="B828" s="4">
        <v>1.6402345E7</v>
      </c>
      <c r="C828" s="4">
        <v>7.73</v>
      </c>
      <c r="D828" s="4">
        <v>135.3</v>
      </c>
    </row>
    <row r="829" ht="22.5" customHeight="1">
      <c r="B829" s="4">
        <v>1.6422348E7</v>
      </c>
      <c r="C829" s="4">
        <v>7.73</v>
      </c>
      <c r="D829" s="4">
        <v>135.3</v>
      </c>
    </row>
    <row r="830" ht="22.5" customHeight="1">
      <c r="B830" s="4">
        <v>1.6442352E7</v>
      </c>
      <c r="C830" s="4">
        <v>7.73</v>
      </c>
      <c r="D830" s="4">
        <v>135.2</v>
      </c>
    </row>
    <row r="831" ht="22.5" customHeight="1">
      <c r="B831" s="4">
        <v>1.6462355E7</v>
      </c>
      <c r="C831" s="4">
        <v>7.73</v>
      </c>
      <c r="D831" s="4">
        <v>135.2</v>
      </c>
    </row>
    <row r="832" ht="22.5" customHeight="1">
      <c r="B832" s="4">
        <v>1.6482358E7</v>
      </c>
      <c r="C832" s="4">
        <v>7.72</v>
      </c>
      <c r="D832" s="4">
        <v>135.3</v>
      </c>
    </row>
    <row r="833" ht="22.5" customHeight="1">
      <c r="B833" s="4">
        <v>1.6502361E7</v>
      </c>
      <c r="C833" s="4">
        <v>7.72</v>
      </c>
      <c r="D833" s="4">
        <v>135.2</v>
      </c>
    </row>
    <row r="834" ht="22.5" customHeight="1">
      <c r="B834" s="4">
        <v>1.6522363E7</v>
      </c>
      <c r="C834" s="4">
        <v>7.72</v>
      </c>
      <c r="D834" s="4">
        <v>135.2</v>
      </c>
    </row>
    <row r="835" ht="22.5" customHeight="1">
      <c r="B835" s="4">
        <v>1.6542366E7</v>
      </c>
      <c r="C835" s="4">
        <v>7.72</v>
      </c>
      <c r="D835" s="4">
        <v>135.2</v>
      </c>
    </row>
    <row r="836" ht="22.5" customHeight="1">
      <c r="B836" s="4">
        <v>1.6562369E7</v>
      </c>
      <c r="C836" s="4">
        <v>7.72</v>
      </c>
      <c r="D836" s="4">
        <v>135.3</v>
      </c>
    </row>
    <row r="837" ht="22.5" customHeight="1">
      <c r="B837" s="4">
        <v>1.6582372E7</v>
      </c>
      <c r="C837" s="4">
        <v>7.72</v>
      </c>
      <c r="D837" s="4">
        <v>135.2</v>
      </c>
    </row>
    <row r="838" ht="22.5" customHeight="1">
      <c r="B838" s="4">
        <v>1.6602375E7</v>
      </c>
      <c r="C838" s="4">
        <v>7.72</v>
      </c>
      <c r="D838" s="4">
        <v>135.2</v>
      </c>
    </row>
    <row r="839" ht="22.5" customHeight="1">
      <c r="B839" s="4">
        <v>1.6622377E7</v>
      </c>
      <c r="C839" s="4">
        <v>7.72</v>
      </c>
      <c r="D839" s="4">
        <v>135.2</v>
      </c>
    </row>
    <row r="840" ht="22.5" customHeight="1">
      <c r="B840" s="4">
        <v>1.664238E7</v>
      </c>
      <c r="C840" s="4">
        <v>7.72</v>
      </c>
      <c r="D840" s="4">
        <v>135.2</v>
      </c>
    </row>
    <row r="841" ht="22.5" customHeight="1">
      <c r="B841" s="4">
        <v>1.6662383E7</v>
      </c>
      <c r="C841" s="4">
        <v>7.72</v>
      </c>
      <c r="D841" s="4">
        <v>135.2</v>
      </c>
    </row>
    <row r="842" ht="22.5" customHeight="1">
      <c r="B842" s="4">
        <v>1.6682386E7</v>
      </c>
      <c r="C842" s="4">
        <v>7.72</v>
      </c>
      <c r="D842" s="4">
        <v>135.1</v>
      </c>
    </row>
    <row r="843" ht="22.5" customHeight="1">
      <c r="B843" s="4">
        <v>1.6702389E7</v>
      </c>
      <c r="C843" s="4">
        <v>7.72</v>
      </c>
      <c r="D843" s="4">
        <v>135.2</v>
      </c>
    </row>
    <row r="844" ht="22.5" customHeight="1">
      <c r="B844" s="4">
        <v>1.6722393E7</v>
      </c>
      <c r="C844" s="4">
        <v>7.72</v>
      </c>
      <c r="D844" s="4">
        <v>135.2</v>
      </c>
    </row>
    <row r="845" ht="22.5" customHeight="1">
      <c r="B845" s="4">
        <v>1.6742395E7</v>
      </c>
      <c r="C845" s="4">
        <v>7.72</v>
      </c>
      <c r="D845" s="4">
        <v>135.1</v>
      </c>
    </row>
    <row r="846" ht="22.5" customHeight="1">
      <c r="B846" s="4">
        <v>1.6762398E7</v>
      </c>
      <c r="C846" s="4">
        <v>7.72</v>
      </c>
      <c r="D846" s="4">
        <v>135.1</v>
      </c>
    </row>
    <row r="847" ht="22.5" customHeight="1">
      <c r="B847" s="4">
        <v>1.6782401E7</v>
      </c>
      <c r="C847" s="4">
        <v>7.72</v>
      </c>
      <c r="D847" s="4">
        <v>135.1</v>
      </c>
    </row>
    <row r="848" ht="22.5" customHeight="1">
      <c r="B848" s="4">
        <v>1.6802404E7</v>
      </c>
      <c r="C848" s="4">
        <v>7.72</v>
      </c>
      <c r="D848" s="4">
        <v>135.1</v>
      </c>
    </row>
    <row r="849" ht="22.5" customHeight="1">
      <c r="B849" s="4">
        <v>1.6822407E7</v>
      </c>
      <c r="C849" s="4">
        <v>7.72</v>
      </c>
      <c r="D849" s="4">
        <v>135.1</v>
      </c>
    </row>
    <row r="850" ht="22.5" customHeight="1">
      <c r="B850" s="4">
        <v>1.6842409E7</v>
      </c>
      <c r="C850" s="4">
        <v>7.72</v>
      </c>
      <c r="D850" s="4">
        <v>135.1</v>
      </c>
    </row>
    <row r="851" ht="22.5" customHeight="1">
      <c r="B851" s="4">
        <v>1.6862412E7</v>
      </c>
      <c r="C851" s="4">
        <v>7.72</v>
      </c>
      <c r="D851" s="4">
        <v>135.1</v>
      </c>
    </row>
    <row r="852" ht="22.5" customHeight="1">
      <c r="B852" s="4">
        <v>1.6882415E7</v>
      </c>
      <c r="C852" s="4">
        <v>7.72</v>
      </c>
      <c r="D852" s="4">
        <v>135.1</v>
      </c>
    </row>
    <row r="853" ht="22.5" customHeight="1">
      <c r="B853" s="4">
        <v>1.6902418E7</v>
      </c>
      <c r="C853" s="4">
        <v>7.72</v>
      </c>
      <c r="D853" s="4">
        <v>135.1</v>
      </c>
    </row>
    <row r="854" ht="22.5" customHeight="1">
      <c r="B854" s="4">
        <v>1.6922421E7</v>
      </c>
      <c r="C854" s="4">
        <v>7.71</v>
      </c>
      <c r="D854" s="4">
        <v>135.1</v>
      </c>
    </row>
    <row r="855" ht="22.5" customHeight="1">
      <c r="B855" s="4">
        <v>1.6942424E7</v>
      </c>
      <c r="C855" s="4">
        <v>7.71</v>
      </c>
      <c r="D855" s="4">
        <v>135.1</v>
      </c>
    </row>
    <row r="856" ht="22.5" customHeight="1">
      <c r="B856" s="4">
        <v>1.6962426E7</v>
      </c>
      <c r="C856" s="4">
        <v>7.71</v>
      </c>
      <c r="D856" s="4">
        <v>135.1</v>
      </c>
    </row>
    <row r="857" ht="22.5" customHeight="1">
      <c r="B857" s="4">
        <v>1.698243E7</v>
      </c>
      <c r="C857" s="4">
        <v>7.71</v>
      </c>
      <c r="D857" s="4">
        <v>135.0</v>
      </c>
    </row>
    <row r="858" ht="22.5" customHeight="1">
      <c r="B858" s="4">
        <v>1.7002433E7</v>
      </c>
      <c r="C858" s="4">
        <v>7.71</v>
      </c>
      <c r="D858" s="4">
        <v>135.1</v>
      </c>
    </row>
    <row r="859" ht="22.5" customHeight="1">
      <c r="B859" s="4">
        <v>1.7022436E7</v>
      </c>
      <c r="C859" s="4">
        <v>7.71</v>
      </c>
      <c r="D859" s="4">
        <v>135.0</v>
      </c>
    </row>
    <row r="860" ht="22.5" customHeight="1">
      <c r="B860" s="4">
        <v>1.7042439E7</v>
      </c>
      <c r="C860" s="4">
        <v>7.71</v>
      </c>
      <c r="D860" s="4">
        <v>135.0</v>
      </c>
    </row>
    <row r="861" ht="22.5" customHeight="1">
      <c r="B861" s="4">
        <v>1.7062441E7</v>
      </c>
      <c r="C861" s="4">
        <v>7.71</v>
      </c>
      <c r="D861" s="4">
        <v>135.0</v>
      </c>
    </row>
    <row r="862" ht="22.5" customHeight="1">
      <c r="B862" s="4">
        <v>1.7082444E7</v>
      </c>
      <c r="C862" s="4">
        <v>7.71</v>
      </c>
      <c r="D862" s="4">
        <v>135.0</v>
      </c>
    </row>
    <row r="863" ht="22.5" customHeight="1">
      <c r="B863" s="4">
        <v>1.7102447E7</v>
      </c>
      <c r="C863" s="4">
        <v>7.71</v>
      </c>
      <c r="D863" s="4">
        <v>135.0</v>
      </c>
    </row>
    <row r="864" ht="22.5" customHeight="1">
      <c r="B864" s="4">
        <v>1.712245E7</v>
      </c>
      <c r="C864" s="4">
        <v>7.71</v>
      </c>
      <c r="D864" s="4">
        <v>134.9</v>
      </c>
    </row>
    <row r="865" ht="22.5" customHeight="1">
      <c r="B865" s="4">
        <v>1.7142453E7</v>
      </c>
      <c r="C865" s="4">
        <v>7.71</v>
      </c>
      <c r="D865" s="4">
        <v>134.9</v>
      </c>
    </row>
    <row r="866" ht="22.5" customHeight="1">
      <c r="B866" s="4">
        <v>1.7162456E7</v>
      </c>
      <c r="C866" s="4">
        <v>7.71</v>
      </c>
      <c r="D866" s="4">
        <v>134.9</v>
      </c>
    </row>
    <row r="867" ht="22.5" customHeight="1">
      <c r="B867" s="4">
        <v>1.7182458E7</v>
      </c>
      <c r="C867" s="4">
        <v>7.71</v>
      </c>
      <c r="D867" s="4">
        <v>134.9</v>
      </c>
    </row>
    <row r="868" ht="22.5" customHeight="1">
      <c r="B868" s="4">
        <v>1.7202461E7</v>
      </c>
      <c r="C868" s="4">
        <v>7.7</v>
      </c>
      <c r="D868" s="4">
        <v>134.9</v>
      </c>
    </row>
    <row r="869" ht="22.5" customHeight="1">
      <c r="B869" s="4">
        <v>1.7222464E7</v>
      </c>
      <c r="C869" s="4">
        <v>7.7</v>
      </c>
      <c r="D869" s="4">
        <v>134.9</v>
      </c>
    </row>
    <row r="870" ht="22.5" customHeight="1">
      <c r="B870" s="4">
        <v>1.7242467E7</v>
      </c>
      <c r="C870" s="4">
        <v>7.7</v>
      </c>
      <c r="D870" s="4">
        <v>134.9</v>
      </c>
    </row>
    <row r="871" ht="22.5" customHeight="1">
      <c r="B871" s="4">
        <v>1.726247E7</v>
      </c>
      <c r="C871" s="4">
        <v>7.7</v>
      </c>
      <c r="D871" s="4">
        <v>134.9</v>
      </c>
    </row>
    <row r="872" ht="22.5" customHeight="1">
      <c r="B872" s="4">
        <v>1.7282473E7</v>
      </c>
      <c r="C872" s="4">
        <v>7.7</v>
      </c>
      <c r="D872" s="4">
        <v>134.9</v>
      </c>
    </row>
    <row r="873" ht="22.5" customHeight="1">
      <c r="B873" s="4">
        <v>1.7302476E7</v>
      </c>
      <c r="C873" s="4">
        <v>7.7</v>
      </c>
      <c r="D873" s="4">
        <v>134.8</v>
      </c>
    </row>
    <row r="874" ht="22.5" customHeight="1">
      <c r="B874" s="4">
        <v>1.7322479E7</v>
      </c>
      <c r="C874" s="4">
        <v>7.7</v>
      </c>
      <c r="D874" s="4">
        <v>134.9</v>
      </c>
    </row>
    <row r="875" ht="22.5" customHeight="1">
      <c r="B875" s="4">
        <v>1.7342482E7</v>
      </c>
      <c r="C875" s="4">
        <v>7.7</v>
      </c>
      <c r="D875" s="4">
        <v>134.8</v>
      </c>
    </row>
    <row r="876" ht="22.5" customHeight="1">
      <c r="B876" s="4">
        <v>1.7362485E7</v>
      </c>
      <c r="C876" s="4">
        <v>7.7</v>
      </c>
      <c r="D876" s="4">
        <v>134.8</v>
      </c>
    </row>
    <row r="877" ht="22.5" customHeight="1">
      <c r="B877" s="4">
        <v>1.7382488E7</v>
      </c>
      <c r="C877" s="4">
        <v>7.7</v>
      </c>
      <c r="D877" s="4">
        <v>134.8</v>
      </c>
    </row>
    <row r="878" ht="22.5" customHeight="1">
      <c r="B878" s="4">
        <v>1.740249E7</v>
      </c>
      <c r="C878" s="4">
        <v>7.7</v>
      </c>
      <c r="D878" s="4">
        <v>134.7</v>
      </c>
    </row>
    <row r="879" ht="22.5" customHeight="1">
      <c r="B879" s="4">
        <v>1.7422493E7</v>
      </c>
      <c r="C879" s="4">
        <v>7.7</v>
      </c>
      <c r="D879" s="4">
        <v>134.8</v>
      </c>
    </row>
    <row r="880" ht="22.5" customHeight="1">
      <c r="B880" s="4">
        <v>1.7442496E7</v>
      </c>
      <c r="C880" s="4">
        <v>7.7</v>
      </c>
      <c r="D880" s="4">
        <v>134.8</v>
      </c>
    </row>
    <row r="881" ht="22.5" customHeight="1">
      <c r="B881" s="4">
        <v>1.7462499E7</v>
      </c>
      <c r="C881" s="4">
        <v>7.7</v>
      </c>
      <c r="D881" s="4">
        <v>134.8</v>
      </c>
    </row>
    <row r="882" ht="22.5" customHeight="1">
      <c r="B882" s="4">
        <v>1.7482502E7</v>
      </c>
      <c r="C882" s="4">
        <v>7.7</v>
      </c>
      <c r="D882" s="4">
        <v>134.8</v>
      </c>
    </row>
    <row r="883" ht="22.5" customHeight="1">
      <c r="B883" s="4">
        <v>1.7502504E7</v>
      </c>
      <c r="C883" s="4">
        <v>7.7</v>
      </c>
      <c r="D883" s="4">
        <v>134.7</v>
      </c>
    </row>
    <row r="884" ht="22.5" customHeight="1">
      <c r="B884" s="4">
        <v>1.7522507E7</v>
      </c>
      <c r="C884" s="4">
        <v>7.7</v>
      </c>
      <c r="D884" s="4">
        <v>134.8</v>
      </c>
    </row>
    <row r="885" ht="22.5" customHeight="1">
      <c r="B885" s="4">
        <v>1.754251E7</v>
      </c>
      <c r="C885" s="4">
        <v>7.7</v>
      </c>
      <c r="D885" s="4">
        <v>134.7</v>
      </c>
    </row>
    <row r="886" ht="22.5" customHeight="1">
      <c r="B886" s="4">
        <v>1.7562513E7</v>
      </c>
      <c r="C886" s="4">
        <v>7.7</v>
      </c>
      <c r="D886" s="4">
        <v>134.7</v>
      </c>
    </row>
    <row r="887" ht="22.5" customHeight="1">
      <c r="B887" s="4">
        <v>1.7582517E7</v>
      </c>
      <c r="C887" s="4">
        <v>7.7</v>
      </c>
      <c r="D887" s="4">
        <v>134.7</v>
      </c>
    </row>
    <row r="888" ht="22.5" customHeight="1">
      <c r="B888" s="4">
        <v>1.760252E7</v>
      </c>
      <c r="C888" s="4">
        <v>7.7</v>
      </c>
      <c r="D888" s="4">
        <v>134.7</v>
      </c>
    </row>
    <row r="889" ht="22.5" customHeight="1">
      <c r="B889" s="4">
        <v>1.7622522E7</v>
      </c>
      <c r="C889" s="4">
        <v>7.7</v>
      </c>
      <c r="D889" s="4">
        <v>134.7</v>
      </c>
    </row>
    <row r="890" ht="22.5" customHeight="1">
      <c r="B890" s="4">
        <v>1.7642525E7</v>
      </c>
      <c r="C890" s="4">
        <v>7.69</v>
      </c>
      <c r="D890" s="4">
        <v>134.6</v>
      </c>
    </row>
    <row r="891" ht="22.5" customHeight="1">
      <c r="B891" s="4">
        <v>1.7662528E7</v>
      </c>
      <c r="C891" s="4">
        <v>7.69</v>
      </c>
      <c r="D891" s="4">
        <v>134.6</v>
      </c>
    </row>
    <row r="892" ht="22.5" customHeight="1">
      <c r="B892" s="4">
        <v>1.7682531E7</v>
      </c>
      <c r="C892" s="4">
        <v>7.69</v>
      </c>
      <c r="D892" s="4">
        <v>134.6</v>
      </c>
    </row>
    <row r="893" ht="22.5" customHeight="1">
      <c r="B893" s="4">
        <v>1.7702534E7</v>
      </c>
      <c r="C893" s="4">
        <v>7.69</v>
      </c>
      <c r="D893" s="4">
        <v>134.6</v>
      </c>
    </row>
    <row r="894" ht="22.5" customHeight="1">
      <c r="B894" s="4">
        <v>1.7722536E7</v>
      </c>
      <c r="C894" s="4">
        <v>7.69</v>
      </c>
      <c r="D894" s="4">
        <v>134.6</v>
      </c>
    </row>
    <row r="895" ht="22.5" customHeight="1">
      <c r="B895" s="4">
        <v>1.7742539E7</v>
      </c>
      <c r="C895" s="4">
        <v>7.69</v>
      </c>
      <c r="D895" s="4">
        <v>134.6</v>
      </c>
    </row>
    <row r="896" ht="22.5" customHeight="1">
      <c r="B896" s="4">
        <v>1.7762542E7</v>
      </c>
      <c r="C896" s="4">
        <v>7.69</v>
      </c>
      <c r="D896" s="4">
        <v>134.6</v>
      </c>
    </row>
    <row r="897" ht="22.5" customHeight="1">
      <c r="B897" s="4">
        <v>1.7782545E7</v>
      </c>
      <c r="C897" s="4">
        <v>7.69</v>
      </c>
      <c r="D897" s="4">
        <v>134.6</v>
      </c>
    </row>
    <row r="898" ht="22.5" customHeight="1">
      <c r="B898" s="4">
        <v>1.7802548E7</v>
      </c>
      <c r="C898" s="4">
        <v>7.69</v>
      </c>
      <c r="D898" s="4">
        <v>134.7</v>
      </c>
    </row>
    <row r="899" ht="22.5" customHeight="1">
      <c r="B899" s="4">
        <v>1.7822551E7</v>
      </c>
      <c r="C899" s="4">
        <v>7.69</v>
      </c>
      <c r="D899" s="4">
        <v>134.5</v>
      </c>
    </row>
    <row r="900" ht="22.5" customHeight="1">
      <c r="B900" s="4">
        <v>1.7842553E7</v>
      </c>
      <c r="C900" s="4">
        <v>7.69</v>
      </c>
      <c r="D900" s="4">
        <v>134.6</v>
      </c>
    </row>
    <row r="901" ht="22.5" customHeight="1">
      <c r="B901" s="4">
        <v>1.7862556E7</v>
      </c>
      <c r="C901" s="4">
        <v>7.68</v>
      </c>
      <c r="D901" s="4">
        <v>134.5</v>
      </c>
    </row>
    <row r="902" ht="22.5" customHeight="1">
      <c r="B902" s="4">
        <v>1.788256E7</v>
      </c>
      <c r="C902" s="4">
        <v>7.68</v>
      </c>
      <c r="D902" s="4">
        <v>134.6</v>
      </c>
    </row>
    <row r="903" ht="22.5" customHeight="1">
      <c r="B903" s="4">
        <v>1.7902563E7</v>
      </c>
      <c r="C903" s="4">
        <v>7.68</v>
      </c>
      <c r="D903" s="4">
        <v>134.6</v>
      </c>
    </row>
    <row r="904" ht="22.5" customHeight="1">
      <c r="B904" s="4">
        <v>1.7922566E7</v>
      </c>
      <c r="C904" s="4">
        <v>7.68</v>
      </c>
      <c r="D904" s="4">
        <v>134.5</v>
      </c>
    </row>
    <row r="905" ht="22.5" customHeight="1">
      <c r="B905" s="4">
        <v>1.7942568E7</v>
      </c>
      <c r="C905" s="4">
        <v>7.68</v>
      </c>
      <c r="D905" s="4">
        <v>134.5</v>
      </c>
    </row>
    <row r="906" ht="22.5" customHeight="1">
      <c r="B906" s="4">
        <v>1.7962571E7</v>
      </c>
      <c r="C906" s="4">
        <v>7.68</v>
      </c>
      <c r="D906" s="4">
        <v>134.5</v>
      </c>
    </row>
    <row r="907" ht="22.5" customHeight="1">
      <c r="B907" s="4">
        <v>1.7982574E7</v>
      </c>
      <c r="C907" s="4">
        <v>7.68</v>
      </c>
      <c r="D907" s="4">
        <v>134.5</v>
      </c>
    </row>
    <row r="908" ht="22.5" customHeight="1">
      <c r="B908" s="4">
        <v>1.8002577E7</v>
      </c>
      <c r="C908" s="4">
        <v>7.68</v>
      </c>
      <c r="D908" s="4">
        <v>134.5</v>
      </c>
    </row>
    <row r="909" ht="22.5" customHeight="1">
      <c r="B909" s="4">
        <v>1.802258E7</v>
      </c>
      <c r="C909" s="4">
        <v>7.68</v>
      </c>
      <c r="D909" s="4">
        <v>134.5</v>
      </c>
    </row>
    <row r="910" ht="22.5" customHeight="1">
      <c r="B910" s="4">
        <v>1.8042583E7</v>
      </c>
      <c r="C910" s="4">
        <v>7.68</v>
      </c>
      <c r="D910" s="4">
        <v>134.5</v>
      </c>
    </row>
    <row r="911" ht="22.5" customHeight="1">
      <c r="B911" s="4">
        <v>1.8062585E7</v>
      </c>
      <c r="C911" s="4">
        <v>7.68</v>
      </c>
      <c r="D911" s="4">
        <v>134.5</v>
      </c>
    </row>
    <row r="912" ht="22.5" customHeight="1">
      <c r="B912" s="4">
        <v>1.8082588E7</v>
      </c>
      <c r="C912" s="4">
        <v>7.68</v>
      </c>
      <c r="D912" s="4">
        <v>134.4</v>
      </c>
    </row>
    <row r="913" ht="22.5" customHeight="1">
      <c r="B913" s="4">
        <v>1.8102591E7</v>
      </c>
      <c r="C913" s="4">
        <v>7.68</v>
      </c>
      <c r="D913" s="4">
        <v>134.4</v>
      </c>
    </row>
    <row r="914" ht="22.5" customHeight="1">
      <c r="B914" s="4">
        <v>1.8122594E7</v>
      </c>
      <c r="C914" s="4">
        <v>7.68</v>
      </c>
      <c r="D914" s="4">
        <v>134.4</v>
      </c>
    </row>
    <row r="915" ht="22.5" customHeight="1">
      <c r="B915" s="4">
        <v>1.8142597E7</v>
      </c>
      <c r="C915" s="4">
        <v>7.68</v>
      </c>
      <c r="D915" s="4">
        <v>134.4</v>
      </c>
    </row>
    <row r="916" ht="22.5" customHeight="1">
      <c r="B916" s="4">
        <v>1.81626E7</v>
      </c>
      <c r="C916" s="4">
        <v>7.68</v>
      </c>
      <c r="D916" s="4">
        <v>134.4</v>
      </c>
    </row>
    <row r="917" ht="22.5" customHeight="1">
      <c r="B917" s="4">
        <v>1.8182603E7</v>
      </c>
      <c r="C917" s="4">
        <v>7.68</v>
      </c>
      <c r="D917" s="4">
        <v>134.4</v>
      </c>
    </row>
    <row r="918" ht="22.5" customHeight="1">
      <c r="B918" s="4">
        <v>1.8202606E7</v>
      </c>
      <c r="C918" s="4">
        <v>7.68</v>
      </c>
      <c r="D918" s="4">
        <v>134.4</v>
      </c>
    </row>
    <row r="919" ht="22.5" customHeight="1">
      <c r="B919" s="4">
        <v>1.8222609E7</v>
      </c>
      <c r="C919" s="4">
        <v>7.68</v>
      </c>
      <c r="D919" s="4">
        <v>134.4</v>
      </c>
    </row>
    <row r="920" ht="22.5" customHeight="1">
      <c r="B920" s="4">
        <v>1.8242612E7</v>
      </c>
      <c r="C920" s="4">
        <v>7.68</v>
      </c>
      <c r="D920" s="4">
        <v>134.4</v>
      </c>
    </row>
    <row r="921" ht="22.5" customHeight="1">
      <c r="B921" s="4">
        <v>1.8262615E7</v>
      </c>
      <c r="C921" s="4">
        <v>7.68</v>
      </c>
      <c r="D921" s="4">
        <v>134.4</v>
      </c>
    </row>
    <row r="922" ht="22.5" customHeight="1">
      <c r="B922" s="4">
        <v>1.8282617E7</v>
      </c>
      <c r="C922" s="4">
        <v>7.68</v>
      </c>
      <c r="D922" s="4">
        <v>134.3</v>
      </c>
    </row>
    <row r="923" ht="22.5" customHeight="1">
      <c r="B923" s="4">
        <v>1.830262E7</v>
      </c>
      <c r="C923" s="4">
        <v>7.68</v>
      </c>
      <c r="D923" s="4">
        <v>134.3</v>
      </c>
    </row>
    <row r="924" ht="22.5" customHeight="1">
      <c r="B924" s="4">
        <v>1.8322623E7</v>
      </c>
      <c r="C924" s="4">
        <v>7.68</v>
      </c>
      <c r="D924" s="4">
        <v>134.4</v>
      </c>
    </row>
    <row r="925" ht="22.5" customHeight="1">
      <c r="B925" s="4">
        <v>1.8342626E7</v>
      </c>
      <c r="C925" s="4">
        <v>7.68</v>
      </c>
      <c r="D925" s="4">
        <v>134.3</v>
      </c>
    </row>
    <row r="926" ht="22.5" customHeight="1">
      <c r="B926" s="4">
        <v>1.8362629E7</v>
      </c>
      <c r="C926" s="4">
        <v>7.67</v>
      </c>
      <c r="D926" s="4">
        <v>134.4</v>
      </c>
    </row>
    <row r="927" ht="22.5" customHeight="1">
      <c r="B927" s="4">
        <v>1.8382631E7</v>
      </c>
      <c r="C927" s="4">
        <v>7.67</v>
      </c>
      <c r="D927" s="4">
        <v>134.3</v>
      </c>
    </row>
    <row r="928" ht="22.5" customHeight="1">
      <c r="B928" s="4">
        <v>1.8402634E7</v>
      </c>
      <c r="C928" s="4">
        <v>7.67</v>
      </c>
      <c r="D928" s="4">
        <v>134.3</v>
      </c>
    </row>
    <row r="929" ht="22.5" customHeight="1">
      <c r="B929" s="4">
        <v>1.8422638E7</v>
      </c>
      <c r="C929" s="4">
        <v>7.67</v>
      </c>
      <c r="D929" s="4">
        <v>134.3</v>
      </c>
    </row>
    <row r="930" ht="22.5" customHeight="1">
      <c r="B930" s="4">
        <v>1.8442641E7</v>
      </c>
      <c r="C930" s="4">
        <v>7.67</v>
      </c>
      <c r="D930" s="4">
        <v>134.3</v>
      </c>
    </row>
    <row r="931" ht="22.5" customHeight="1">
      <c r="B931" s="4">
        <v>1.8462644E7</v>
      </c>
      <c r="C931" s="4">
        <v>7.67</v>
      </c>
      <c r="D931" s="4">
        <v>134.3</v>
      </c>
    </row>
    <row r="932" ht="22.5" customHeight="1">
      <c r="B932" s="4">
        <v>1.8482647E7</v>
      </c>
      <c r="C932" s="4">
        <v>7.67</v>
      </c>
      <c r="D932" s="4">
        <v>134.3</v>
      </c>
    </row>
    <row r="933" ht="22.5" customHeight="1">
      <c r="B933" s="4">
        <v>1.8502649E7</v>
      </c>
      <c r="C933" s="4">
        <v>7.67</v>
      </c>
      <c r="D933" s="4">
        <v>134.3</v>
      </c>
    </row>
    <row r="934" ht="22.5" customHeight="1">
      <c r="B934" s="4">
        <v>1.8522652E7</v>
      </c>
      <c r="C934" s="4">
        <v>7.67</v>
      </c>
      <c r="D934" s="4">
        <v>134.3</v>
      </c>
    </row>
    <row r="935" ht="22.5" customHeight="1">
      <c r="B935" s="4">
        <v>1.8542655E7</v>
      </c>
      <c r="C935" s="4">
        <v>7.67</v>
      </c>
      <c r="D935" s="4">
        <v>134.3</v>
      </c>
    </row>
    <row r="936" ht="22.5" customHeight="1">
      <c r="B936" s="4">
        <v>1.8562658E7</v>
      </c>
      <c r="C936" s="4">
        <v>7.67</v>
      </c>
      <c r="D936" s="4">
        <v>134.3</v>
      </c>
    </row>
    <row r="937" ht="22.5" customHeight="1">
      <c r="B937" s="4">
        <v>1.8582661E7</v>
      </c>
      <c r="C937" s="4">
        <v>7.66</v>
      </c>
      <c r="D937" s="4">
        <v>134.2</v>
      </c>
    </row>
    <row r="938" ht="22.5" customHeight="1">
      <c r="B938" s="4">
        <v>1.8602663E7</v>
      </c>
      <c r="C938" s="4">
        <v>7.67</v>
      </c>
      <c r="D938" s="4">
        <v>134.2</v>
      </c>
    </row>
    <row r="939" ht="22.5" customHeight="1">
      <c r="B939" s="4">
        <v>1.8622666E7</v>
      </c>
      <c r="C939" s="4">
        <v>7.67</v>
      </c>
      <c r="D939" s="4">
        <v>134.2</v>
      </c>
    </row>
    <row r="940" ht="22.5" customHeight="1">
      <c r="B940" s="4">
        <v>1.8642669E7</v>
      </c>
      <c r="C940" s="4">
        <v>7.66</v>
      </c>
      <c r="D940" s="4">
        <v>134.1</v>
      </c>
    </row>
    <row r="941" ht="22.5" customHeight="1">
      <c r="B941" s="4">
        <v>1.8662672E7</v>
      </c>
      <c r="C941" s="4">
        <v>7.66</v>
      </c>
      <c r="D941" s="4">
        <v>134.2</v>
      </c>
    </row>
    <row r="942" ht="22.5" customHeight="1">
      <c r="B942" s="4">
        <v>1.8682675E7</v>
      </c>
      <c r="C942" s="4">
        <v>7.66</v>
      </c>
      <c r="D942" s="4">
        <v>134.2</v>
      </c>
    </row>
    <row r="943" ht="22.5" customHeight="1">
      <c r="B943" s="4">
        <v>1.8702679E7</v>
      </c>
      <c r="C943" s="4">
        <v>7.66</v>
      </c>
      <c r="D943" s="4">
        <v>134.2</v>
      </c>
    </row>
    <row r="944" ht="22.5" customHeight="1">
      <c r="B944" s="4">
        <v>1.8722681E7</v>
      </c>
      <c r="C944" s="4">
        <v>7.66</v>
      </c>
      <c r="D944" s="4">
        <v>134.1</v>
      </c>
    </row>
    <row r="945" ht="22.5" customHeight="1">
      <c r="B945" s="4">
        <v>1.8742684E7</v>
      </c>
      <c r="C945" s="4">
        <v>7.66</v>
      </c>
      <c r="D945" s="4">
        <v>134.1</v>
      </c>
    </row>
    <row r="946" ht="22.5" customHeight="1">
      <c r="B946" s="4">
        <v>1.8762687E7</v>
      </c>
      <c r="C946" s="4">
        <v>7.66</v>
      </c>
      <c r="D946" s="4">
        <v>134.1</v>
      </c>
    </row>
    <row r="947" ht="22.5" customHeight="1">
      <c r="B947" s="4">
        <v>1.878269E7</v>
      </c>
      <c r="C947" s="4">
        <v>7.66</v>
      </c>
      <c r="D947" s="4">
        <v>134.1</v>
      </c>
    </row>
    <row r="948" ht="22.5" customHeight="1">
      <c r="B948" s="4">
        <v>1.8802693E7</v>
      </c>
      <c r="C948" s="4">
        <v>7.66</v>
      </c>
      <c r="D948" s="4">
        <v>134.1</v>
      </c>
    </row>
    <row r="949" ht="22.5" customHeight="1">
      <c r="B949" s="4">
        <v>1.8822695E7</v>
      </c>
      <c r="C949" s="4">
        <v>7.66</v>
      </c>
      <c r="D949" s="4">
        <v>134.1</v>
      </c>
    </row>
    <row r="950" ht="22.5" customHeight="1">
      <c r="B950" s="4">
        <v>1.8842698E7</v>
      </c>
      <c r="C950" s="4">
        <v>7.66</v>
      </c>
      <c r="D950" s="4">
        <v>134.1</v>
      </c>
    </row>
    <row r="951" ht="22.5" customHeight="1">
      <c r="B951" s="4">
        <v>1.8862701E7</v>
      </c>
      <c r="C951" s="4">
        <v>7.66</v>
      </c>
      <c r="D951" s="4">
        <v>134.0</v>
      </c>
    </row>
    <row r="952" ht="22.5" customHeight="1">
      <c r="B952" s="4">
        <v>1.8882704E7</v>
      </c>
      <c r="C952" s="4">
        <v>7.66</v>
      </c>
      <c r="D952" s="4">
        <v>134.1</v>
      </c>
    </row>
    <row r="953" ht="22.5" customHeight="1">
      <c r="B953" s="4">
        <v>1.8902707E7</v>
      </c>
      <c r="C953" s="4">
        <v>7.66</v>
      </c>
      <c r="D953" s="4">
        <v>134.0</v>
      </c>
    </row>
    <row r="954" ht="22.5" customHeight="1">
      <c r="B954" s="4">
        <v>1.892271E7</v>
      </c>
      <c r="C954" s="4">
        <v>7.66</v>
      </c>
      <c r="D954" s="4">
        <v>134.0</v>
      </c>
    </row>
    <row r="955" ht="22.5" customHeight="1">
      <c r="B955" s="4">
        <v>1.8942712E7</v>
      </c>
      <c r="C955" s="4">
        <v>7.66</v>
      </c>
      <c r="D955" s="4">
        <v>134.0</v>
      </c>
    </row>
    <row r="956" ht="22.5" customHeight="1">
      <c r="B956" s="4">
        <v>1.8962715E7</v>
      </c>
      <c r="C956" s="4">
        <v>7.66</v>
      </c>
      <c r="D956" s="4">
        <v>134.1</v>
      </c>
    </row>
    <row r="957" ht="22.5" customHeight="1">
      <c r="B957" s="4">
        <v>1.8982719E7</v>
      </c>
      <c r="C957" s="4">
        <v>7.66</v>
      </c>
      <c r="D957" s="4">
        <v>134.0</v>
      </c>
    </row>
    <row r="958" ht="22.5" customHeight="1">
      <c r="B958" s="4">
        <v>1.9002722E7</v>
      </c>
      <c r="C958" s="4">
        <v>7.66</v>
      </c>
      <c r="D958" s="4">
        <v>134.0</v>
      </c>
    </row>
    <row r="959" ht="22.5" customHeight="1">
      <c r="B959" s="4">
        <v>1.9022725E7</v>
      </c>
      <c r="C959" s="4">
        <v>7.66</v>
      </c>
      <c r="D959" s="4">
        <v>134.0</v>
      </c>
    </row>
    <row r="960" ht="22.5" customHeight="1">
      <c r="B960" s="4">
        <v>1.9042727E7</v>
      </c>
      <c r="C960" s="4">
        <v>7.66</v>
      </c>
      <c r="D960" s="4">
        <v>133.9</v>
      </c>
    </row>
    <row r="961" ht="22.5" customHeight="1">
      <c r="B961" s="4">
        <v>1.906273E7</v>
      </c>
      <c r="C961" s="4">
        <v>7.66</v>
      </c>
      <c r="D961" s="4">
        <v>134.0</v>
      </c>
    </row>
    <row r="962" ht="22.5" customHeight="1">
      <c r="B962" s="4">
        <v>1.9082733E7</v>
      </c>
      <c r="C962" s="4">
        <v>7.66</v>
      </c>
      <c r="D962" s="4">
        <v>134.0</v>
      </c>
    </row>
    <row r="963" ht="22.5" customHeight="1">
      <c r="B963" s="4">
        <v>1.9102736E7</v>
      </c>
      <c r="C963" s="4">
        <v>7.65</v>
      </c>
      <c r="D963" s="4">
        <v>133.9</v>
      </c>
    </row>
    <row r="964" ht="22.5" customHeight="1">
      <c r="B964" s="4">
        <v>1.9122739E7</v>
      </c>
      <c r="C964" s="4">
        <v>7.66</v>
      </c>
      <c r="D964" s="4">
        <v>133.9</v>
      </c>
    </row>
    <row r="965" ht="22.5" customHeight="1">
      <c r="B965" s="4">
        <v>1.9142742E7</v>
      </c>
      <c r="C965" s="4">
        <v>7.65</v>
      </c>
      <c r="D965" s="4">
        <v>133.9</v>
      </c>
    </row>
    <row r="966" ht="22.5" customHeight="1">
      <c r="B966" s="4">
        <v>1.9162744E7</v>
      </c>
      <c r="C966" s="4">
        <v>7.65</v>
      </c>
      <c r="D966" s="4">
        <v>133.9</v>
      </c>
    </row>
    <row r="967" ht="22.5" customHeight="1">
      <c r="B967" s="4">
        <v>1.9182747E7</v>
      </c>
      <c r="C967" s="4">
        <v>7.66</v>
      </c>
      <c r="D967" s="4">
        <v>133.9</v>
      </c>
    </row>
    <row r="968" ht="22.5" customHeight="1">
      <c r="B968" s="4">
        <v>1.920275E7</v>
      </c>
      <c r="C968" s="4">
        <v>7.65</v>
      </c>
      <c r="D968" s="4">
        <v>133.9</v>
      </c>
    </row>
    <row r="969" ht="22.5" customHeight="1">
      <c r="B969" s="4">
        <v>1.9222753E7</v>
      </c>
      <c r="C969" s="4">
        <v>7.65</v>
      </c>
      <c r="D969" s="4">
        <v>133.9</v>
      </c>
    </row>
    <row r="970" ht="22.5" customHeight="1">
      <c r="B970" s="4">
        <v>1.9242756E7</v>
      </c>
      <c r="C970" s="4">
        <v>7.65</v>
      </c>
      <c r="D970" s="4">
        <v>133.9</v>
      </c>
    </row>
    <row r="971" ht="22.5" customHeight="1">
      <c r="B971" s="4">
        <v>1.9262759E7</v>
      </c>
      <c r="C971" s="4">
        <v>7.65</v>
      </c>
      <c r="D971" s="4">
        <v>133.9</v>
      </c>
    </row>
    <row r="972" ht="22.5" customHeight="1">
      <c r="B972" s="4">
        <v>1.9282762E7</v>
      </c>
      <c r="C972" s="4">
        <v>7.65</v>
      </c>
      <c r="D972" s="4">
        <v>133.9</v>
      </c>
    </row>
    <row r="973" ht="22.5" customHeight="1">
      <c r="B973" s="4">
        <v>1.9302765E7</v>
      </c>
      <c r="C973" s="4">
        <v>7.65</v>
      </c>
      <c r="D973" s="4">
        <v>133.8</v>
      </c>
    </row>
    <row r="974" ht="22.5" customHeight="1">
      <c r="B974" s="4">
        <v>1.9322768E7</v>
      </c>
      <c r="C974" s="4">
        <v>7.65</v>
      </c>
      <c r="D974" s="4">
        <v>133.9</v>
      </c>
    </row>
    <row r="975" ht="22.5" customHeight="1">
      <c r="B975" s="4">
        <v>1.9342771E7</v>
      </c>
      <c r="C975" s="4">
        <v>7.65</v>
      </c>
      <c r="D975" s="4">
        <v>133.8</v>
      </c>
    </row>
    <row r="976" ht="22.5" customHeight="1">
      <c r="B976" s="4">
        <v>1.9362774E7</v>
      </c>
      <c r="C976" s="4">
        <v>7.65</v>
      </c>
      <c r="D976" s="4">
        <v>133.9</v>
      </c>
    </row>
    <row r="977" ht="22.5" customHeight="1">
      <c r="B977" s="4">
        <v>1.9382776E7</v>
      </c>
      <c r="C977" s="4">
        <v>7.65</v>
      </c>
      <c r="D977" s="4">
        <v>133.9</v>
      </c>
    </row>
    <row r="978" ht="22.5" customHeight="1">
      <c r="B978" s="4">
        <v>1.9402779E7</v>
      </c>
      <c r="C978" s="4">
        <v>7.65</v>
      </c>
      <c r="D978" s="4">
        <v>133.8</v>
      </c>
    </row>
    <row r="979" ht="22.5" customHeight="1">
      <c r="B979" s="4">
        <v>1.9422782E7</v>
      </c>
      <c r="C979" s="4">
        <v>7.65</v>
      </c>
      <c r="D979" s="4">
        <v>133.8</v>
      </c>
    </row>
    <row r="980" ht="22.5" customHeight="1">
      <c r="B980" s="4">
        <v>1.9442785E7</v>
      </c>
      <c r="C980" s="4">
        <v>7.64</v>
      </c>
      <c r="D980" s="4">
        <v>133.8</v>
      </c>
    </row>
    <row r="981" ht="22.5" customHeight="1">
      <c r="B981" s="4">
        <v>1.9462788E7</v>
      </c>
      <c r="C981" s="4">
        <v>7.64</v>
      </c>
      <c r="D981" s="4">
        <v>133.8</v>
      </c>
    </row>
    <row r="982" ht="22.5" customHeight="1">
      <c r="B982" s="4">
        <v>1.948279E7</v>
      </c>
      <c r="C982" s="4">
        <v>7.64</v>
      </c>
      <c r="D982" s="4">
        <v>133.8</v>
      </c>
    </row>
    <row r="983" ht="22.5" customHeight="1">
      <c r="B983" s="4">
        <v>1.9502793E7</v>
      </c>
      <c r="C983" s="4">
        <v>7.64</v>
      </c>
      <c r="D983" s="4">
        <v>133.8</v>
      </c>
    </row>
    <row r="984" ht="22.5" customHeight="1">
      <c r="B984" s="4">
        <v>1.9522796E7</v>
      </c>
      <c r="C984" s="4">
        <v>7.64</v>
      </c>
      <c r="D984" s="4">
        <v>133.8</v>
      </c>
    </row>
    <row r="985" ht="22.5" customHeight="1">
      <c r="B985" s="4">
        <v>1.95428E7</v>
      </c>
      <c r="C985" s="4">
        <v>7.64</v>
      </c>
      <c r="D985" s="4">
        <v>133.8</v>
      </c>
    </row>
    <row r="986" ht="22.5" customHeight="1">
      <c r="B986" s="4">
        <v>1.9562803E7</v>
      </c>
      <c r="C986" s="4">
        <v>7.64</v>
      </c>
      <c r="D986" s="4">
        <v>133.8</v>
      </c>
    </row>
    <row r="987" ht="22.5" customHeight="1">
      <c r="B987" s="4">
        <v>1.9582806E7</v>
      </c>
      <c r="C987" s="4">
        <v>7.64</v>
      </c>
      <c r="D987" s="4">
        <v>133.7</v>
      </c>
    </row>
    <row r="988" ht="22.5" customHeight="1">
      <c r="B988" s="4">
        <v>1.9602808E7</v>
      </c>
      <c r="C988" s="4">
        <v>7.64</v>
      </c>
      <c r="D988" s="4">
        <v>133.8</v>
      </c>
    </row>
    <row r="989" ht="22.5" customHeight="1">
      <c r="B989" s="4">
        <v>1.9622811E7</v>
      </c>
      <c r="C989" s="4">
        <v>7.64</v>
      </c>
      <c r="D989" s="4">
        <v>133.7</v>
      </c>
    </row>
    <row r="990" ht="22.5" customHeight="1">
      <c r="B990" s="4">
        <v>1.9642814E7</v>
      </c>
      <c r="C990" s="4">
        <v>7.64</v>
      </c>
      <c r="D990" s="4">
        <v>133.7</v>
      </c>
    </row>
    <row r="991" ht="22.5" customHeight="1">
      <c r="B991" s="4">
        <v>1.9662817E7</v>
      </c>
      <c r="C991" s="4">
        <v>7.64</v>
      </c>
      <c r="D991" s="4">
        <v>133.8</v>
      </c>
    </row>
    <row r="992" ht="22.5" customHeight="1">
      <c r="B992" s="4">
        <v>1.968282E7</v>
      </c>
      <c r="C992" s="4">
        <v>7.64</v>
      </c>
      <c r="D992" s="4">
        <v>133.7</v>
      </c>
    </row>
    <row r="993" ht="22.5" customHeight="1">
      <c r="B993" s="4">
        <v>1.9702822E7</v>
      </c>
      <c r="C993" s="4">
        <v>7.64</v>
      </c>
      <c r="D993" s="4">
        <v>133.7</v>
      </c>
    </row>
    <row r="994" ht="22.5" customHeight="1">
      <c r="B994" s="4">
        <v>1.9722825E7</v>
      </c>
      <c r="C994" s="4">
        <v>7.64</v>
      </c>
      <c r="D994" s="4">
        <v>133.6</v>
      </c>
    </row>
    <row r="995" ht="22.5" customHeight="1">
      <c r="B995" s="4">
        <v>1.9742828E7</v>
      </c>
      <c r="C995" s="4">
        <v>7.64</v>
      </c>
      <c r="D995" s="4">
        <v>133.7</v>
      </c>
    </row>
    <row r="996" ht="22.5" customHeight="1">
      <c r="B996" s="4">
        <v>1.9762831E7</v>
      </c>
      <c r="C996" s="4">
        <v>7.64</v>
      </c>
      <c r="D996" s="4">
        <v>133.7</v>
      </c>
    </row>
    <row r="997" ht="22.5" customHeight="1">
      <c r="B997" s="4">
        <v>1.9782834E7</v>
      </c>
      <c r="C997" s="4">
        <v>7.64</v>
      </c>
      <c r="D997" s="4">
        <v>133.7</v>
      </c>
    </row>
    <row r="998" ht="22.5" customHeight="1">
      <c r="B998" s="4">
        <v>1.9802836E7</v>
      </c>
      <c r="C998" s="4">
        <v>7.64</v>
      </c>
      <c r="D998" s="4">
        <v>133.7</v>
      </c>
    </row>
    <row r="999" ht="22.5" customHeight="1">
      <c r="B999" s="4">
        <v>1.982284E7</v>
      </c>
      <c r="C999" s="4">
        <v>7.64</v>
      </c>
      <c r="D999" s="4">
        <v>133.7</v>
      </c>
    </row>
    <row r="1000" ht="22.5" customHeight="1">
      <c r="B1000" s="4">
        <v>1.9842843E7</v>
      </c>
      <c r="C1000" s="4">
        <v>7.64</v>
      </c>
      <c r="D1000" s="4">
        <v>133.6</v>
      </c>
    </row>
    <row r="1001" ht="22.5" customHeight="1">
      <c r="B1001" s="4">
        <v>1.9862846E7</v>
      </c>
      <c r="C1001" s="4">
        <v>7.64</v>
      </c>
      <c r="D1001" s="4">
        <v>133.7</v>
      </c>
    </row>
    <row r="1002" ht="22.5" customHeight="1">
      <c r="B1002" s="4">
        <v>1.9882849E7</v>
      </c>
      <c r="C1002" s="4">
        <v>7.64</v>
      </c>
      <c r="D1002" s="4">
        <v>133.6</v>
      </c>
    </row>
    <row r="1003" ht="22.5" customHeight="1">
      <c r="B1003" s="4">
        <v>1.9902852E7</v>
      </c>
      <c r="C1003" s="4">
        <v>7.64</v>
      </c>
      <c r="D1003" s="4">
        <v>133.6</v>
      </c>
    </row>
    <row r="1004" ht="22.5" customHeight="1">
      <c r="B1004" s="4">
        <v>1.9922854E7</v>
      </c>
      <c r="C1004" s="4">
        <v>7.63</v>
      </c>
      <c r="D1004" s="4">
        <v>133.6</v>
      </c>
    </row>
    <row r="1005" ht="22.5" customHeight="1">
      <c r="B1005" s="4">
        <v>1.9942857E7</v>
      </c>
      <c r="C1005" s="4">
        <v>7.63</v>
      </c>
      <c r="D1005" s="4">
        <v>133.6</v>
      </c>
    </row>
    <row r="1006" ht="22.5" customHeight="1">
      <c r="B1006" s="4">
        <v>1.996286E7</v>
      </c>
      <c r="C1006" s="4">
        <v>7.63</v>
      </c>
      <c r="D1006" s="4">
        <v>133.6</v>
      </c>
    </row>
    <row r="1007" ht="22.5" customHeight="1">
      <c r="B1007" s="4">
        <v>1.9982863E7</v>
      </c>
      <c r="C1007" s="4">
        <v>7.63</v>
      </c>
      <c r="D1007" s="4">
        <v>133.5</v>
      </c>
    </row>
    <row r="1008" ht="22.5" customHeight="1">
      <c r="B1008" s="4">
        <v>2.0002866E7</v>
      </c>
      <c r="C1008" s="4">
        <v>7.63</v>
      </c>
      <c r="D1008" s="4">
        <v>133.6</v>
      </c>
    </row>
    <row r="1009" ht="22.5" customHeight="1">
      <c r="B1009" s="4">
        <v>2.0022868E7</v>
      </c>
      <c r="C1009" s="4">
        <v>7.63</v>
      </c>
      <c r="D1009" s="4">
        <v>133.6</v>
      </c>
    </row>
    <row r="1010" ht="22.5" customHeight="1">
      <c r="B1010" s="4">
        <v>2.0042871E7</v>
      </c>
      <c r="C1010" s="4">
        <v>7.63</v>
      </c>
      <c r="D1010" s="4">
        <v>133.5</v>
      </c>
    </row>
    <row r="1011" ht="22.5" customHeight="1">
      <c r="B1011" s="4">
        <v>2.0062874E7</v>
      </c>
      <c r="C1011" s="4">
        <v>7.63</v>
      </c>
      <c r="D1011" s="4">
        <v>133.5</v>
      </c>
    </row>
    <row r="1012" ht="22.5" customHeight="1">
      <c r="B1012" s="4">
        <v>2.0082877E7</v>
      </c>
      <c r="C1012" s="4">
        <v>7.63</v>
      </c>
      <c r="D1012" s="4">
        <v>133.5</v>
      </c>
    </row>
    <row r="1013" ht="22.5" customHeight="1">
      <c r="B1013" s="4">
        <v>2.0102881E7</v>
      </c>
      <c r="C1013" s="4">
        <v>7.63</v>
      </c>
      <c r="D1013" s="4">
        <v>133.5</v>
      </c>
    </row>
    <row r="1014" ht="22.5" customHeight="1">
      <c r="B1014" s="4">
        <v>2.0122884E7</v>
      </c>
      <c r="C1014" s="4">
        <v>7.63</v>
      </c>
      <c r="D1014" s="4">
        <v>133.5</v>
      </c>
    </row>
    <row r="1015" ht="22.5" customHeight="1">
      <c r="B1015" s="4">
        <v>2.0142886E7</v>
      </c>
      <c r="C1015" s="4">
        <v>7.63</v>
      </c>
      <c r="D1015" s="4">
        <v>133.5</v>
      </c>
    </row>
    <row r="1016" ht="22.5" customHeight="1">
      <c r="B1016" s="4">
        <v>2.0162889E7</v>
      </c>
      <c r="C1016" s="4">
        <v>7.63</v>
      </c>
      <c r="D1016" s="4">
        <v>133.5</v>
      </c>
    </row>
    <row r="1017" ht="22.5" customHeight="1">
      <c r="B1017" s="4">
        <v>2.0182892E7</v>
      </c>
      <c r="C1017" s="4">
        <v>7.63</v>
      </c>
      <c r="D1017" s="4">
        <v>133.5</v>
      </c>
    </row>
    <row r="1018" ht="22.5" customHeight="1">
      <c r="B1018" s="4">
        <v>2.0202895E7</v>
      </c>
      <c r="C1018" s="4">
        <v>7.63</v>
      </c>
      <c r="D1018" s="4">
        <v>133.5</v>
      </c>
    </row>
    <row r="1019" ht="22.5" customHeight="1">
      <c r="B1019" s="4">
        <v>2.0222898E7</v>
      </c>
      <c r="C1019" s="4">
        <v>7.63</v>
      </c>
      <c r="D1019" s="4">
        <v>133.5</v>
      </c>
    </row>
    <row r="1020" ht="22.5" customHeight="1">
      <c r="B1020" s="4">
        <v>2.02429E7</v>
      </c>
      <c r="C1020" s="4">
        <v>7.63</v>
      </c>
      <c r="D1020" s="4">
        <v>133.5</v>
      </c>
    </row>
    <row r="1021" ht="22.5" customHeight="1">
      <c r="B1021" s="4">
        <v>2.0262903E7</v>
      </c>
      <c r="C1021" s="4">
        <v>7.63</v>
      </c>
      <c r="D1021" s="4">
        <v>133.4</v>
      </c>
    </row>
    <row r="1022" ht="22.5" customHeight="1">
      <c r="B1022" s="4">
        <v>2.0282906E7</v>
      </c>
      <c r="C1022" s="4">
        <v>7.62</v>
      </c>
      <c r="D1022" s="4">
        <v>133.4</v>
      </c>
    </row>
    <row r="1023" ht="22.5" customHeight="1">
      <c r="B1023" s="4">
        <v>2.0302909E7</v>
      </c>
      <c r="C1023" s="4">
        <v>7.62</v>
      </c>
      <c r="D1023" s="4">
        <v>133.5</v>
      </c>
    </row>
    <row r="1024" ht="22.5" customHeight="1">
      <c r="B1024" s="4">
        <v>2.0322912E7</v>
      </c>
      <c r="C1024" s="4">
        <v>7.62</v>
      </c>
      <c r="D1024" s="4">
        <v>133.4</v>
      </c>
    </row>
    <row r="1025" ht="22.5" customHeight="1">
      <c r="B1025" s="4">
        <v>2.0342915E7</v>
      </c>
      <c r="C1025" s="4">
        <v>7.62</v>
      </c>
      <c r="D1025" s="4">
        <v>133.4</v>
      </c>
    </row>
    <row r="1026" ht="22.5" customHeight="1">
      <c r="B1026" s="4">
        <v>2.0362917E7</v>
      </c>
      <c r="C1026" s="4">
        <v>7.62</v>
      </c>
      <c r="D1026" s="4">
        <v>133.3</v>
      </c>
    </row>
    <row r="1027" ht="22.5" customHeight="1">
      <c r="B1027" s="4">
        <v>2.0382921E7</v>
      </c>
      <c r="C1027" s="4">
        <v>7.62</v>
      </c>
      <c r="D1027" s="4">
        <v>133.3</v>
      </c>
    </row>
    <row r="1028" ht="22.5" customHeight="1">
      <c r="B1028" s="4">
        <v>2.0402924E7</v>
      </c>
      <c r="C1028" s="4">
        <v>7.62</v>
      </c>
      <c r="D1028" s="4">
        <v>133.4</v>
      </c>
    </row>
    <row r="1029" ht="22.5" customHeight="1">
      <c r="B1029" s="4">
        <v>2.0422927E7</v>
      </c>
      <c r="C1029" s="4">
        <v>7.62</v>
      </c>
      <c r="D1029" s="4">
        <v>133.3</v>
      </c>
    </row>
    <row r="1030" ht="22.5" customHeight="1">
      <c r="B1030" s="4">
        <v>2.044293E7</v>
      </c>
      <c r="C1030" s="4">
        <v>7.62</v>
      </c>
      <c r="D1030" s="4">
        <v>133.3</v>
      </c>
    </row>
    <row r="1031" ht="22.5" customHeight="1">
      <c r="B1031" s="4">
        <v>2.0462932E7</v>
      </c>
      <c r="C1031" s="4">
        <v>7.62</v>
      </c>
      <c r="D1031" s="4">
        <v>133.3</v>
      </c>
    </row>
    <row r="1032" ht="22.5" customHeight="1">
      <c r="B1032" s="4">
        <v>2.0482935E7</v>
      </c>
      <c r="C1032" s="4">
        <v>7.62</v>
      </c>
      <c r="D1032" s="4">
        <v>133.4</v>
      </c>
    </row>
    <row r="1033" ht="22.5" customHeight="1">
      <c r="B1033" s="4">
        <v>2.0502938E7</v>
      </c>
      <c r="C1033" s="4">
        <v>7.62</v>
      </c>
      <c r="D1033" s="4">
        <v>133.3</v>
      </c>
    </row>
    <row r="1034" ht="22.5" customHeight="1">
      <c r="B1034" s="4">
        <v>2.0522941E7</v>
      </c>
      <c r="C1034" s="4">
        <v>7.62</v>
      </c>
      <c r="D1034" s="4">
        <v>133.3</v>
      </c>
    </row>
    <row r="1035" ht="22.5" customHeight="1">
      <c r="B1035" s="4">
        <v>2.0542944E7</v>
      </c>
      <c r="C1035" s="4">
        <v>7.62</v>
      </c>
      <c r="D1035" s="4">
        <v>133.3</v>
      </c>
    </row>
    <row r="1036" ht="22.5" customHeight="1">
      <c r="B1036" s="4">
        <v>2.0562947E7</v>
      </c>
      <c r="C1036" s="4">
        <v>7.62</v>
      </c>
      <c r="D1036" s="4">
        <v>133.3</v>
      </c>
    </row>
    <row r="1037" ht="22.5" customHeight="1">
      <c r="B1037" s="4">
        <v>2.0582949E7</v>
      </c>
      <c r="C1037" s="4">
        <v>7.62</v>
      </c>
      <c r="D1037" s="4">
        <v>133.3</v>
      </c>
    </row>
    <row r="1038" ht="22.5" customHeight="1">
      <c r="B1038" s="4">
        <v>2.0602952E7</v>
      </c>
      <c r="C1038" s="4">
        <v>7.62</v>
      </c>
      <c r="D1038" s="4">
        <v>133.3</v>
      </c>
    </row>
    <row r="1039" ht="22.5" customHeight="1">
      <c r="B1039" s="4">
        <v>2.0622955E7</v>
      </c>
      <c r="C1039" s="4">
        <v>7.62</v>
      </c>
      <c r="D1039" s="4">
        <v>133.2</v>
      </c>
    </row>
    <row r="1040" ht="22.5" customHeight="1">
      <c r="B1040" s="4">
        <v>2.0642959E7</v>
      </c>
      <c r="C1040" s="4">
        <v>7.61</v>
      </c>
      <c r="D1040" s="4">
        <v>133.2</v>
      </c>
    </row>
    <row r="1041" ht="22.5" customHeight="1">
      <c r="B1041" s="4">
        <v>2.0662962E7</v>
      </c>
      <c r="C1041" s="4">
        <v>7.61</v>
      </c>
      <c r="D1041" s="4">
        <v>133.3</v>
      </c>
    </row>
    <row r="1042" ht="22.5" customHeight="1">
      <c r="B1042" s="4">
        <v>2.0682964E7</v>
      </c>
      <c r="C1042" s="4">
        <v>7.61</v>
      </c>
      <c r="D1042" s="4">
        <v>133.2</v>
      </c>
    </row>
    <row r="1043" ht="22.5" customHeight="1">
      <c r="B1043" s="4">
        <v>2.0702967E7</v>
      </c>
      <c r="C1043" s="4">
        <v>7.61</v>
      </c>
      <c r="D1043" s="4">
        <v>133.2</v>
      </c>
    </row>
    <row r="1044" ht="22.5" customHeight="1">
      <c r="B1044" s="4">
        <v>2.072297E7</v>
      </c>
      <c r="C1044" s="4">
        <v>7.61</v>
      </c>
      <c r="D1044" s="4">
        <v>133.2</v>
      </c>
    </row>
    <row r="1045" ht="22.5" customHeight="1">
      <c r="B1045" s="4">
        <v>2.0742973E7</v>
      </c>
      <c r="C1045" s="4">
        <v>7.61</v>
      </c>
      <c r="D1045" s="4">
        <v>133.1</v>
      </c>
    </row>
    <row r="1046" ht="22.5" customHeight="1">
      <c r="B1046" s="4">
        <v>2.0762976E7</v>
      </c>
      <c r="C1046" s="4">
        <v>7.61</v>
      </c>
      <c r="D1046" s="4">
        <v>133.1</v>
      </c>
    </row>
    <row r="1047" ht="22.5" customHeight="1">
      <c r="B1047" s="4">
        <v>2.0782979E7</v>
      </c>
      <c r="C1047" s="4">
        <v>7.6</v>
      </c>
      <c r="D1047" s="4">
        <v>133.0</v>
      </c>
    </row>
    <row r="1048" ht="22.5" customHeight="1">
      <c r="B1048" s="4">
        <v>2.0802981E7</v>
      </c>
      <c r="C1048" s="4">
        <v>7.6</v>
      </c>
      <c r="D1048" s="4">
        <v>132.9</v>
      </c>
    </row>
    <row r="1049" ht="22.5" customHeight="1">
      <c r="B1049" s="4">
        <v>2.0822984E7</v>
      </c>
      <c r="C1049" s="4">
        <v>7.6</v>
      </c>
      <c r="D1049" s="4">
        <v>132.9</v>
      </c>
    </row>
    <row r="1050" ht="22.5" customHeight="1">
      <c r="B1050" s="4">
        <v>2.0842987E7</v>
      </c>
      <c r="C1050" s="4">
        <v>7.6</v>
      </c>
      <c r="D1050" s="4">
        <v>132.9</v>
      </c>
    </row>
    <row r="1051" ht="22.5" customHeight="1">
      <c r="B1051" s="4">
        <v>2.086299E7</v>
      </c>
      <c r="C1051" s="4">
        <v>7.58</v>
      </c>
      <c r="D1051" s="4">
        <v>132.6</v>
      </c>
    </row>
    <row r="1052" ht="22.5" customHeight="1">
      <c r="B1052" s="4">
        <v>2.0882993E7</v>
      </c>
      <c r="C1052" s="4">
        <v>7.58</v>
      </c>
      <c r="D1052" s="4">
        <v>132.5</v>
      </c>
    </row>
    <row r="1053" ht="22.5" customHeight="1">
      <c r="B1053" s="4">
        <v>2.0902995E7</v>
      </c>
      <c r="C1053" s="4">
        <v>7.56</v>
      </c>
      <c r="D1053" s="4">
        <v>132.2</v>
      </c>
    </row>
    <row r="1054" ht="22.5" customHeight="1">
      <c r="B1054" s="4">
        <v>2.0922999E7</v>
      </c>
      <c r="C1054" s="4">
        <v>7.55</v>
      </c>
      <c r="D1054" s="4">
        <v>132.0</v>
      </c>
    </row>
    <row r="1055" ht="22.5" customHeight="1">
      <c r="B1055" s="4">
        <v>2.0943002E7</v>
      </c>
      <c r="C1055" s="4">
        <v>7.62</v>
      </c>
      <c r="D1055" s="4">
        <v>133.3</v>
      </c>
    </row>
    <row r="1056" ht="22.5" customHeight="1">
      <c r="B1056" s="4">
        <v>2.0963005E7</v>
      </c>
      <c r="C1056" s="4">
        <v>7.61</v>
      </c>
      <c r="D1056" s="4">
        <v>133.2</v>
      </c>
    </row>
    <row r="1057" ht="22.5" customHeight="1">
      <c r="B1057" s="4">
        <v>2.0983008E7</v>
      </c>
      <c r="C1057" s="4">
        <v>7.61</v>
      </c>
      <c r="D1057" s="4">
        <v>133.1</v>
      </c>
    </row>
    <row r="1058" ht="22.5" customHeight="1">
      <c r="B1058" s="4">
        <v>2.1003011E7</v>
      </c>
      <c r="C1058" s="4">
        <v>7.6</v>
      </c>
      <c r="D1058" s="4">
        <v>133.0</v>
      </c>
    </row>
    <row r="1059" ht="22.5" customHeight="1">
      <c r="B1059" s="4">
        <v>2.1023013E7</v>
      </c>
      <c r="C1059" s="4">
        <v>7.48</v>
      </c>
      <c r="D1059" s="4">
        <v>130.9</v>
      </c>
    </row>
    <row r="1060" ht="22.5" customHeight="1">
      <c r="B1060" s="4">
        <v>2.1043016E7</v>
      </c>
      <c r="C1060" s="4">
        <v>7.57</v>
      </c>
      <c r="D1060" s="4">
        <v>132.4</v>
      </c>
    </row>
    <row r="1061" ht="22.5" customHeight="1">
      <c r="B1061" s="4">
        <v>2.1063019E7</v>
      </c>
      <c r="C1061" s="4">
        <v>7.54</v>
      </c>
      <c r="D1061" s="4">
        <v>131.9</v>
      </c>
    </row>
    <row r="1062" ht="22.5" customHeight="1">
      <c r="B1062" s="4">
        <v>2.1083022E7</v>
      </c>
      <c r="C1062" s="4">
        <v>7.56</v>
      </c>
      <c r="D1062" s="4">
        <v>132.3</v>
      </c>
    </row>
    <row r="1063" ht="22.5" customHeight="1">
      <c r="B1063" s="4">
        <v>2.1103025E7</v>
      </c>
      <c r="C1063" s="4">
        <v>7.56</v>
      </c>
      <c r="D1063" s="4">
        <v>132.2</v>
      </c>
    </row>
    <row r="1064" ht="22.5" customHeight="1">
      <c r="B1064" s="4">
        <v>2.1123027E7</v>
      </c>
      <c r="C1064" s="4">
        <v>7.55</v>
      </c>
      <c r="D1064" s="4">
        <v>132.1</v>
      </c>
    </row>
    <row r="1065" ht="22.5" customHeight="1">
      <c r="B1065" s="4">
        <v>2.114303E7</v>
      </c>
      <c r="C1065" s="4">
        <v>7.58</v>
      </c>
      <c r="D1065" s="4">
        <v>132.5</v>
      </c>
    </row>
    <row r="1066" ht="22.5" customHeight="1">
      <c r="B1066" s="4">
        <v>2.1163033E7</v>
      </c>
      <c r="C1066" s="4">
        <v>7.53</v>
      </c>
      <c r="D1066" s="4">
        <v>131.7</v>
      </c>
    </row>
    <row r="1067" ht="22.5" customHeight="1">
      <c r="B1067" s="4">
        <v>2.1183036E7</v>
      </c>
      <c r="C1067" s="4">
        <v>7.52</v>
      </c>
      <c r="D1067" s="4">
        <v>131.5</v>
      </c>
    </row>
    <row r="1068" ht="22.5" customHeight="1">
      <c r="B1068" s="4">
        <v>2.120304E7</v>
      </c>
      <c r="C1068" s="4">
        <v>7.52</v>
      </c>
      <c r="D1068" s="4">
        <v>131.5</v>
      </c>
    </row>
    <row r="1069" ht="22.5" customHeight="1">
      <c r="B1069" s="4">
        <v>2.1223043E7</v>
      </c>
      <c r="C1069" s="4">
        <v>7.56</v>
      </c>
      <c r="D1069" s="4">
        <v>132.2</v>
      </c>
    </row>
    <row r="1070" ht="22.5" customHeight="1">
      <c r="B1070" s="4">
        <v>2.1243045E7</v>
      </c>
      <c r="C1070" s="4">
        <v>7.51</v>
      </c>
      <c r="D1070" s="4">
        <v>131.3</v>
      </c>
    </row>
    <row r="1071" ht="22.5" customHeight="1">
      <c r="B1071" s="4">
        <v>2.1263048E7</v>
      </c>
      <c r="C1071" s="4">
        <v>7.57</v>
      </c>
      <c r="D1071" s="4">
        <v>132.5</v>
      </c>
    </row>
    <row r="1072" ht="22.5" customHeight="1">
      <c r="B1072" s="4">
        <v>2.1283051E7</v>
      </c>
      <c r="C1072" s="4">
        <v>7.56</v>
      </c>
      <c r="D1072" s="4">
        <v>132.2</v>
      </c>
    </row>
    <row r="1073" ht="22.5" customHeight="1">
      <c r="B1073" s="4">
        <v>2.1303054E7</v>
      </c>
      <c r="C1073" s="4">
        <v>7.56</v>
      </c>
      <c r="D1073" s="4">
        <v>132.3</v>
      </c>
    </row>
    <row r="1074" ht="22.5" customHeight="1">
      <c r="B1074" s="4">
        <v>2.1323057E7</v>
      </c>
      <c r="C1074" s="4">
        <v>7.58</v>
      </c>
      <c r="D1074" s="4">
        <v>132.5</v>
      </c>
    </row>
    <row r="1075" ht="22.5" customHeight="1">
      <c r="B1075" s="4">
        <v>2.1343059E7</v>
      </c>
      <c r="C1075" s="4">
        <v>7.56</v>
      </c>
      <c r="D1075" s="4">
        <v>132.3</v>
      </c>
    </row>
    <row r="1076" ht="22.5" customHeight="1">
      <c r="B1076" s="4">
        <v>2.1363062E7</v>
      </c>
      <c r="C1076" s="4">
        <v>7.53</v>
      </c>
      <c r="D1076" s="4">
        <v>131.7</v>
      </c>
    </row>
    <row r="1077" ht="22.5" customHeight="1">
      <c r="B1077" s="4">
        <v>2.1383065E7</v>
      </c>
      <c r="C1077" s="4">
        <v>7.54</v>
      </c>
      <c r="D1077" s="4">
        <v>131.9</v>
      </c>
    </row>
    <row r="1078" ht="22.5" customHeight="1">
      <c r="B1078" s="4">
        <v>2.1403068E7</v>
      </c>
      <c r="C1078" s="4">
        <v>7.52</v>
      </c>
      <c r="D1078" s="4">
        <v>131.3</v>
      </c>
    </row>
    <row r="1079" ht="22.5" customHeight="1">
      <c r="B1079" s="4">
        <v>2.1423071E7</v>
      </c>
      <c r="C1079" s="4">
        <v>7.57</v>
      </c>
      <c r="D1079" s="4">
        <v>132.4</v>
      </c>
    </row>
    <row r="1080" ht="22.5" customHeight="1">
      <c r="B1080" s="4">
        <v>2.1443074E7</v>
      </c>
      <c r="C1080" s="4">
        <v>7.56</v>
      </c>
      <c r="D1080" s="4">
        <v>132.2</v>
      </c>
    </row>
    <row r="1081" ht="22.5" customHeight="1">
      <c r="B1081" s="4">
        <v>2.1463076E7</v>
      </c>
      <c r="C1081" s="4">
        <v>7.54</v>
      </c>
      <c r="D1081" s="4">
        <v>131.9</v>
      </c>
    </row>
    <row r="1082" ht="22.5" customHeight="1">
      <c r="B1082" s="4">
        <v>2.148308E7</v>
      </c>
      <c r="C1082" s="4">
        <v>7.55</v>
      </c>
      <c r="D1082" s="4">
        <v>132.1</v>
      </c>
    </row>
    <row r="1083" ht="22.5" customHeight="1">
      <c r="B1083" s="4">
        <v>2.1503083E7</v>
      </c>
      <c r="C1083" s="4">
        <v>7.55</v>
      </c>
      <c r="D1083" s="4">
        <v>132.1</v>
      </c>
    </row>
    <row r="1084" ht="22.5" customHeight="1">
      <c r="B1084" s="4">
        <v>2.1523086E7</v>
      </c>
      <c r="C1084" s="4">
        <v>7.56</v>
      </c>
      <c r="D1084" s="4">
        <v>132.2</v>
      </c>
    </row>
    <row r="1085" ht="22.5" customHeight="1">
      <c r="B1085" s="4">
        <v>2.1543089E7</v>
      </c>
      <c r="C1085" s="4">
        <v>7.56</v>
      </c>
      <c r="D1085" s="4">
        <v>132.2</v>
      </c>
    </row>
    <row r="1086" ht="22.5" customHeight="1">
      <c r="B1086" s="4">
        <v>2.1563091E7</v>
      </c>
      <c r="C1086" s="4">
        <v>7.55</v>
      </c>
      <c r="D1086" s="4">
        <v>132.1</v>
      </c>
    </row>
    <row r="1087" ht="22.5" customHeight="1">
      <c r="B1087" s="4">
        <v>2.1583094E7</v>
      </c>
      <c r="C1087" s="4">
        <v>7.54</v>
      </c>
      <c r="D1087" s="4">
        <v>132.0</v>
      </c>
    </row>
    <row r="1088" ht="22.5" customHeight="1">
      <c r="B1088" s="4">
        <v>2.1603097E7</v>
      </c>
      <c r="C1088" s="4">
        <v>7.55</v>
      </c>
      <c r="D1088" s="4">
        <v>132.0</v>
      </c>
    </row>
    <row r="1089" ht="22.5" customHeight="1">
      <c r="B1089" s="4">
        <v>2.16231E7</v>
      </c>
      <c r="C1089" s="4">
        <v>7.55</v>
      </c>
      <c r="D1089" s="4">
        <v>132.1</v>
      </c>
    </row>
    <row r="1090" ht="22.5" customHeight="1">
      <c r="B1090" s="4">
        <v>2.1643103E7</v>
      </c>
      <c r="C1090" s="4">
        <v>7.56</v>
      </c>
      <c r="D1090" s="4">
        <v>132.2</v>
      </c>
    </row>
    <row r="1091" ht="22.5" customHeight="1">
      <c r="B1091" s="4">
        <v>2.1663106E7</v>
      </c>
      <c r="C1091" s="4">
        <v>7.56</v>
      </c>
      <c r="D1091" s="4">
        <v>132.2</v>
      </c>
    </row>
    <row r="1092" ht="22.5" customHeight="1">
      <c r="B1092" s="4">
        <v>2.1683108E7</v>
      </c>
      <c r="C1092" s="4">
        <v>7.56</v>
      </c>
      <c r="D1092" s="4">
        <v>132.3</v>
      </c>
    </row>
    <row r="1093" ht="22.5" customHeight="1">
      <c r="B1093" s="4">
        <v>2.1703111E7</v>
      </c>
      <c r="C1093" s="4">
        <v>7.56</v>
      </c>
      <c r="D1093" s="4">
        <v>132.2</v>
      </c>
    </row>
    <row r="1094" ht="22.5" customHeight="1">
      <c r="B1094" s="4">
        <v>2.1723114E7</v>
      </c>
      <c r="C1094" s="4">
        <v>7.56</v>
      </c>
      <c r="D1094" s="4">
        <v>132.2</v>
      </c>
    </row>
    <row r="1095" ht="22.5" customHeight="1">
      <c r="B1095" s="4">
        <v>2.1743117E7</v>
      </c>
      <c r="C1095" s="4">
        <v>7.54</v>
      </c>
      <c r="D1095" s="4">
        <v>131.8</v>
      </c>
    </row>
    <row r="1096" ht="22.5" customHeight="1">
      <c r="B1096" s="4">
        <v>2.1763121E7</v>
      </c>
      <c r="C1096" s="4">
        <v>7.55</v>
      </c>
      <c r="D1096" s="4">
        <v>132.0</v>
      </c>
    </row>
    <row r="1097" ht="22.5" customHeight="1">
      <c r="B1097" s="4">
        <v>2.1783123E7</v>
      </c>
      <c r="C1097" s="4">
        <v>7.56</v>
      </c>
      <c r="D1097" s="4">
        <v>132.2</v>
      </c>
    </row>
    <row r="1098" ht="22.5" customHeight="1">
      <c r="B1098" s="4">
        <v>2.1803126E7</v>
      </c>
      <c r="C1098" s="4">
        <v>7.53</v>
      </c>
      <c r="D1098" s="4">
        <v>131.7</v>
      </c>
    </row>
    <row r="1099" ht="22.5" customHeight="1">
      <c r="B1099" s="4">
        <v>2.1823129E7</v>
      </c>
      <c r="C1099" s="4">
        <v>7.56</v>
      </c>
      <c r="D1099" s="4">
        <v>132.1</v>
      </c>
    </row>
    <row r="1100" ht="22.5" customHeight="1">
      <c r="B1100" s="4">
        <v>2.1843132E7</v>
      </c>
      <c r="C1100" s="4">
        <v>7.56</v>
      </c>
      <c r="D1100" s="4">
        <v>132.2</v>
      </c>
    </row>
    <row r="1101" ht="22.5" customHeight="1">
      <c r="B1101" s="4">
        <v>2.1863135E7</v>
      </c>
      <c r="C1101" s="4">
        <v>7.56</v>
      </c>
      <c r="D1101" s="4">
        <v>132.1</v>
      </c>
    </row>
    <row r="1102" ht="22.5" customHeight="1">
      <c r="B1102" s="4">
        <v>2.1883138E7</v>
      </c>
      <c r="C1102" s="4">
        <v>7.56</v>
      </c>
      <c r="D1102" s="4">
        <v>132.2</v>
      </c>
    </row>
    <row r="1103" ht="22.5" customHeight="1">
      <c r="B1103" s="4">
        <v>2.190314E7</v>
      </c>
      <c r="C1103" s="4">
        <v>7.56</v>
      </c>
      <c r="D1103" s="4">
        <v>132.2</v>
      </c>
    </row>
    <row r="1104" ht="22.5" customHeight="1">
      <c r="B1104" s="4">
        <v>2.1923143E7</v>
      </c>
      <c r="C1104" s="4">
        <v>7.55</v>
      </c>
      <c r="D1104" s="4">
        <v>132.1</v>
      </c>
    </row>
    <row r="1105" ht="22.5" customHeight="1">
      <c r="B1105" s="4">
        <v>2.1943146E7</v>
      </c>
      <c r="C1105" s="4">
        <v>7.54</v>
      </c>
      <c r="D1105" s="4">
        <v>131.9</v>
      </c>
    </row>
    <row r="1106" ht="22.5" customHeight="1">
      <c r="B1106" s="4">
        <v>2.1963149E7</v>
      </c>
      <c r="C1106" s="4">
        <v>7.54</v>
      </c>
      <c r="D1106" s="4">
        <v>131.9</v>
      </c>
    </row>
    <row r="1107" ht="22.5" customHeight="1">
      <c r="B1107" s="4">
        <v>2.1983152E7</v>
      </c>
      <c r="C1107" s="4">
        <v>7.53</v>
      </c>
      <c r="D1107" s="4">
        <v>131.7</v>
      </c>
    </row>
    <row r="1108" ht="22.5" customHeight="1">
      <c r="B1108" s="4">
        <v>2.2003154E7</v>
      </c>
      <c r="C1108" s="4">
        <v>7.55</v>
      </c>
      <c r="D1108" s="4">
        <v>132.1</v>
      </c>
    </row>
    <row r="1109" ht="22.5" customHeight="1">
      <c r="B1109" s="4">
        <v>2.2023157E7</v>
      </c>
      <c r="C1109" s="4">
        <v>7.55</v>
      </c>
      <c r="D1109" s="4">
        <v>132.0</v>
      </c>
    </row>
    <row r="1110" ht="22.5" customHeight="1">
      <c r="B1110" s="4">
        <v>2.2043161E7</v>
      </c>
      <c r="C1110" s="4">
        <v>7.52</v>
      </c>
      <c r="D1110" s="4">
        <v>131.4</v>
      </c>
    </row>
    <row r="1111" ht="22.5" customHeight="1">
      <c r="B1111" s="4">
        <v>2.2063164E7</v>
      </c>
      <c r="C1111" s="4">
        <v>7.54</v>
      </c>
      <c r="D1111" s="4">
        <v>131.8</v>
      </c>
    </row>
    <row r="1112" ht="22.5" customHeight="1">
      <c r="B1112" s="4">
        <v>2.2083167E7</v>
      </c>
      <c r="C1112" s="4">
        <v>7.52</v>
      </c>
      <c r="D1112" s="4">
        <v>131.6</v>
      </c>
    </row>
    <row r="1113" ht="22.5" customHeight="1">
      <c r="B1113" s="4">
        <v>2.210317E7</v>
      </c>
      <c r="C1113" s="4">
        <v>7.56</v>
      </c>
      <c r="D1113" s="4">
        <v>132.1</v>
      </c>
    </row>
    <row r="1114" ht="22.5" customHeight="1">
      <c r="B1114" s="4">
        <v>2.2123172E7</v>
      </c>
      <c r="C1114" s="4">
        <v>7.56</v>
      </c>
      <c r="D1114" s="4">
        <v>132.2</v>
      </c>
    </row>
    <row r="1115" ht="22.5" customHeight="1">
      <c r="B1115" s="4">
        <v>2.2143175E7</v>
      </c>
      <c r="C1115" s="4">
        <v>7.57</v>
      </c>
      <c r="D1115" s="4">
        <v>132.4</v>
      </c>
    </row>
    <row r="1116" ht="22.5" customHeight="1">
      <c r="B1116" s="4">
        <v>2.2163178E7</v>
      </c>
      <c r="C1116" s="4">
        <v>7.57</v>
      </c>
      <c r="D1116" s="4">
        <v>132.4</v>
      </c>
    </row>
    <row r="1117" ht="22.5" customHeight="1">
      <c r="B1117" s="4">
        <v>2.2183181E7</v>
      </c>
      <c r="C1117" s="4">
        <v>7.56</v>
      </c>
      <c r="D1117" s="4">
        <v>132.3</v>
      </c>
    </row>
    <row r="1118" ht="22.5" customHeight="1">
      <c r="B1118" s="4">
        <v>2.2203184E7</v>
      </c>
      <c r="C1118" s="4">
        <v>7.56</v>
      </c>
      <c r="D1118" s="4">
        <v>132.3</v>
      </c>
    </row>
    <row r="1119" ht="22.5" customHeight="1">
      <c r="B1119" s="4">
        <v>2.2223186E7</v>
      </c>
      <c r="C1119" s="4">
        <v>7.56</v>
      </c>
      <c r="D1119" s="4">
        <v>132.3</v>
      </c>
    </row>
    <row r="1120" ht="22.5" customHeight="1">
      <c r="B1120" s="4">
        <v>2.2243189E7</v>
      </c>
      <c r="C1120" s="4">
        <v>7.56</v>
      </c>
      <c r="D1120" s="4">
        <v>132.2</v>
      </c>
    </row>
    <row r="1121" ht="22.5" customHeight="1">
      <c r="B1121" s="4">
        <v>2.2263192E7</v>
      </c>
      <c r="C1121" s="4">
        <v>7.56</v>
      </c>
      <c r="D1121" s="4">
        <v>132.2</v>
      </c>
    </row>
    <row r="1122" ht="22.5" customHeight="1">
      <c r="B1122" s="4">
        <v>2.2283195E7</v>
      </c>
      <c r="C1122" s="4">
        <v>7.56</v>
      </c>
      <c r="D1122" s="4">
        <v>132.2</v>
      </c>
    </row>
    <row r="1123" ht="22.5" customHeight="1">
      <c r="B1123" s="4">
        <v>2.2303199E7</v>
      </c>
      <c r="C1123" s="4">
        <v>7.56</v>
      </c>
      <c r="D1123" s="4">
        <v>132.2</v>
      </c>
    </row>
    <row r="1124" ht="22.5" customHeight="1">
      <c r="B1124" s="4">
        <v>2.2323202E7</v>
      </c>
      <c r="C1124" s="4">
        <v>7.55</v>
      </c>
      <c r="D1124" s="4">
        <v>132.1</v>
      </c>
    </row>
    <row r="1125" ht="22.5" customHeight="1">
      <c r="B1125" s="4">
        <v>2.2343204E7</v>
      </c>
      <c r="C1125" s="4">
        <v>7.55</v>
      </c>
      <c r="D1125" s="4">
        <v>132.1</v>
      </c>
    </row>
    <row r="1126" ht="22.5" customHeight="1">
      <c r="B1126" s="4">
        <v>2.2363207E7</v>
      </c>
      <c r="C1126" s="4">
        <v>7.56</v>
      </c>
      <c r="D1126" s="4">
        <v>132.2</v>
      </c>
    </row>
    <row r="1127" ht="22.5" customHeight="1">
      <c r="B1127" s="4">
        <v>2.238321E7</v>
      </c>
      <c r="C1127" s="4">
        <v>7.55</v>
      </c>
      <c r="D1127" s="4">
        <v>132.0</v>
      </c>
    </row>
    <row r="1128" ht="22.5" customHeight="1">
      <c r="B1128" s="4">
        <v>2.2403213E7</v>
      </c>
      <c r="C1128" s="4">
        <v>7.55</v>
      </c>
      <c r="D1128" s="4">
        <v>132.1</v>
      </c>
    </row>
    <row r="1129" ht="22.5" customHeight="1">
      <c r="B1129" s="4">
        <v>2.2423216E7</v>
      </c>
      <c r="C1129" s="4">
        <v>7.55</v>
      </c>
      <c r="D1129" s="4">
        <v>132.0</v>
      </c>
    </row>
    <row r="1130" ht="22.5" customHeight="1">
      <c r="B1130" s="4">
        <v>2.2443218E7</v>
      </c>
      <c r="C1130" s="4">
        <v>7.54</v>
      </c>
      <c r="D1130" s="4">
        <v>131.8</v>
      </c>
    </row>
    <row r="1131" ht="22.5" customHeight="1">
      <c r="B1131" s="4">
        <v>2.2463221E7</v>
      </c>
      <c r="C1131" s="4">
        <v>7.53</v>
      </c>
      <c r="D1131" s="4">
        <v>131.6</v>
      </c>
    </row>
    <row r="1132" ht="22.5" customHeight="1">
      <c r="B1132" s="4">
        <v>2.2483224E7</v>
      </c>
      <c r="C1132" s="4">
        <v>7.54</v>
      </c>
      <c r="D1132" s="4">
        <v>131.8</v>
      </c>
    </row>
    <row r="1133" ht="22.5" customHeight="1">
      <c r="B1133" s="4">
        <v>2.2503227E7</v>
      </c>
      <c r="C1133" s="4">
        <v>7.54</v>
      </c>
      <c r="D1133" s="4">
        <v>131.9</v>
      </c>
    </row>
    <row r="1134" ht="22.5" customHeight="1">
      <c r="B1134" s="4">
        <v>2.252323E7</v>
      </c>
      <c r="C1134" s="4">
        <v>7.54</v>
      </c>
      <c r="D1134" s="4">
        <v>131.9</v>
      </c>
    </row>
    <row r="1135" ht="22.5" customHeight="1">
      <c r="B1135" s="4">
        <v>2.2543233E7</v>
      </c>
      <c r="C1135" s="4">
        <v>7.54</v>
      </c>
      <c r="D1135" s="4">
        <v>131.9</v>
      </c>
    </row>
    <row r="1136" ht="22.5" customHeight="1">
      <c r="B1136" s="4">
        <v>2.2563235E7</v>
      </c>
      <c r="C1136" s="4">
        <v>7.55</v>
      </c>
      <c r="D1136" s="4">
        <v>132.1</v>
      </c>
    </row>
    <row r="1137" ht="22.5" customHeight="1">
      <c r="B1137" s="4">
        <v>2.2583239E7</v>
      </c>
      <c r="C1137" s="4">
        <v>7.55</v>
      </c>
      <c r="D1137" s="4">
        <v>132.0</v>
      </c>
    </row>
    <row r="1138" ht="22.5" customHeight="1">
      <c r="B1138" s="4">
        <v>2.2603242E7</v>
      </c>
      <c r="C1138" s="4">
        <v>7.56</v>
      </c>
      <c r="D1138" s="4">
        <v>132.2</v>
      </c>
    </row>
    <row r="1139" ht="22.5" customHeight="1">
      <c r="B1139" s="4">
        <v>2.2623245E7</v>
      </c>
      <c r="C1139" s="4">
        <v>7.55</v>
      </c>
      <c r="D1139" s="4">
        <v>132.0</v>
      </c>
    </row>
    <row r="1140" ht="22.5" customHeight="1">
      <c r="B1140" s="4">
        <v>2.2643248E7</v>
      </c>
      <c r="C1140" s="4">
        <v>7.54</v>
      </c>
      <c r="D1140" s="4">
        <v>131.9</v>
      </c>
    </row>
    <row r="1141" ht="22.5" customHeight="1">
      <c r="B1141" s="4">
        <v>2.266325E7</v>
      </c>
      <c r="C1141" s="4">
        <v>7.54</v>
      </c>
      <c r="D1141" s="4">
        <v>131.8</v>
      </c>
    </row>
    <row r="1142" ht="22.5" customHeight="1">
      <c r="B1142" s="4">
        <v>2.2683253E7</v>
      </c>
      <c r="C1142" s="4">
        <v>7.54</v>
      </c>
      <c r="D1142" s="4">
        <v>131.8</v>
      </c>
    </row>
    <row r="1143" ht="22.5" customHeight="1">
      <c r="B1143" s="4">
        <v>2.2703256E7</v>
      </c>
      <c r="C1143" s="4">
        <v>7.54</v>
      </c>
      <c r="D1143" s="4">
        <v>131.8</v>
      </c>
    </row>
    <row r="1144" ht="22.5" customHeight="1">
      <c r="B1144" s="4">
        <v>2.2723259E7</v>
      </c>
      <c r="C1144" s="4">
        <v>7.54</v>
      </c>
      <c r="D1144" s="4">
        <v>131.8</v>
      </c>
    </row>
    <row r="1145" ht="22.5" customHeight="1">
      <c r="B1145" s="4">
        <v>2.2743262E7</v>
      </c>
      <c r="C1145" s="4">
        <v>7.54</v>
      </c>
      <c r="D1145" s="4">
        <v>131.9</v>
      </c>
    </row>
    <row r="1146" ht="22.5" customHeight="1">
      <c r="B1146" s="4">
        <v>2.2763265E7</v>
      </c>
      <c r="C1146" s="4">
        <v>7.53</v>
      </c>
      <c r="D1146" s="4">
        <v>131.7</v>
      </c>
    </row>
    <row r="1147" ht="22.5" customHeight="1">
      <c r="B1147" s="4">
        <v>2.2783267E7</v>
      </c>
      <c r="C1147" s="4">
        <v>7.52</v>
      </c>
      <c r="D1147" s="4">
        <v>131.5</v>
      </c>
    </row>
    <row r="1148" ht="22.5" customHeight="1">
      <c r="B1148" s="4">
        <v>2.280327E7</v>
      </c>
      <c r="C1148" s="4">
        <v>7.52</v>
      </c>
      <c r="D1148" s="4">
        <v>131.5</v>
      </c>
    </row>
    <row r="1149" ht="22.5" customHeight="1">
      <c r="B1149" s="4">
        <v>2.2823273E7</v>
      </c>
      <c r="C1149" s="4">
        <v>7.52</v>
      </c>
      <c r="D1149" s="4">
        <v>131.6</v>
      </c>
    </row>
    <row r="1150" ht="22.5" customHeight="1">
      <c r="B1150" s="4">
        <v>2.2843276E7</v>
      </c>
      <c r="C1150" s="4">
        <v>7.53</v>
      </c>
      <c r="D1150" s="4">
        <v>131.7</v>
      </c>
    </row>
    <row r="1151" ht="22.5" customHeight="1">
      <c r="B1151" s="4">
        <v>2.286328E7</v>
      </c>
      <c r="C1151" s="4">
        <v>7.52</v>
      </c>
      <c r="D1151" s="4">
        <v>131.5</v>
      </c>
    </row>
    <row r="1152" ht="22.5" customHeight="1">
      <c r="B1152" s="4">
        <v>2.2883282E7</v>
      </c>
      <c r="C1152" s="4">
        <v>7.53</v>
      </c>
      <c r="D1152" s="4">
        <v>131.7</v>
      </c>
    </row>
    <row r="1153" ht="22.5" customHeight="1">
      <c r="B1153" s="4">
        <v>2.2903285E7</v>
      </c>
      <c r="C1153" s="4">
        <v>7.54</v>
      </c>
      <c r="D1153" s="4">
        <v>131.8</v>
      </c>
    </row>
    <row r="1154" ht="22.5" customHeight="1">
      <c r="B1154" s="4">
        <v>2.2923288E7</v>
      </c>
      <c r="C1154" s="4">
        <v>7.54</v>
      </c>
      <c r="D1154" s="4">
        <v>131.9</v>
      </c>
    </row>
    <row r="1155" ht="22.5" customHeight="1">
      <c r="B1155" s="4">
        <v>2.2943291E7</v>
      </c>
      <c r="C1155" s="4">
        <v>7.54</v>
      </c>
      <c r="D1155" s="4">
        <v>131.9</v>
      </c>
    </row>
    <row r="1156" ht="22.5" customHeight="1">
      <c r="B1156" s="4">
        <v>2.2963294E7</v>
      </c>
      <c r="C1156" s="4">
        <v>7.54</v>
      </c>
      <c r="D1156" s="4">
        <v>132.0</v>
      </c>
    </row>
    <row r="1157" ht="22.5" customHeight="1">
      <c r="B1157" s="4">
        <v>2.2983297E7</v>
      </c>
      <c r="C1157" s="4">
        <v>7.54</v>
      </c>
      <c r="D1157" s="4">
        <v>131.9</v>
      </c>
    </row>
    <row r="1158" ht="22.5" customHeight="1">
      <c r="B1158" s="4">
        <v>2.3003299E7</v>
      </c>
      <c r="C1158" s="4">
        <v>7.54</v>
      </c>
      <c r="D1158" s="4">
        <v>132.0</v>
      </c>
    </row>
    <row r="1159" ht="22.5" customHeight="1">
      <c r="B1159" s="4">
        <v>2.3023302E7</v>
      </c>
      <c r="C1159" s="4">
        <v>7.54</v>
      </c>
      <c r="D1159" s="4">
        <v>131.8</v>
      </c>
    </row>
    <row r="1160" ht="22.5" customHeight="1">
      <c r="B1160" s="4">
        <v>2.3043305E7</v>
      </c>
      <c r="C1160" s="4">
        <v>7.53</v>
      </c>
      <c r="D1160" s="4">
        <v>131.7</v>
      </c>
    </row>
    <row r="1161" ht="22.5" customHeight="1">
      <c r="B1161" s="4">
        <v>2.3063308E7</v>
      </c>
      <c r="C1161" s="4">
        <v>7.53</v>
      </c>
      <c r="D1161" s="4">
        <v>131.7</v>
      </c>
    </row>
    <row r="1162" ht="22.5" customHeight="1">
      <c r="B1162" s="4">
        <v>2.3083311E7</v>
      </c>
      <c r="C1162" s="4">
        <v>7.55</v>
      </c>
      <c r="D1162" s="4">
        <v>131.9</v>
      </c>
    </row>
    <row r="1163" ht="22.5" customHeight="1">
      <c r="B1163" s="4">
        <v>2.3103313E7</v>
      </c>
      <c r="C1163" s="4">
        <v>7.55</v>
      </c>
      <c r="D1163" s="4">
        <v>132.1</v>
      </c>
    </row>
    <row r="1164" ht="22.5" customHeight="1">
      <c r="B1164" s="4">
        <v>2.3123316E7</v>
      </c>
      <c r="C1164" s="4">
        <v>7.54</v>
      </c>
      <c r="D1164" s="4">
        <v>132.0</v>
      </c>
    </row>
    <row r="1165" ht="22.5" customHeight="1">
      <c r="B1165" s="4">
        <v>2.314332E7</v>
      </c>
      <c r="C1165" s="4">
        <v>7.5</v>
      </c>
      <c r="D1165" s="4">
        <v>131.1</v>
      </c>
    </row>
    <row r="1166" ht="22.5" customHeight="1">
      <c r="B1166" s="4">
        <v>2.3163323E7</v>
      </c>
      <c r="C1166" s="4">
        <v>7.54</v>
      </c>
      <c r="D1166" s="4">
        <v>132.0</v>
      </c>
    </row>
    <row r="1167" ht="22.5" customHeight="1">
      <c r="B1167" s="4">
        <v>2.3183326E7</v>
      </c>
      <c r="C1167" s="4">
        <v>7.54</v>
      </c>
      <c r="D1167" s="4">
        <v>131.9</v>
      </c>
    </row>
    <row r="1168" ht="22.5" customHeight="1">
      <c r="B1168" s="4">
        <v>2.3203329E7</v>
      </c>
      <c r="C1168" s="4">
        <v>7.54</v>
      </c>
      <c r="D1168" s="4">
        <v>131.9</v>
      </c>
    </row>
    <row r="1169" ht="22.5" customHeight="1">
      <c r="B1169" s="4">
        <v>2.3223331E7</v>
      </c>
      <c r="C1169" s="4">
        <v>7.54</v>
      </c>
      <c r="D1169" s="4">
        <v>131.8</v>
      </c>
    </row>
    <row r="1170" ht="22.5" customHeight="1">
      <c r="B1170" s="4">
        <v>2.3243334E7</v>
      </c>
      <c r="C1170" s="4">
        <v>7.52</v>
      </c>
      <c r="D1170" s="4">
        <v>131.6</v>
      </c>
    </row>
    <row r="1171" ht="22.5" customHeight="1">
      <c r="B1171" s="4">
        <v>2.3263337E7</v>
      </c>
      <c r="C1171" s="4">
        <v>7.53</v>
      </c>
      <c r="D1171" s="4">
        <v>131.6</v>
      </c>
    </row>
    <row r="1172" ht="22.5" customHeight="1">
      <c r="B1172" s="4">
        <v>2.328334E7</v>
      </c>
      <c r="C1172" s="4">
        <v>7.53</v>
      </c>
      <c r="D1172" s="4">
        <v>131.7</v>
      </c>
    </row>
    <row r="1173" ht="22.5" customHeight="1">
      <c r="B1173" s="4">
        <v>2.3303343E7</v>
      </c>
      <c r="C1173" s="4">
        <v>7.53</v>
      </c>
      <c r="D1173" s="4">
        <v>131.7</v>
      </c>
    </row>
    <row r="1174" ht="22.5" customHeight="1">
      <c r="B1174" s="4">
        <v>2.3323345E7</v>
      </c>
      <c r="C1174" s="4">
        <v>7.52</v>
      </c>
      <c r="D1174" s="4">
        <v>131.5</v>
      </c>
    </row>
    <row r="1175" ht="22.5" customHeight="1">
      <c r="B1175" s="4">
        <v>2.3343348E7</v>
      </c>
      <c r="C1175" s="4">
        <v>7.51</v>
      </c>
      <c r="D1175" s="4">
        <v>131.2</v>
      </c>
    </row>
    <row r="1176" ht="22.5" customHeight="1">
      <c r="B1176" s="4">
        <v>2.3363351E7</v>
      </c>
      <c r="C1176" s="4">
        <v>7.5</v>
      </c>
      <c r="D1176" s="4">
        <v>131.1</v>
      </c>
    </row>
    <row r="1177" ht="22.5" customHeight="1">
      <c r="B1177" s="4">
        <v>2.3383354E7</v>
      </c>
      <c r="C1177" s="4">
        <v>7.49</v>
      </c>
      <c r="D1177" s="4">
        <v>131.0</v>
      </c>
    </row>
    <row r="1178" ht="22.5" customHeight="1">
      <c r="B1178" s="4">
        <v>2.3403357E7</v>
      </c>
      <c r="C1178" s="4">
        <v>7.46</v>
      </c>
      <c r="D1178" s="4">
        <v>130.4</v>
      </c>
    </row>
    <row r="1179" ht="22.5" customHeight="1">
      <c r="B1179" s="4">
        <v>2.3423361E7</v>
      </c>
      <c r="C1179" s="4">
        <v>7.53</v>
      </c>
      <c r="D1179" s="4">
        <v>131.7</v>
      </c>
    </row>
    <row r="1180" ht="22.5" customHeight="1">
      <c r="B1180" s="4">
        <v>2.3443363E7</v>
      </c>
      <c r="C1180" s="4">
        <v>7.53</v>
      </c>
      <c r="D1180" s="4">
        <v>131.6</v>
      </c>
    </row>
    <row r="1181" ht="22.5" customHeight="1">
      <c r="B1181" s="4">
        <v>2.3463366E7</v>
      </c>
      <c r="C1181" s="4">
        <v>7.54</v>
      </c>
      <c r="D1181" s="4">
        <v>131.8</v>
      </c>
    </row>
    <row r="1182" ht="22.5" customHeight="1">
      <c r="B1182" s="4">
        <v>2.3483369E7</v>
      </c>
      <c r="C1182" s="4">
        <v>7.48</v>
      </c>
      <c r="D1182" s="4">
        <v>130.9</v>
      </c>
    </row>
    <row r="1183" ht="22.5" customHeight="1">
      <c r="B1183" s="4">
        <v>2.3503372E7</v>
      </c>
      <c r="C1183" s="4">
        <v>7.55</v>
      </c>
      <c r="D1183" s="4">
        <v>132.0</v>
      </c>
    </row>
    <row r="1184" ht="22.5" customHeight="1">
      <c r="B1184" s="4">
        <v>2.3523375E7</v>
      </c>
      <c r="C1184" s="4">
        <v>7.55</v>
      </c>
      <c r="D1184" s="4">
        <v>132.1</v>
      </c>
    </row>
    <row r="1185" ht="22.5" customHeight="1">
      <c r="B1185" s="4">
        <v>2.3543377E7</v>
      </c>
      <c r="C1185" s="4">
        <v>7.5</v>
      </c>
      <c r="D1185" s="4">
        <v>131.0</v>
      </c>
    </row>
    <row r="1186" ht="22.5" customHeight="1">
      <c r="B1186" s="4">
        <v>2.356338E7</v>
      </c>
      <c r="C1186" s="4">
        <v>7.52</v>
      </c>
      <c r="D1186" s="4">
        <v>131.6</v>
      </c>
    </row>
    <row r="1187" ht="22.5" customHeight="1">
      <c r="B1187" s="4">
        <v>2.3583383E7</v>
      </c>
      <c r="C1187" s="4">
        <v>7.52</v>
      </c>
      <c r="D1187" s="4">
        <v>131.5</v>
      </c>
    </row>
    <row r="1188" ht="22.5" customHeight="1">
      <c r="B1188" s="4">
        <v>2.3603386E7</v>
      </c>
      <c r="C1188" s="4">
        <v>7.53</v>
      </c>
      <c r="D1188" s="4">
        <v>131.7</v>
      </c>
    </row>
    <row r="1189" ht="22.5" customHeight="1">
      <c r="B1189" s="4">
        <v>2.3623389E7</v>
      </c>
      <c r="C1189" s="4">
        <v>7.57</v>
      </c>
      <c r="D1189" s="4">
        <v>132.4</v>
      </c>
    </row>
    <row r="1190" ht="22.5" customHeight="1">
      <c r="B1190" s="4">
        <v>2.3643392E7</v>
      </c>
      <c r="C1190" s="4">
        <v>7.57</v>
      </c>
      <c r="D1190" s="4">
        <v>132.4</v>
      </c>
    </row>
    <row r="1191" ht="22.5" customHeight="1">
      <c r="B1191" s="4">
        <v>2.3663394E7</v>
      </c>
      <c r="C1191" s="4">
        <v>7.57</v>
      </c>
      <c r="D1191" s="4">
        <v>132.3</v>
      </c>
    </row>
    <row r="1192" ht="22.5" customHeight="1">
      <c r="B1192" s="4">
        <v>2.3683397E7</v>
      </c>
      <c r="C1192" s="4">
        <v>7.56</v>
      </c>
      <c r="D1192" s="4">
        <v>132.3</v>
      </c>
    </row>
    <row r="1193" ht="22.5" customHeight="1">
      <c r="B1193" s="4">
        <v>2.3703401E7</v>
      </c>
      <c r="C1193" s="4">
        <v>7.56</v>
      </c>
      <c r="D1193" s="4">
        <v>132.3</v>
      </c>
    </row>
    <row r="1194" ht="22.5" customHeight="1">
      <c r="B1194" s="4">
        <v>2.3723404E7</v>
      </c>
      <c r="C1194" s="4">
        <v>7.56</v>
      </c>
      <c r="D1194" s="4">
        <v>132.2</v>
      </c>
    </row>
    <row r="1195" ht="22.5" customHeight="1">
      <c r="B1195" s="4">
        <v>2.3743407E7</v>
      </c>
      <c r="C1195" s="4">
        <v>7.56</v>
      </c>
      <c r="D1195" s="4">
        <v>132.1</v>
      </c>
    </row>
    <row r="1196" ht="22.5" customHeight="1">
      <c r="B1196" s="4">
        <v>2.3763409E7</v>
      </c>
      <c r="C1196" s="4">
        <v>7.55</v>
      </c>
      <c r="D1196" s="4">
        <v>132.0</v>
      </c>
    </row>
    <row r="1197" ht="22.5" customHeight="1">
      <c r="B1197" s="4">
        <v>2.3783412E7</v>
      </c>
      <c r="C1197" s="4">
        <v>7.54</v>
      </c>
      <c r="D1197" s="4">
        <v>131.9</v>
      </c>
    </row>
    <row r="1198" ht="22.5" customHeight="1">
      <c r="B1198" s="4">
        <v>2.3803415E7</v>
      </c>
      <c r="C1198" s="4">
        <v>7.54</v>
      </c>
      <c r="D1198" s="4">
        <v>131.9</v>
      </c>
    </row>
    <row r="1199" ht="22.5" customHeight="1">
      <c r="B1199" s="4">
        <v>2.3823418E7</v>
      </c>
      <c r="C1199" s="4">
        <v>7.54</v>
      </c>
      <c r="D1199" s="4">
        <v>131.9</v>
      </c>
    </row>
    <row r="1200" ht="22.5" customHeight="1">
      <c r="B1200" s="4">
        <v>2.3843421E7</v>
      </c>
      <c r="C1200" s="4">
        <v>7.53</v>
      </c>
      <c r="D1200" s="4">
        <v>131.7</v>
      </c>
    </row>
    <row r="1201" ht="22.5" customHeight="1">
      <c r="B1201" s="4">
        <v>2.3863424E7</v>
      </c>
      <c r="C1201" s="4">
        <v>7.53</v>
      </c>
      <c r="D1201" s="4">
        <v>131.6</v>
      </c>
    </row>
    <row r="1202" ht="22.5" customHeight="1">
      <c r="B1202" s="4">
        <v>2.3883426E7</v>
      </c>
      <c r="C1202" s="4">
        <v>7.5</v>
      </c>
      <c r="D1202" s="4">
        <v>131.2</v>
      </c>
    </row>
    <row r="1203" ht="22.5" customHeight="1">
      <c r="B1203" s="4">
        <v>2.3903429E7</v>
      </c>
      <c r="C1203" s="4">
        <v>7.52</v>
      </c>
      <c r="D1203" s="4">
        <v>131.6</v>
      </c>
    </row>
    <row r="1204" ht="22.5" customHeight="1">
      <c r="B1204" s="4">
        <v>2.3923432E7</v>
      </c>
      <c r="C1204" s="4">
        <v>7.45</v>
      </c>
      <c r="D1204" s="4">
        <v>130.2</v>
      </c>
    </row>
    <row r="1205" ht="22.5" customHeight="1">
      <c r="B1205" s="4">
        <v>2.3943435E7</v>
      </c>
      <c r="C1205" s="4">
        <v>7.53</v>
      </c>
      <c r="D1205" s="4">
        <v>131.6</v>
      </c>
    </row>
    <row r="1206" ht="22.5" customHeight="1">
      <c r="B1206" s="4">
        <v>2.3963438E7</v>
      </c>
      <c r="C1206" s="4">
        <v>7.56</v>
      </c>
      <c r="D1206" s="4">
        <v>132.3</v>
      </c>
    </row>
    <row r="1207" ht="22.5" customHeight="1">
      <c r="B1207" s="4">
        <v>2.3983441E7</v>
      </c>
      <c r="C1207" s="4">
        <v>7.56</v>
      </c>
      <c r="D1207" s="4">
        <v>132.3</v>
      </c>
    </row>
    <row r="1208" ht="22.5" customHeight="1">
      <c r="B1208" s="4">
        <v>2.4003444E7</v>
      </c>
      <c r="C1208" s="4">
        <v>7.57</v>
      </c>
      <c r="D1208" s="4">
        <v>132.3</v>
      </c>
    </row>
    <row r="1209" ht="22.5" customHeight="1">
      <c r="B1209" s="4">
        <v>2.4023447E7</v>
      </c>
      <c r="C1209" s="4">
        <v>7.56</v>
      </c>
      <c r="D1209" s="4">
        <v>132.1</v>
      </c>
    </row>
    <row r="1210" ht="22.5" customHeight="1">
      <c r="B1210" s="4">
        <v>2.404345E7</v>
      </c>
      <c r="C1210" s="4">
        <v>7.56</v>
      </c>
      <c r="D1210" s="4">
        <v>132.3</v>
      </c>
    </row>
    <row r="1211" ht="22.5" customHeight="1">
      <c r="B1211" s="4">
        <v>2.4063453E7</v>
      </c>
      <c r="C1211" s="4">
        <v>7.56</v>
      </c>
      <c r="D1211" s="4">
        <v>132.2</v>
      </c>
    </row>
    <row r="1212" ht="22.5" customHeight="1">
      <c r="B1212" s="4">
        <v>2.4083456E7</v>
      </c>
      <c r="C1212" s="4">
        <v>7.56</v>
      </c>
      <c r="D1212" s="4">
        <v>132.3</v>
      </c>
    </row>
    <row r="1213" ht="22.5" customHeight="1">
      <c r="B1213" s="4">
        <v>2.4103458E7</v>
      </c>
      <c r="C1213" s="4">
        <v>7.56</v>
      </c>
      <c r="D1213" s="4">
        <v>132.2</v>
      </c>
    </row>
    <row r="1214" ht="22.5" customHeight="1">
      <c r="B1214" s="4">
        <v>2.4123461E7</v>
      </c>
      <c r="C1214" s="4">
        <v>7.56</v>
      </c>
      <c r="D1214" s="4">
        <v>132.2</v>
      </c>
    </row>
    <row r="1215" ht="22.5" customHeight="1">
      <c r="B1215" s="4">
        <v>2.4143464E7</v>
      </c>
      <c r="C1215" s="4">
        <v>7.56</v>
      </c>
      <c r="D1215" s="4">
        <v>132.2</v>
      </c>
    </row>
    <row r="1216" ht="22.5" customHeight="1">
      <c r="B1216" s="4">
        <v>2.4163467E7</v>
      </c>
      <c r="C1216" s="4">
        <v>7.56</v>
      </c>
      <c r="D1216" s="4">
        <v>132.2</v>
      </c>
    </row>
    <row r="1217" ht="22.5" customHeight="1">
      <c r="B1217" s="4">
        <v>2.418347E7</v>
      </c>
      <c r="C1217" s="4">
        <v>7.55</v>
      </c>
      <c r="D1217" s="4">
        <v>132.1</v>
      </c>
    </row>
    <row r="1218" ht="22.5" customHeight="1">
      <c r="B1218" s="4">
        <v>2.4203472E7</v>
      </c>
      <c r="C1218" s="4">
        <v>7.55</v>
      </c>
      <c r="D1218" s="4">
        <v>132.1</v>
      </c>
    </row>
    <row r="1219" ht="22.5" customHeight="1">
      <c r="B1219" s="4">
        <v>2.4223475E7</v>
      </c>
      <c r="C1219" s="4">
        <v>7.55</v>
      </c>
      <c r="D1219" s="4">
        <v>132.1</v>
      </c>
    </row>
    <row r="1220" ht="22.5" customHeight="1">
      <c r="B1220" s="4">
        <v>2.4243479E7</v>
      </c>
      <c r="C1220" s="4">
        <v>7.55</v>
      </c>
      <c r="D1220" s="4">
        <v>132.0</v>
      </c>
    </row>
    <row r="1221" ht="22.5" customHeight="1">
      <c r="B1221" s="4">
        <v>2.4263482E7</v>
      </c>
      <c r="C1221" s="4">
        <v>7.56</v>
      </c>
      <c r="D1221" s="4">
        <v>132.2</v>
      </c>
    </row>
    <row r="1222" ht="22.5" customHeight="1">
      <c r="B1222" s="4">
        <v>2.4283485E7</v>
      </c>
      <c r="C1222" s="4">
        <v>7.56</v>
      </c>
      <c r="D1222" s="4">
        <v>132.3</v>
      </c>
    </row>
    <row r="1223" ht="22.5" customHeight="1">
      <c r="B1223" s="4">
        <v>2.4303488E7</v>
      </c>
      <c r="C1223" s="4">
        <v>7.57</v>
      </c>
      <c r="D1223" s="4">
        <v>132.4</v>
      </c>
    </row>
    <row r="1224" ht="22.5" customHeight="1">
      <c r="B1224" s="4">
        <v>2.432349E7</v>
      </c>
      <c r="C1224" s="4">
        <v>7.56</v>
      </c>
      <c r="D1224" s="4">
        <v>132.2</v>
      </c>
    </row>
    <row r="1225" ht="22.5" customHeight="1">
      <c r="B1225" s="4">
        <v>2.4343493E7</v>
      </c>
      <c r="C1225" s="4">
        <v>7.56</v>
      </c>
      <c r="D1225" s="4">
        <v>132.3</v>
      </c>
    </row>
    <row r="1226" ht="22.5" customHeight="1">
      <c r="B1226" s="4">
        <v>2.4363496E7</v>
      </c>
      <c r="C1226" s="4">
        <v>7.57</v>
      </c>
      <c r="D1226" s="4">
        <v>132.3</v>
      </c>
    </row>
    <row r="1227" ht="22.5" customHeight="1">
      <c r="B1227" s="4">
        <v>2.4383499E7</v>
      </c>
      <c r="C1227" s="4">
        <v>7.56</v>
      </c>
      <c r="D1227" s="4">
        <v>132.3</v>
      </c>
    </row>
    <row r="1228" ht="22.5" customHeight="1">
      <c r="B1228" s="4">
        <v>2.4403502E7</v>
      </c>
      <c r="C1228" s="4">
        <v>7.57</v>
      </c>
      <c r="D1228" s="4">
        <v>132.4</v>
      </c>
    </row>
    <row r="1229" ht="22.5" customHeight="1">
      <c r="B1229" s="4">
        <v>2.4423504E7</v>
      </c>
      <c r="C1229" s="4">
        <v>7.57</v>
      </c>
      <c r="D1229" s="4">
        <v>132.5</v>
      </c>
    </row>
    <row r="1230" ht="22.5" customHeight="1">
      <c r="B1230" s="4">
        <v>2.4443507E7</v>
      </c>
      <c r="C1230" s="4">
        <v>7.58</v>
      </c>
      <c r="D1230" s="4">
        <v>132.4</v>
      </c>
    </row>
    <row r="1231" ht="22.5" customHeight="1">
      <c r="B1231" s="4">
        <v>2.446351E7</v>
      </c>
      <c r="C1231" s="4">
        <v>7.58</v>
      </c>
      <c r="D1231" s="4">
        <v>132.5</v>
      </c>
    </row>
    <row r="1232" ht="22.5" customHeight="1">
      <c r="B1232" s="4">
        <v>2.4483513E7</v>
      </c>
      <c r="C1232" s="4">
        <v>7.58</v>
      </c>
      <c r="D1232" s="4">
        <v>132.6</v>
      </c>
    </row>
    <row r="1233" ht="22.5" customHeight="1">
      <c r="B1233" s="4">
        <v>2.4503516E7</v>
      </c>
      <c r="C1233" s="4">
        <v>7.58</v>
      </c>
      <c r="D1233" s="4">
        <v>132.6</v>
      </c>
    </row>
    <row r="1234" ht="22.5" customHeight="1">
      <c r="B1234" s="4">
        <v>2.452352E7</v>
      </c>
      <c r="C1234" s="4">
        <v>7.58</v>
      </c>
      <c r="D1234" s="4">
        <v>132.6</v>
      </c>
    </row>
    <row r="1235" ht="22.5" customHeight="1">
      <c r="B1235" s="4">
        <v>2.4543522E7</v>
      </c>
      <c r="C1235" s="4">
        <v>7.58</v>
      </c>
      <c r="D1235" s="4">
        <v>132.6</v>
      </c>
    </row>
    <row r="1236" ht="22.5" customHeight="1">
      <c r="B1236" s="4">
        <v>2.4563525E7</v>
      </c>
      <c r="C1236" s="4">
        <v>7.58</v>
      </c>
      <c r="D1236" s="4">
        <v>132.6</v>
      </c>
    </row>
    <row r="1237" ht="22.5" customHeight="1">
      <c r="B1237" s="4">
        <v>2.4583528E7</v>
      </c>
      <c r="C1237" s="4">
        <v>7.58</v>
      </c>
      <c r="D1237" s="4">
        <v>132.6</v>
      </c>
    </row>
    <row r="1238" ht="22.5" customHeight="1">
      <c r="B1238" s="4">
        <v>2.4603531E7</v>
      </c>
      <c r="C1238" s="4">
        <v>7.58</v>
      </c>
      <c r="D1238" s="4">
        <v>132.5</v>
      </c>
    </row>
    <row r="1239" ht="22.5" customHeight="1">
      <c r="B1239" s="4">
        <v>2.4623534E7</v>
      </c>
      <c r="C1239" s="4">
        <v>7.58</v>
      </c>
      <c r="D1239" s="4">
        <v>132.6</v>
      </c>
    </row>
    <row r="1240" ht="22.5" customHeight="1">
      <c r="B1240" s="4">
        <v>2.4643536E7</v>
      </c>
      <c r="C1240" s="4">
        <v>7.58</v>
      </c>
      <c r="D1240" s="4">
        <v>132.6</v>
      </c>
    </row>
    <row r="1241" ht="22.5" customHeight="1">
      <c r="B1241" s="4">
        <v>2.4663539E7</v>
      </c>
      <c r="C1241" s="4">
        <v>7.58</v>
      </c>
      <c r="D1241" s="4">
        <v>132.6</v>
      </c>
    </row>
    <row r="1242" ht="22.5" customHeight="1">
      <c r="B1242" s="4">
        <v>2.4683542E7</v>
      </c>
      <c r="C1242" s="4">
        <v>7.58</v>
      </c>
      <c r="D1242" s="4">
        <v>132.6</v>
      </c>
    </row>
    <row r="1243" ht="22.5" customHeight="1">
      <c r="B1243" s="4">
        <v>2.4703545E7</v>
      </c>
      <c r="C1243" s="4">
        <v>7.58</v>
      </c>
      <c r="D1243" s="4">
        <v>132.5</v>
      </c>
    </row>
    <row r="1244" ht="22.5" customHeight="1">
      <c r="B1244" s="4">
        <v>2.4723548E7</v>
      </c>
      <c r="C1244" s="4">
        <v>7.58</v>
      </c>
      <c r="D1244" s="4">
        <v>132.6</v>
      </c>
    </row>
    <row r="1245" ht="22.5" customHeight="1">
      <c r="B1245" s="4">
        <v>2.474355E7</v>
      </c>
      <c r="C1245" s="4">
        <v>7.58</v>
      </c>
      <c r="D1245" s="4">
        <v>132.6</v>
      </c>
    </row>
    <row r="1246" ht="22.5" customHeight="1">
      <c r="B1246" s="4">
        <v>2.4763553E7</v>
      </c>
      <c r="C1246" s="4">
        <v>7.58</v>
      </c>
      <c r="D1246" s="4">
        <v>132.6</v>
      </c>
    </row>
    <row r="1247" ht="22.5" customHeight="1">
      <c r="B1247" s="4">
        <v>2.4783556E7</v>
      </c>
      <c r="C1247" s="4">
        <v>7.58</v>
      </c>
      <c r="D1247" s="4">
        <v>132.5</v>
      </c>
    </row>
    <row r="1248" ht="22.5" customHeight="1">
      <c r="B1248" s="4">
        <v>2.480356E7</v>
      </c>
      <c r="C1248" s="4">
        <v>7.58</v>
      </c>
      <c r="D1248" s="4">
        <v>132.6</v>
      </c>
    </row>
    <row r="1249" ht="22.5" customHeight="1">
      <c r="B1249" s="4">
        <v>2.4823563E7</v>
      </c>
      <c r="C1249" s="4">
        <v>7.58</v>
      </c>
      <c r="D1249" s="4">
        <v>132.5</v>
      </c>
    </row>
    <row r="1250" ht="22.5" customHeight="1">
      <c r="B1250" s="4">
        <v>2.4843566E7</v>
      </c>
      <c r="C1250" s="4">
        <v>7.58</v>
      </c>
      <c r="D1250" s="4">
        <v>132.6</v>
      </c>
    </row>
    <row r="1251" ht="22.5" customHeight="1">
      <c r="B1251" s="4">
        <v>2.4863568E7</v>
      </c>
      <c r="C1251" s="4">
        <v>7.58</v>
      </c>
      <c r="D1251" s="4">
        <v>132.5</v>
      </c>
    </row>
    <row r="1252" ht="22.5" customHeight="1">
      <c r="B1252" s="4">
        <v>2.4883571E7</v>
      </c>
      <c r="C1252" s="4">
        <v>7.58</v>
      </c>
      <c r="D1252" s="4">
        <v>132.6</v>
      </c>
    </row>
    <row r="1253" ht="22.5" customHeight="1">
      <c r="B1253" s="4">
        <v>2.4903574E7</v>
      </c>
      <c r="C1253" s="4">
        <v>7.58</v>
      </c>
      <c r="D1253" s="4">
        <v>132.5</v>
      </c>
    </row>
    <row r="1254" ht="22.5" customHeight="1">
      <c r="B1254" s="4">
        <v>2.4923577E7</v>
      </c>
      <c r="C1254" s="4">
        <v>7.58</v>
      </c>
      <c r="D1254" s="4">
        <v>132.6</v>
      </c>
    </row>
    <row r="1255" ht="22.5" customHeight="1">
      <c r="B1255" s="4">
        <v>2.494358E7</v>
      </c>
      <c r="C1255" s="4">
        <v>7.58</v>
      </c>
      <c r="D1255" s="4">
        <v>132.5</v>
      </c>
    </row>
    <row r="1256" ht="22.5" customHeight="1">
      <c r="B1256" s="4">
        <v>2.4963582E7</v>
      </c>
      <c r="C1256" s="4">
        <v>7.58</v>
      </c>
      <c r="D1256" s="4">
        <v>132.5</v>
      </c>
    </row>
    <row r="1257" ht="22.5" customHeight="1">
      <c r="B1257" s="4">
        <v>2.4983585E7</v>
      </c>
      <c r="C1257" s="4">
        <v>7.58</v>
      </c>
      <c r="D1257" s="4">
        <v>132.5</v>
      </c>
    </row>
    <row r="1258" ht="22.5" customHeight="1">
      <c r="B1258" s="4">
        <v>2.5003588E7</v>
      </c>
      <c r="C1258" s="4">
        <v>7.58</v>
      </c>
      <c r="D1258" s="4">
        <v>132.6</v>
      </c>
    </row>
    <row r="1259" ht="22.5" customHeight="1">
      <c r="B1259" s="4">
        <v>2.5023591E7</v>
      </c>
      <c r="C1259" s="4">
        <v>7.58</v>
      </c>
      <c r="D1259" s="4">
        <v>132.6</v>
      </c>
    </row>
    <row r="1260" ht="22.5" customHeight="1">
      <c r="B1260" s="4">
        <v>2.5043594E7</v>
      </c>
      <c r="C1260" s="4">
        <v>7.58</v>
      </c>
      <c r="D1260" s="4">
        <v>132.5</v>
      </c>
    </row>
    <row r="1261" ht="22.5" customHeight="1">
      <c r="B1261" s="4">
        <v>2.5063597E7</v>
      </c>
      <c r="C1261" s="4">
        <v>7.58</v>
      </c>
      <c r="D1261" s="4">
        <v>132.5</v>
      </c>
    </row>
    <row r="1262" ht="22.5" customHeight="1">
      <c r="B1262" s="4">
        <v>2.50836E7</v>
      </c>
      <c r="C1262" s="4">
        <v>7.58</v>
      </c>
      <c r="D1262" s="4">
        <v>132.5</v>
      </c>
    </row>
    <row r="1263" ht="22.5" customHeight="1">
      <c r="B1263" s="4">
        <v>2.5103603E7</v>
      </c>
      <c r="C1263" s="4">
        <v>7.58</v>
      </c>
      <c r="D1263" s="4">
        <v>132.6</v>
      </c>
    </row>
    <row r="1264" ht="22.5" customHeight="1">
      <c r="B1264" s="4">
        <v>2.5123606E7</v>
      </c>
      <c r="C1264" s="4">
        <v>7.57</v>
      </c>
      <c r="D1264" s="4">
        <v>132.5</v>
      </c>
    </row>
    <row r="1265" ht="22.5" customHeight="1">
      <c r="B1265" s="4">
        <v>2.5143609E7</v>
      </c>
      <c r="C1265" s="4">
        <v>7.58</v>
      </c>
      <c r="D1265" s="4">
        <v>132.5</v>
      </c>
    </row>
    <row r="1266" ht="22.5" customHeight="1">
      <c r="B1266" s="4">
        <v>2.5163612E7</v>
      </c>
      <c r="C1266" s="4">
        <v>7.58</v>
      </c>
      <c r="D1266" s="4">
        <v>132.5</v>
      </c>
    </row>
    <row r="1267" ht="22.5" customHeight="1">
      <c r="B1267" s="4">
        <v>2.5183614E7</v>
      </c>
      <c r="C1267" s="4">
        <v>7.58</v>
      </c>
      <c r="D1267" s="4">
        <v>132.5</v>
      </c>
    </row>
    <row r="1268" ht="22.5" customHeight="1">
      <c r="B1268" s="4">
        <v>2.5203617E7</v>
      </c>
      <c r="C1268" s="4">
        <v>7.57</v>
      </c>
      <c r="D1268" s="4">
        <v>132.5</v>
      </c>
    </row>
    <row r="1269" ht="22.5" customHeight="1">
      <c r="B1269" s="4">
        <v>2.522362E7</v>
      </c>
      <c r="C1269" s="4">
        <v>7.58</v>
      </c>
      <c r="D1269" s="4">
        <v>132.5</v>
      </c>
    </row>
    <row r="1270" ht="22.5" customHeight="1">
      <c r="B1270" s="4">
        <v>2.5243623E7</v>
      </c>
      <c r="C1270" s="4">
        <v>7.58</v>
      </c>
      <c r="D1270" s="4">
        <v>132.5</v>
      </c>
    </row>
    <row r="1271" ht="22.5" customHeight="1">
      <c r="B1271" s="4">
        <v>2.5263626E7</v>
      </c>
      <c r="C1271" s="4">
        <v>7.57</v>
      </c>
      <c r="D1271" s="4">
        <v>132.4</v>
      </c>
    </row>
    <row r="1272" ht="22.5" customHeight="1">
      <c r="B1272" s="4">
        <v>2.5283629E7</v>
      </c>
      <c r="C1272" s="4">
        <v>7.58</v>
      </c>
      <c r="D1272" s="4">
        <v>132.5</v>
      </c>
    </row>
    <row r="1273" ht="22.5" customHeight="1">
      <c r="B1273" s="4">
        <v>2.5303631E7</v>
      </c>
      <c r="C1273" s="4">
        <v>7.57</v>
      </c>
      <c r="D1273" s="4">
        <v>132.5</v>
      </c>
    </row>
    <row r="1274" ht="22.5" customHeight="1">
      <c r="B1274" s="4">
        <v>2.5323634E7</v>
      </c>
      <c r="C1274" s="4">
        <v>7.57</v>
      </c>
      <c r="D1274" s="4">
        <v>132.5</v>
      </c>
    </row>
    <row r="1275" ht="22.5" customHeight="1">
      <c r="B1275" s="4">
        <v>2.5343637E7</v>
      </c>
      <c r="C1275" s="4">
        <v>7.58</v>
      </c>
      <c r="D1275" s="4">
        <v>132.4</v>
      </c>
    </row>
    <row r="1276" ht="22.5" customHeight="1">
      <c r="B1276" s="4">
        <v>2.5363641E7</v>
      </c>
      <c r="C1276" s="4">
        <v>7.57</v>
      </c>
      <c r="D1276" s="4">
        <v>132.4</v>
      </c>
    </row>
    <row r="1277" ht="22.5" customHeight="1">
      <c r="B1277" s="4">
        <v>2.5383644E7</v>
      </c>
      <c r="C1277" s="4">
        <v>7.57</v>
      </c>
      <c r="D1277" s="4">
        <v>132.5</v>
      </c>
    </row>
    <row r="1278" ht="22.5" customHeight="1">
      <c r="B1278" s="4">
        <v>2.5403646E7</v>
      </c>
      <c r="C1278" s="4">
        <v>7.57</v>
      </c>
      <c r="D1278" s="4">
        <v>132.4</v>
      </c>
    </row>
    <row r="1279" ht="22.5" customHeight="1">
      <c r="B1279" s="4">
        <v>2.5423649E7</v>
      </c>
      <c r="C1279" s="4">
        <v>7.57</v>
      </c>
      <c r="D1279" s="4">
        <v>132.5</v>
      </c>
    </row>
    <row r="1280" ht="22.5" customHeight="1">
      <c r="B1280" s="4">
        <v>2.5443652E7</v>
      </c>
      <c r="C1280" s="4">
        <v>7.57</v>
      </c>
      <c r="D1280" s="4">
        <v>132.5</v>
      </c>
    </row>
    <row r="1281" ht="22.5" customHeight="1">
      <c r="B1281" s="4">
        <v>2.5463655E7</v>
      </c>
      <c r="C1281" s="4">
        <v>7.57</v>
      </c>
      <c r="D1281" s="4">
        <v>132.4</v>
      </c>
    </row>
    <row r="1282" ht="22.5" customHeight="1">
      <c r="B1282" s="4">
        <v>2.5483658E7</v>
      </c>
      <c r="C1282" s="4">
        <v>7.57</v>
      </c>
      <c r="D1282" s="4">
        <v>132.4</v>
      </c>
    </row>
    <row r="1283" ht="22.5" customHeight="1">
      <c r="B1283" s="4">
        <v>2.5503661E7</v>
      </c>
      <c r="C1283" s="4">
        <v>7.57</v>
      </c>
      <c r="D1283" s="4">
        <v>132.4</v>
      </c>
    </row>
    <row r="1284" ht="22.5" customHeight="1">
      <c r="B1284" s="4">
        <v>2.5523663E7</v>
      </c>
      <c r="C1284" s="4">
        <v>7.57</v>
      </c>
      <c r="D1284" s="4">
        <v>132.4</v>
      </c>
    </row>
    <row r="1285" ht="22.5" customHeight="1">
      <c r="B1285" s="4">
        <v>2.5543666E7</v>
      </c>
      <c r="C1285" s="4">
        <v>7.57</v>
      </c>
      <c r="D1285" s="4">
        <v>132.5</v>
      </c>
    </row>
    <row r="1286" ht="22.5" customHeight="1">
      <c r="B1286" s="4">
        <v>2.5563669E7</v>
      </c>
      <c r="C1286" s="4">
        <v>7.57</v>
      </c>
      <c r="D1286" s="4">
        <v>132.5</v>
      </c>
    </row>
    <row r="1287" ht="22.5" customHeight="1">
      <c r="B1287" s="4">
        <v>2.5583672E7</v>
      </c>
      <c r="C1287" s="4">
        <v>7.57</v>
      </c>
      <c r="D1287" s="4">
        <v>132.4</v>
      </c>
    </row>
    <row r="1288" ht="22.5" customHeight="1">
      <c r="B1288" s="4">
        <v>2.5603675E7</v>
      </c>
      <c r="C1288" s="4">
        <v>7.57</v>
      </c>
      <c r="D1288" s="4">
        <v>132.4</v>
      </c>
    </row>
    <row r="1289" ht="22.5" customHeight="1">
      <c r="B1289" s="4">
        <v>2.5623678E7</v>
      </c>
      <c r="C1289" s="4">
        <v>7.57</v>
      </c>
      <c r="D1289" s="4">
        <v>132.4</v>
      </c>
    </row>
    <row r="1290" ht="22.5" customHeight="1">
      <c r="B1290" s="4">
        <v>2.5643681E7</v>
      </c>
      <c r="C1290" s="4">
        <v>7.57</v>
      </c>
      <c r="D1290" s="4">
        <v>132.4</v>
      </c>
    </row>
    <row r="1291" ht="22.5" customHeight="1">
      <c r="B1291" s="4">
        <v>2.5663684E7</v>
      </c>
      <c r="C1291" s="4">
        <v>7.57</v>
      </c>
      <c r="D1291" s="4">
        <v>132.4</v>
      </c>
    </row>
    <row r="1292" ht="22.5" customHeight="1">
      <c r="B1292" s="4">
        <v>2.5683687E7</v>
      </c>
      <c r="C1292" s="4">
        <v>7.57</v>
      </c>
      <c r="D1292" s="4">
        <v>132.4</v>
      </c>
    </row>
    <row r="1293" ht="22.5" customHeight="1">
      <c r="B1293" s="4">
        <v>2.570369E7</v>
      </c>
      <c r="C1293" s="4">
        <v>7.57</v>
      </c>
      <c r="D1293" s="4">
        <v>132.4</v>
      </c>
    </row>
    <row r="1294" ht="22.5" customHeight="1">
      <c r="B1294" s="4">
        <v>2.5723693E7</v>
      </c>
      <c r="C1294" s="4">
        <v>7.57</v>
      </c>
      <c r="D1294" s="4">
        <v>132.4</v>
      </c>
    </row>
    <row r="1295" ht="22.5" customHeight="1">
      <c r="B1295" s="4">
        <v>2.5743695E7</v>
      </c>
      <c r="C1295" s="4">
        <v>7.57</v>
      </c>
      <c r="D1295" s="4">
        <v>132.3</v>
      </c>
    </row>
    <row r="1296" ht="22.5" customHeight="1">
      <c r="B1296" s="4">
        <v>2.5763698E7</v>
      </c>
      <c r="C1296" s="4">
        <v>7.57</v>
      </c>
      <c r="D1296" s="4">
        <v>132.4</v>
      </c>
    </row>
    <row r="1297" ht="22.5" customHeight="1">
      <c r="B1297" s="4">
        <v>2.5783701E7</v>
      </c>
      <c r="C1297" s="4">
        <v>7.57</v>
      </c>
      <c r="D1297" s="4">
        <v>132.3</v>
      </c>
    </row>
    <row r="1298" ht="22.5" customHeight="1">
      <c r="B1298" s="4">
        <v>2.5803704E7</v>
      </c>
      <c r="C1298" s="4">
        <v>7.57</v>
      </c>
      <c r="D1298" s="4">
        <v>132.4</v>
      </c>
    </row>
    <row r="1299" ht="22.5" customHeight="1">
      <c r="B1299" s="4">
        <v>2.5823707E7</v>
      </c>
      <c r="C1299" s="4">
        <v>7.57</v>
      </c>
      <c r="D1299" s="4">
        <v>132.4</v>
      </c>
    </row>
    <row r="1300" ht="22.5" customHeight="1">
      <c r="B1300" s="4">
        <v>2.5843709E7</v>
      </c>
      <c r="C1300" s="4">
        <v>7.57</v>
      </c>
      <c r="D1300" s="4">
        <v>132.3</v>
      </c>
    </row>
    <row r="1301" ht="22.5" customHeight="1">
      <c r="B1301" s="4">
        <v>2.5863712E7</v>
      </c>
      <c r="C1301" s="4">
        <v>7.57</v>
      </c>
      <c r="D1301" s="4">
        <v>132.4</v>
      </c>
    </row>
    <row r="1302" ht="22.5" customHeight="1">
      <c r="B1302" s="4">
        <v>2.5883715E7</v>
      </c>
      <c r="C1302" s="4">
        <v>7.56</v>
      </c>
      <c r="D1302" s="4">
        <v>132.3</v>
      </c>
    </row>
    <row r="1303" ht="22.5" customHeight="1">
      <c r="B1303" s="4">
        <v>2.5903719E7</v>
      </c>
      <c r="C1303" s="4">
        <v>7.56</v>
      </c>
      <c r="D1303" s="4">
        <v>132.4</v>
      </c>
    </row>
    <row r="1304" ht="22.5" customHeight="1">
      <c r="B1304" s="4">
        <v>2.5923722E7</v>
      </c>
      <c r="C1304" s="4">
        <v>7.56</v>
      </c>
      <c r="D1304" s="4">
        <v>132.4</v>
      </c>
    </row>
    <row r="1305" ht="22.5" customHeight="1">
      <c r="B1305" s="4">
        <v>2.5943725E7</v>
      </c>
      <c r="C1305" s="4">
        <v>7.57</v>
      </c>
      <c r="D1305" s="4">
        <v>132.3</v>
      </c>
    </row>
    <row r="1306" ht="22.5" customHeight="1">
      <c r="B1306" s="4">
        <v>2.5963727E7</v>
      </c>
      <c r="C1306" s="4">
        <v>7.56</v>
      </c>
      <c r="D1306" s="4">
        <v>132.4</v>
      </c>
    </row>
    <row r="1307" ht="22.5" customHeight="1">
      <c r="B1307" s="4">
        <v>2.598373E7</v>
      </c>
      <c r="C1307" s="4">
        <v>7.57</v>
      </c>
      <c r="D1307" s="4">
        <v>132.3</v>
      </c>
    </row>
    <row r="1308" ht="22.5" customHeight="1">
      <c r="B1308" s="4">
        <v>2.6003733E7</v>
      </c>
      <c r="C1308" s="4">
        <v>7.57</v>
      </c>
      <c r="D1308" s="4">
        <v>132.2</v>
      </c>
    </row>
    <row r="1309" ht="22.5" customHeight="1">
      <c r="B1309" s="4">
        <v>2.6023736E7</v>
      </c>
      <c r="C1309" s="4">
        <v>7.56</v>
      </c>
      <c r="D1309" s="4">
        <v>132.4</v>
      </c>
    </row>
    <row r="1310" ht="22.5" customHeight="1">
      <c r="B1310" s="4">
        <v>2.6043739E7</v>
      </c>
      <c r="C1310" s="4">
        <v>7.56</v>
      </c>
      <c r="D1310" s="4">
        <v>132.4</v>
      </c>
    </row>
    <row r="1311" ht="22.5" customHeight="1">
      <c r="B1311" s="4">
        <v>2.6063741E7</v>
      </c>
      <c r="C1311" s="4">
        <v>7.56</v>
      </c>
      <c r="D1311" s="4">
        <v>132.3</v>
      </c>
    </row>
    <row r="1312" ht="22.5" customHeight="1">
      <c r="B1312" s="4">
        <v>2.6083744E7</v>
      </c>
      <c r="C1312" s="4">
        <v>7.56</v>
      </c>
      <c r="D1312" s="4">
        <v>132.3</v>
      </c>
    </row>
    <row r="1313" ht="22.5" customHeight="1">
      <c r="B1313" s="4">
        <v>2.6103747E7</v>
      </c>
      <c r="C1313" s="4">
        <v>7.56</v>
      </c>
      <c r="D1313" s="4">
        <v>132.3</v>
      </c>
    </row>
    <row r="1314" ht="22.5" customHeight="1">
      <c r="B1314" s="4">
        <v>2.612375E7</v>
      </c>
      <c r="C1314" s="4">
        <v>7.56</v>
      </c>
      <c r="D1314" s="4">
        <v>132.3</v>
      </c>
    </row>
    <row r="1315" ht="22.5" customHeight="1">
      <c r="B1315" s="4">
        <v>2.6143753E7</v>
      </c>
      <c r="C1315" s="4">
        <v>7.56</v>
      </c>
      <c r="D1315" s="4">
        <v>132.2</v>
      </c>
    </row>
    <row r="1316" ht="22.5" customHeight="1">
      <c r="B1316" s="4">
        <v>2.6163757E7</v>
      </c>
      <c r="C1316" s="4">
        <v>7.56</v>
      </c>
      <c r="D1316" s="4">
        <v>132.3</v>
      </c>
    </row>
    <row r="1317" ht="22.5" customHeight="1">
      <c r="B1317" s="4">
        <v>2.6183759E7</v>
      </c>
      <c r="C1317" s="4">
        <v>7.56</v>
      </c>
      <c r="D1317" s="4">
        <v>132.3</v>
      </c>
    </row>
    <row r="1318" ht="22.5" customHeight="1">
      <c r="B1318" s="4">
        <v>2.6203762E7</v>
      </c>
      <c r="C1318" s="4">
        <v>7.56</v>
      </c>
      <c r="D1318" s="4">
        <v>132.3</v>
      </c>
    </row>
    <row r="1319" ht="22.5" customHeight="1">
      <c r="B1319" s="4">
        <v>2.6223765E7</v>
      </c>
      <c r="C1319" s="4">
        <v>7.56</v>
      </c>
      <c r="D1319" s="4">
        <v>132.3</v>
      </c>
    </row>
    <row r="1320" ht="22.5" customHeight="1">
      <c r="B1320" s="4">
        <v>2.6243768E7</v>
      </c>
      <c r="C1320" s="4">
        <v>7.56</v>
      </c>
      <c r="D1320" s="4">
        <v>132.3</v>
      </c>
    </row>
    <row r="1321" ht="22.5" customHeight="1">
      <c r="B1321" s="4">
        <v>2.6263771E7</v>
      </c>
      <c r="C1321" s="4">
        <v>7.56</v>
      </c>
      <c r="D1321" s="4">
        <v>132.2</v>
      </c>
    </row>
    <row r="1322" ht="22.5" customHeight="1">
      <c r="B1322" s="4">
        <v>2.6283773E7</v>
      </c>
      <c r="C1322" s="4">
        <v>7.56</v>
      </c>
      <c r="D1322" s="4">
        <v>132.3</v>
      </c>
    </row>
    <row r="1323" ht="22.5" customHeight="1">
      <c r="B1323" s="4">
        <v>2.6303776E7</v>
      </c>
      <c r="C1323" s="4">
        <v>7.56</v>
      </c>
      <c r="D1323" s="4">
        <v>132.3</v>
      </c>
    </row>
    <row r="1324" ht="22.5" customHeight="1">
      <c r="B1324" s="4">
        <v>2.6323779E7</v>
      </c>
      <c r="C1324" s="4">
        <v>7.56</v>
      </c>
      <c r="D1324" s="4">
        <v>132.3</v>
      </c>
    </row>
    <row r="1325" ht="22.5" customHeight="1">
      <c r="B1325" s="4">
        <v>2.6343782E7</v>
      </c>
      <c r="C1325" s="4">
        <v>7.56</v>
      </c>
      <c r="D1325" s="4">
        <v>132.2</v>
      </c>
    </row>
    <row r="1326" ht="22.5" customHeight="1">
      <c r="B1326" s="4">
        <v>2.6363785E7</v>
      </c>
      <c r="C1326" s="4">
        <v>7.56</v>
      </c>
      <c r="D1326" s="4">
        <v>132.2</v>
      </c>
    </row>
    <row r="1327" ht="22.5" customHeight="1">
      <c r="B1327" s="4">
        <v>2.6383788E7</v>
      </c>
      <c r="C1327" s="4">
        <v>7.56</v>
      </c>
      <c r="D1327" s="4">
        <v>132.2</v>
      </c>
    </row>
    <row r="1328" ht="22.5" customHeight="1">
      <c r="B1328" s="4">
        <v>2.640379E7</v>
      </c>
      <c r="C1328" s="4">
        <v>7.56</v>
      </c>
      <c r="D1328" s="4">
        <v>132.2</v>
      </c>
    </row>
    <row r="1329" ht="22.5" customHeight="1">
      <c r="B1329" s="4">
        <v>2.6423793E7</v>
      </c>
      <c r="C1329" s="4">
        <v>7.56</v>
      </c>
      <c r="D1329" s="4">
        <v>132.2</v>
      </c>
    </row>
    <row r="1330" ht="22.5" customHeight="1">
      <c r="B1330" s="4">
        <v>2.6443797E7</v>
      </c>
      <c r="C1330" s="4">
        <v>7.56</v>
      </c>
      <c r="D1330" s="4">
        <v>132.2</v>
      </c>
    </row>
    <row r="1331" ht="22.5" customHeight="1">
      <c r="B1331" s="4">
        <v>2.64638E7</v>
      </c>
      <c r="C1331" s="4">
        <v>7.56</v>
      </c>
      <c r="D1331" s="4">
        <v>132.2</v>
      </c>
    </row>
    <row r="1332" ht="22.5" customHeight="1">
      <c r="B1332" s="4">
        <v>2.6483803E7</v>
      </c>
      <c r="C1332" s="4">
        <v>7.56</v>
      </c>
      <c r="D1332" s="4">
        <v>132.2</v>
      </c>
    </row>
    <row r="1333" ht="22.5" customHeight="1">
      <c r="B1333" s="4">
        <v>2.6503805E7</v>
      </c>
      <c r="C1333" s="4">
        <v>7.56</v>
      </c>
      <c r="D1333" s="4">
        <v>132.2</v>
      </c>
    </row>
    <row r="1334" ht="22.5" customHeight="1">
      <c r="B1334" s="4">
        <v>2.6523808E7</v>
      </c>
      <c r="C1334" s="4">
        <v>7.56</v>
      </c>
      <c r="D1334" s="4">
        <v>132.2</v>
      </c>
    </row>
    <row r="1335" ht="22.5" customHeight="1">
      <c r="B1335" s="4">
        <v>2.6543811E7</v>
      </c>
      <c r="C1335" s="4">
        <v>7.56</v>
      </c>
      <c r="D1335" s="4">
        <v>132.2</v>
      </c>
    </row>
    <row r="1336" ht="22.5" customHeight="1">
      <c r="B1336" s="4">
        <v>2.6563814E7</v>
      </c>
      <c r="C1336" s="4">
        <v>7.56</v>
      </c>
      <c r="D1336" s="4">
        <v>132.1</v>
      </c>
    </row>
    <row r="1337" ht="22.5" customHeight="1">
      <c r="B1337" s="4">
        <v>2.6583817E7</v>
      </c>
      <c r="C1337" s="4">
        <v>7.56</v>
      </c>
      <c r="D1337" s="4">
        <v>132.2</v>
      </c>
    </row>
    <row r="1338" ht="22.5" customHeight="1">
      <c r="B1338" s="4">
        <v>2.660382E7</v>
      </c>
      <c r="C1338" s="4">
        <v>7.56</v>
      </c>
      <c r="D1338" s="4">
        <v>132.2</v>
      </c>
    </row>
    <row r="1339" ht="22.5" customHeight="1">
      <c r="B1339" s="4">
        <v>2.6623822E7</v>
      </c>
      <c r="C1339" s="4">
        <v>7.56</v>
      </c>
      <c r="D1339" s="4">
        <v>132.1</v>
      </c>
    </row>
    <row r="1340" ht="22.5" customHeight="1">
      <c r="B1340" s="4">
        <v>2.6643825E7</v>
      </c>
      <c r="C1340" s="4">
        <v>7.56</v>
      </c>
      <c r="D1340" s="4">
        <v>132.2</v>
      </c>
    </row>
    <row r="1341" ht="22.5" customHeight="1">
      <c r="B1341" s="4">
        <v>2.6663828E7</v>
      </c>
      <c r="C1341" s="4">
        <v>7.56</v>
      </c>
      <c r="D1341" s="4">
        <v>132.2</v>
      </c>
    </row>
    <row r="1342" ht="22.5" customHeight="1">
      <c r="B1342" s="4">
        <v>2.6683831E7</v>
      </c>
      <c r="C1342" s="4">
        <v>7.56</v>
      </c>
      <c r="D1342" s="4">
        <v>132.2</v>
      </c>
    </row>
    <row r="1343" ht="22.5" customHeight="1">
      <c r="B1343" s="4">
        <v>2.6703835E7</v>
      </c>
      <c r="C1343" s="4">
        <v>7.56</v>
      </c>
      <c r="D1343" s="4">
        <v>132.1</v>
      </c>
    </row>
    <row r="1344" ht="22.5" customHeight="1">
      <c r="B1344" s="4">
        <v>2.6723837E7</v>
      </c>
      <c r="C1344" s="4">
        <v>7.56</v>
      </c>
      <c r="D1344" s="4">
        <v>132.1</v>
      </c>
    </row>
    <row r="1345" ht="22.5" customHeight="1">
      <c r="B1345" s="4">
        <v>2.674384E7</v>
      </c>
      <c r="C1345" s="4">
        <v>7.56</v>
      </c>
      <c r="D1345" s="4">
        <v>132.1</v>
      </c>
    </row>
    <row r="1346" ht="22.5" customHeight="1">
      <c r="B1346" s="4">
        <v>2.6763843E7</v>
      </c>
      <c r="C1346" s="4">
        <v>7.55</v>
      </c>
      <c r="D1346" s="4">
        <v>132.1</v>
      </c>
    </row>
    <row r="1347" ht="22.5" customHeight="1">
      <c r="B1347" s="4">
        <v>2.6783846E7</v>
      </c>
      <c r="C1347" s="4">
        <v>7.55</v>
      </c>
      <c r="D1347" s="4">
        <v>132.1</v>
      </c>
    </row>
    <row r="1348" ht="22.5" customHeight="1">
      <c r="B1348" s="4">
        <v>2.6803849E7</v>
      </c>
      <c r="C1348" s="4">
        <v>7.55</v>
      </c>
      <c r="D1348" s="4">
        <v>132.1</v>
      </c>
    </row>
    <row r="1349" ht="22.5" customHeight="1">
      <c r="B1349" s="4">
        <v>2.6823852E7</v>
      </c>
      <c r="C1349" s="4">
        <v>7.56</v>
      </c>
      <c r="D1349" s="4">
        <v>132.1</v>
      </c>
    </row>
    <row r="1350" ht="22.5" customHeight="1">
      <c r="B1350" s="4">
        <v>2.6843854E7</v>
      </c>
      <c r="C1350" s="4">
        <v>7.56</v>
      </c>
      <c r="D1350" s="4">
        <v>132.2</v>
      </c>
    </row>
    <row r="1351" ht="22.5" customHeight="1">
      <c r="B1351" s="4">
        <v>2.6863857E7</v>
      </c>
      <c r="C1351" s="4">
        <v>7.55</v>
      </c>
      <c r="D1351" s="4">
        <v>131.9</v>
      </c>
    </row>
    <row r="1352" ht="22.5" customHeight="1">
      <c r="B1352" s="4">
        <v>2.688386E7</v>
      </c>
      <c r="C1352" s="4">
        <v>7.56</v>
      </c>
      <c r="D1352" s="4">
        <v>132.0</v>
      </c>
    </row>
    <row r="1353" ht="22.5" customHeight="1">
      <c r="B1353" s="4">
        <v>2.6903863E7</v>
      </c>
      <c r="C1353" s="4">
        <v>7.55</v>
      </c>
      <c r="D1353" s="4">
        <v>132.1</v>
      </c>
    </row>
    <row r="1354" ht="22.5" customHeight="1">
      <c r="B1354" s="4">
        <v>2.6923866E7</v>
      </c>
      <c r="C1354" s="4">
        <v>7.55</v>
      </c>
      <c r="D1354" s="4">
        <v>132.1</v>
      </c>
    </row>
    <row r="1355" ht="22.5" customHeight="1">
      <c r="B1355" s="4">
        <v>2.6943868E7</v>
      </c>
      <c r="C1355" s="4">
        <v>7.55</v>
      </c>
      <c r="D1355" s="4">
        <v>132.1</v>
      </c>
    </row>
    <row r="1356" ht="22.5" customHeight="1">
      <c r="B1356" s="4">
        <v>2.6963871E7</v>
      </c>
      <c r="C1356" s="4">
        <v>7.55</v>
      </c>
      <c r="D1356" s="4">
        <v>132.1</v>
      </c>
    </row>
    <row r="1357" ht="22.5" customHeight="1">
      <c r="B1357" s="4">
        <v>2.6983875E7</v>
      </c>
      <c r="C1357" s="4">
        <v>7.55</v>
      </c>
      <c r="D1357" s="4">
        <v>132.1</v>
      </c>
    </row>
    <row r="1358" ht="22.5" customHeight="1">
      <c r="B1358" s="4">
        <v>2.7003878E7</v>
      </c>
      <c r="C1358" s="4">
        <v>7.55</v>
      </c>
      <c r="D1358" s="4">
        <v>132.1</v>
      </c>
    </row>
    <row r="1359" ht="22.5" customHeight="1">
      <c r="B1359" s="4">
        <v>2.7023881E7</v>
      </c>
      <c r="C1359" s="4">
        <v>7.55</v>
      </c>
      <c r="D1359" s="4">
        <v>132.1</v>
      </c>
    </row>
    <row r="1360" ht="22.5" customHeight="1">
      <c r="B1360" s="4">
        <v>2.7043884E7</v>
      </c>
      <c r="C1360" s="4">
        <v>7.55</v>
      </c>
      <c r="D1360" s="4">
        <v>132.0</v>
      </c>
    </row>
    <row r="1361" ht="22.5" customHeight="1">
      <c r="B1361" s="4">
        <v>2.7063886E7</v>
      </c>
      <c r="C1361" s="4">
        <v>7.55</v>
      </c>
      <c r="D1361" s="4">
        <v>132.1</v>
      </c>
    </row>
    <row r="1362" ht="22.5" customHeight="1">
      <c r="B1362" s="4">
        <v>2.7083889E7</v>
      </c>
      <c r="C1362" s="4">
        <v>7.55</v>
      </c>
      <c r="D1362" s="4">
        <v>132.0</v>
      </c>
    </row>
    <row r="1363" ht="22.5" customHeight="1">
      <c r="B1363" s="4">
        <v>2.7103892E7</v>
      </c>
      <c r="C1363" s="4">
        <v>7.55</v>
      </c>
      <c r="D1363" s="4">
        <v>132.0</v>
      </c>
    </row>
    <row r="1364" ht="22.5" customHeight="1">
      <c r="B1364" s="4">
        <v>2.7123895E7</v>
      </c>
      <c r="C1364" s="4">
        <v>7.55</v>
      </c>
      <c r="D1364" s="4">
        <v>132.0</v>
      </c>
    </row>
    <row r="1365" ht="22.5" customHeight="1">
      <c r="B1365" s="4">
        <v>2.7143898E7</v>
      </c>
      <c r="C1365" s="4">
        <v>7.55</v>
      </c>
      <c r="D1365" s="4">
        <v>132.0</v>
      </c>
    </row>
    <row r="1366" ht="22.5" customHeight="1">
      <c r="B1366" s="4">
        <v>2.71639E7</v>
      </c>
      <c r="C1366" s="4">
        <v>7.55</v>
      </c>
      <c r="D1366" s="4">
        <v>132.1</v>
      </c>
    </row>
    <row r="1367" ht="22.5" customHeight="1">
      <c r="B1367" s="4">
        <v>2.7183903E7</v>
      </c>
      <c r="C1367" s="4">
        <v>7.55</v>
      </c>
      <c r="D1367" s="4">
        <v>132.0</v>
      </c>
    </row>
    <row r="1368" ht="22.5" customHeight="1">
      <c r="B1368" s="4">
        <v>2.7203906E7</v>
      </c>
      <c r="C1368" s="4">
        <v>7.55</v>
      </c>
      <c r="D1368" s="4">
        <v>132.0</v>
      </c>
    </row>
    <row r="1369" ht="22.5" customHeight="1">
      <c r="B1369" s="4">
        <v>2.7223909E7</v>
      </c>
      <c r="C1369" s="4">
        <v>7.55</v>
      </c>
      <c r="D1369" s="4">
        <v>132.0</v>
      </c>
    </row>
    <row r="1370" ht="22.5" customHeight="1">
      <c r="B1370" s="4">
        <v>2.7243912E7</v>
      </c>
      <c r="C1370" s="4">
        <v>7.55</v>
      </c>
      <c r="D1370" s="4">
        <v>132.0</v>
      </c>
    </row>
    <row r="1371" ht="22.5" customHeight="1">
      <c r="B1371" s="4">
        <v>2.7263915E7</v>
      </c>
      <c r="C1371" s="4">
        <v>7.55</v>
      </c>
      <c r="D1371" s="4">
        <v>132.0</v>
      </c>
    </row>
    <row r="1372" ht="22.5" customHeight="1">
      <c r="B1372" s="4">
        <v>2.7283918E7</v>
      </c>
      <c r="C1372" s="4">
        <v>7.55</v>
      </c>
      <c r="D1372" s="4">
        <v>132.0</v>
      </c>
    </row>
    <row r="1373" ht="22.5" customHeight="1">
      <c r="B1373" s="4">
        <v>2.7303921E7</v>
      </c>
      <c r="C1373" s="4">
        <v>7.54</v>
      </c>
      <c r="D1373" s="4">
        <v>132.0</v>
      </c>
    </row>
    <row r="1374" ht="22.5" customHeight="1">
      <c r="B1374" s="4">
        <v>2.7323924E7</v>
      </c>
      <c r="C1374" s="4">
        <v>7.55</v>
      </c>
      <c r="D1374" s="4">
        <v>132.0</v>
      </c>
    </row>
    <row r="1375" ht="22.5" customHeight="1">
      <c r="B1375" s="4">
        <v>2.7343927E7</v>
      </c>
      <c r="C1375" s="4">
        <v>7.55</v>
      </c>
      <c r="D1375" s="4">
        <v>132.0</v>
      </c>
    </row>
    <row r="1376" ht="22.5" customHeight="1">
      <c r="B1376" s="4">
        <v>2.736393E7</v>
      </c>
      <c r="C1376" s="4">
        <v>7.55</v>
      </c>
      <c r="D1376" s="4">
        <v>132.0</v>
      </c>
    </row>
    <row r="1377" ht="22.5" customHeight="1">
      <c r="B1377" s="4">
        <v>2.7383932E7</v>
      </c>
      <c r="C1377" s="4">
        <v>7.55</v>
      </c>
      <c r="D1377" s="4">
        <v>131.9</v>
      </c>
    </row>
    <row r="1378" ht="22.5" customHeight="1">
      <c r="B1378" s="4">
        <v>2.7403935E7</v>
      </c>
      <c r="C1378" s="4">
        <v>7.54</v>
      </c>
      <c r="D1378" s="4">
        <v>132.0</v>
      </c>
    </row>
    <row r="1379" ht="22.5" customHeight="1">
      <c r="B1379" s="4">
        <v>2.7423938E7</v>
      </c>
      <c r="C1379" s="4">
        <v>7.54</v>
      </c>
      <c r="D1379" s="4">
        <v>131.9</v>
      </c>
    </row>
    <row r="1380" ht="22.5" customHeight="1">
      <c r="B1380" s="4">
        <v>2.7443941E7</v>
      </c>
      <c r="C1380" s="4">
        <v>7.54</v>
      </c>
      <c r="D1380" s="4">
        <v>132.0</v>
      </c>
    </row>
    <row r="1381" ht="22.5" customHeight="1">
      <c r="B1381" s="4">
        <v>2.7463944E7</v>
      </c>
      <c r="C1381" s="4">
        <v>7.54</v>
      </c>
      <c r="D1381" s="4">
        <v>132.0</v>
      </c>
    </row>
    <row r="1382" ht="22.5" customHeight="1">
      <c r="B1382" s="4">
        <v>2.7483947E7</v>
      </c>
      <c r="C1382" s="4">
        <v>7.54</v>
      </c>
      <c r="D1382" s="4">
        <v>131.9</v>
      </c>
    </row>
    <row r="1383" ht="22.5" customHeight="1">
      <c r="B1383" s="4">
        <v>2.7503949E7</v>
      </c>
      <c r="C1383" s="4">
        <v>7.54</v>
      </c>
      <c r="D1383" s="4">
        <v>131.9</v>
      </c>
    </row>
    <row r="1384" ht="22.5" customHeight="1">
      <c r="B1384" s="4">
        <v>2.7523952E7</v>
      </c>
      <c r="C1384" s="4">
        <v>7.54</v>
      </c>
      <c r="D1384" s="4">
        <v>131.9</v>
      </c>
    </row>
    <row r="1385" ht="22.5" customHeight="1">
      <c r="B1385" s="4">
        <v>2.7543955E7</v>
      </c>
      <c r="C1385" s="4">
        <v>7.54</v>
      </c>
      <c r="D1385" s="4">
        <v>131.9</v>
      </c>
    </row>
    <row r="1386" ht="22.5" customHeight="1">
      <c r="B1386" s="4">
        <v>2.7563958E7</v>
      </c>
      <c r="C1386" s="4">
        <v>7.54</v>
      </c>
      <c r="D1386" s="4">
        <v>131.9</v>
      </c>
    </row>
    <row r="1387" ht="22.5" customHeight="1">
      <c r="B1387" s="4">
        <v>2.7583962E7</v>
      </c>
      <c r="C1387" s="4">
        <v>7.54</v>
      </c>
      <c r="D1387" s="4">
        <v>131.9</v>
      </c>
    </row>
    <row r="1388" ht="22.5" customHeight="1">
      <c r="B1388" s="4">
        <v>2.7603964E7</v>
      </c>
      <c r="C1388" s="4">
        <v>7.54</v>
      </c>
      <c r="D1388" s="4">
        <v>131.9</v>
      </c>
    </row>
    <row r="1389" ht="22.5" customHeight="1">
      <c r="B1389" s="4">
        <v>2.7623967E7</v>
      </c>
      <c r="C1389" s="4">
        <v>7.54</v>
      </c>
      <c r="D1389" s="4">
        <v>131.9</v>
      </c>
    </row>
    <row r="1390" ht="22.5" customHeight="1">
      <c r="B1390" s="4">
        <v>2.764397E7</v>
      </c>
      <c r="C1390" s="4">
        <v>7.54</v>
      </c>
      <c r="D1390" s="4">
        <v>131.9</v>
      </c>
    </row>
    <row r="1391" ht="22.5" customHeight="1">
      <c r="B1391" s="4">
        <v>2.7663973E7</v>
      </c>
      <c r="C1391" s="4">
        <v>7.54</v>
      </c>
      <c r="D1391" s="4">
        <v>131.8</v>
      </c>
    </row>
    <row r="1392" ht="22.5" customHeight="1">
      <c r="B1392" s="4">
        <v>2.7683976E7</v>
      </c>
      <c r="C1392" s="4">
        <v>7.54</v>
      </c>
      <c r="D1392" s="4">
        <v>131.9</v>
      </c>
    </row>
    <row r="1393" ht="22.5" customHeight="1">
      <c r="B1393" s="4">
        <v>2.7703979E7</v>
      </c>
      <c r="C1393" s="4">
        <v>7.54</v>
      </c>
      <c r="D1393" s="4">
        <v>131.9</v>
      </c>
    </row>
    <row r="1394" ht="22.5" customHeight="1">
      <c r="B1394" s="4">
        <v>2.7723981E7</v>
      </c>
      <c r="C1394" s="4">
        <v>7.54</v>
      </c>
      <c r="D1394" s="4">
        <v>131.9</v>
      </c>
    </row>
    <row r="1395" ht="22.5" customHeight="1">
      <c r="B1395" s="4">
        <v>2.7743984E7</v>
      </c>
      <c r="C1395" s="4">
        <v>7.54</v>
      </c>
      <c r="D1395" s="4">
        <v>131.9</v>
      </c>
    </row>
    <row r="1396" ht="22.5" customHeight="1">
      <c r="B1396" s="4">
        <v>2.7763987E7</v>
      </c>
      <c r="C1396" s="4">
        <v>7.54</v>
      </c>
      <c r="D1396" s="4">
        <v>131.9</v>
      </c>
    </row>
    <row r="1397" ht="22.5" customHeight="1">
      <c r="B1397" s="4">
        <v>2.778399E7</v>
      </c>
      <c r="C1397" s="4">
        <v>7.54</v>
      </c>
      <c r="D1397" s="4">
        <v>131.9</v>
      </c>
    </row>
    <row r="1398" ht="22.5" customHeight="1">
      <c r="B1398" s="4">
        <v>2.7803993E7</v>
      </c>
      <c r="C1398" s="4">
        <v>7.54</v>
      </c>
      <c r="D1398" s="4">
        <v>131.8</v>
      </c>
    </row>
    <row r="1399" ht="22.5" customHeight="1">
      <c r="B1399" s="4">
        <v>2.7823995E7</v>
      </c>
      <c r="C1399" s="4">
        <v>7.54</v>
      </c>
      <c r="D1399" s="4">
        <v>131.9</v>
      </c>
    </row>
    <row r="1400" ht="22.5" customHeight="1">
      <c r="B1400" s="4">
        <v>2.7843998E7</v>
      </c>
      <c r="C1400" s="4">
        <v>7.54</v>
      </c>
      <c r="D1400" s="4">
        <v>131.8</v>
      </c>
    </row>
    <row r="1401" ht="22.5" customHeight="1">
      <c r="B1401" s="4">
        <v>2.7864002E7</v>
      </c>
      <c r="C1401" s="4">
        <v>7.54</v>
      </c>
      <c r="D1401" s="4">
        <v>131.9</v>
      </c>
    </row>
    <row r="1402" ht="22.5" customHeight="1">
      <c r="B1402" s="4">
        <v>2.7884005E7</v>
      </c>
      <c r="C1402" s="4">
        <v>7.54</v>
      </c>
      <c r="D1402" s="4">
        <v>131.8</v>
      </c>
    </row>
    <row r="1403" ht="22.5" customHeight="1">
      <c r="B1403" s="4">
        <v>2.7904008E7</v>
      </c>
      <c r="C1403" s="4">
        <v>7.54</v>
      </c>
      <c r="D1403" s="4">
        <v>131.8</v>
      </c>
    </row>
    <row r="1404" ht="22.5" customHeight="1">
      <c r="B1404" s="4">
        <v>2.7924011E7</v>
      </c>
      <c r="C1404" s="4">
        <v>7.54</v>
      </c>
      <c r="D1404" s="4">
        <v>131.8</v>
      </c>
    </row>
    <row r="1405" ht="22.5" customHeight="1">
      <c r="B1405" s="4">
        <v>2.7944013E7</v>
      </c>
      <c r="C1405" s="4">
        <v>7.54</v>
      </c>
      <c r="D1405" s="4">
        <v>131.8</v>
      </c>
    </row>
    <row r="1406" ht="22.5" customHeight="1">
      <c r="B1406" s="4">
        <v>2.7964016E7</v>
      </c>
      <c r="C1406" s="4">
        <v>7.54</v>
      </c>
      <c r="D1406" s="4">
        <v>131.8</v>
      </c>
    </row>
    <row r="1407" ht="22.5" customHeight="1">
      <c r="B1407" s="4">
        <v>2.7984019E7</v>
      </c>
      <c r="C1407" s="4">
        <v>7.54</v>
      </c>
      <c r="D1407" s="4">
        <v>131.7</v>
      </c>
    </row>
    <row r="1408" ht="22.5" customHeight="1">
      <c r="B1408" s="4">
        <v>2.8004022E7</v>
      </c>
      <c r="C1408" s="4">
        <v>7.54</v>
      </c>
      <c r="D1408" s="4">
        <v>131.8</v>
      </c>
    </row>
    <row r="1409" ht="22.5" customHeight="1">
      <c r="B1409" s="4">
        <v>2.8024025E7</v>
      </c>
      <c r="C1409" s="4">
        <v>7.54</v>
      </c>
      <c r="D1409" s="4">
        <v>131.8</v>
      </c>
    </row>
    <row r="1410" ht="22.5" customHeight="1">
      <c r="B1410" s="4">
        <v>2.8044027E7</v>
      </c>
      <c r="C1410" s="4">
        <v>7.53</v>
      </c>
      <c r="D1410" s="4">
        <v>131.7</v>
      </c>
    </row>
    <row r="1411" ht="22.5" customHeight="1">
      <c r="B1411" s="4">
        <v>2.806403E7</v>
      </c>
      <c r="C1411" s="4">
        <v>7.53</v>
      </c>
      <c r="D1411" s="4">
        <v>131.8</v>
      </c>
    </row>
    <row r="1412" ht="22.5" customHeight="1">
      <c r="B1412" s="4">
        <v>2.8084033E7</v>
      </c>
      <c r="C1412" s="4">
        <v>7.53</v>
      </c>
      <c r="D1412" s="4">
        <v>131.8</v>
      </c>
    </row>
    <row r="1413" ht="22.5" customHeight="1">
      <c r="B1413" s="4">
        <v>2.8104036E7</v>
      </c>
      <c r="C1413" s="4">
        <v>7.53</v>
      </c>
      <c r="D1413" s="4">
        <v>131.7</v>
      </c>
    </row>
    <row r="1414" ht="22.5" customHeight="1">
      <c r="B1414" s="4">
        <v>2.812404E7</v>
      </c>
      <c r="C1414" s="4">
        <v>7.53</v>
      </c>
      <c r="D1414" s="4">
        <v>131.8</v>
      </c>
    </row>
    <row r="1415" ht="22.5" customHeight="1">
      <c r="B1415" s="4">
        <v>2.8144043E7</v>
      </c>
      <c r="C1415" s="4">
        <v>7.53</v>
      </c>
      <c r="D1415" s="4">
        <v>131.8</v>
      </c>
    </row>
    <row r="1416" ht="22.5" customHeight="1">
      <c r="B1416" s="4">
        <v>2.8164045E7</v>
      </c>
      <c r="C1416" s="4">
        <v>7.53</v>
      </c>
      <c r="D1416" s="4">
        <v>131.7</v>
      </c>
    </row>
    <row r="1417" ht="22.5" customHeight="1">
      <c r="B1417" s="4">
        <v>2.8184048E7</v>
      </c>
      <c r="C1417" s="4">
        <v>7.53</v>
      </c>
      <c r="D1417" s="4">
        <v>131.7</v>
      </c>
    </row>
    <row r="1418" ht="22.5" customHeight="1">
      <c r="B1418" s="4">
        <v>2.8204051E7</v>
      </c>
      <c r="C1418" s="4">
        <v>7.53</v>
      </c>
      <c r="D1418" s="4">
        <v>131.8</v>
      </c>
    </row>
    <row r="1419" ht="22.5" customHeight="1">
      <c r="B1419" s="4">
        <v>2.8224054E7</v>
      </c>
      <c r="C1419" s="4">
        <v>7.53</v>
      </c>
      <c r="D1419" s="4">
        <v>131.7</v>
      </c>
    </row>
    <row r="1420" ht="22.5" customHeight="1">
      <c r="B1420" s="4">
        <v>2.8244057E7</v>
      </c>
      <c r="C1420" s="4">
        <v>7.53</v>
      </c>
      <c r="D1420" s="4">
        <v>131.8</v>
      </c>
    </row>
    <row r="1421" ht="22.5" customHeight="1">
      <c r="B1421" s="4">
        <v>2.8264059E7</v>
      </c>
      <c r="C1421" s="4">
        <v>7.53</v>
      </c>
      <c r="D1421" s="4">
        <v>131.7</v>
      </c>
    </row>
    <row r="1422" ht="22.5" customHeight="1">
      <c r="B1422" s="4">
        <v>2.8284062E7</v>
      </c>
      <c r="C1422" s="4">
        <v>7.53</v>
      </c>
      <c r="D1422" s="4">
        <v>131.7</v>
      </c>
    </row>
    <row r="1423" ht="22.5" customHeight="1">
      <c r="B1423" s="4">
        <v>2.8304065E7</v>
      </c>
      <c r="C1423" s="4">
        <v>7.53</v>
      </c>
      <c r="D1423" s="4">
        <v>131.7</v>
      </c>
    </row>
    <row r="1424" ht="22.5" customHeight="1">
      <c r="B1424" s="4">
        <v>2.8324068E7</v>
      </c>
      <c r="C1424" s="4">
        <v>7.53</v>
      </c>
      <c r="D1424" s="4">
        <v>131.7</v>
      </c>
    </row>
    <row r="1425" ht="22.5" customHeight="1">
      <c r="B1425" s="4">
        <v>2.8344071E7</v>
      </c>
      <c r="C1425" s="4">
        <v>7.53</v>
      </c>
      <c r="D1425" s="4">
        <v>131.7</v>
      </c>
    </row>
    <row r="1426" ht="22.5" customHeight="1">
      <c r="B1426" s="4">
        <v>2.8364073E7</v>
      </c>
      <c r="C1426" s="4">
        <v>7.53</v>
      </c>
      <c r="D1426" s="4">
        <v>131.7</v>
      </c>
    </row>
    <row r="1427" ht="22.5" customHeight="1">
      <c r="B1427" s="4">
        <v>2.8384076E7</v>
      </c>
      <c r="C1427" s="4">
        <v>7.53</v>
      </c>
      <c r="D1427" s="4">
        <v>131.6</v>
      </c>
    </row>
    <row r="1428" ht="22.5" customHeight="1">
      <c r="B1428" s="4">
        <v>2.840408E7</v>
      </c>
      <c r="C1428" s="4">
        <v>7.53</v>
      </c>
      <c r="D1428" s="4">
        <v>131.6</v>
      </c>
    </row>
    <row r="1429" ht="22.5" customHeight="1">
      <c r="B1429" s="4">
        <v>2.8424083E7</v>
      </c>
      <c r="C1429" s="4">
        <v>7.53</v>
      </c>
      <c r="D1429" s="4">
        <v>131.6</v>
      </c>
    </row>
    <row r="1430" ht="22.5" customHeight="1">
      <c r="B1430" s="4">
        <v>2.8444086E7</v>
      </c>
      <c r="C1430" s="4">
        <v>7.53</v>
      </c>
      <c r="D1430" s="4">
        <v>131.6</v>
      </c>
    </row>
    <row r="1431" ht="22.5" customHeight="1">
      <c r="B1431" s="4">
        <v>2.8464089E7</v>
      </c>
      <c r="C1431" s="4">
        <v>7.53</v>
      </c>
      <c r="D1431" s="4">
        <v>131.6</v>
      </c>
    </row>
    <row r="1432" ht="22.5" customHeight="1">
      <c r="B1432" s="4">
        <v>2.8484091E7</v>
      </c>
      <c r="C1432" s="4">
        <v>7.53</v>
      </c>
      <c r="D1432" s="4">
        <v>131.7</v>
      </c>
    </row>
    <row r="1433" ht="22.5" customHeight="1">
      <c r="B1433" s="4">
        <v>2.8504094E7</v>
      </c>
      <c r="C1433" s="4">
        <v>7.52</v>
      </c>
      <c r="D1433" s="4">
        <v>131.6</v>
      </c>
    </row>
    <row r="1434" ht="22.5" customHeight="1">
      <c r="B1434" s="4">
        <v>2.8524097E7</v>
      </c>
      <c r="C1434" s="4">
        <v>7.53</v>
      </c>
      <c r="D1434" s="4">
        <v>131.6</v>
      </c>
    </row>
    <row r="1435" ht="22.5" customHeight="1">
      <c r="B1435" s="4">
        <v>2.85441E7</v>
      </c>
      <c r="C1435" s="4">
        <v>7.53</v>
      </c>
      <c r="D1435" s="4">
        <v>131.7</v>
      </c>
    </row>
    <row r="1436" ht="22.5" customHeight="1">
      <c r="B1436" s="4">
        <v>2.8564103E7</v>
      </c>
      <c r="C1436" s="4">
        <v>7.53</v>
      </c>
      <c r="D1436" s="4">
        <v>131.6</v>
      </c>
    </row>
    <row r="1437" ht="22.5" customHeight="1">
      <c r="B1437" s="4">
        <v>2.8584105E7</v>
      </c>
      <c r="C1437" s="4">
        <v>7.53</v>
      </c>
      <c r="D1437" s="4">
        <v>131.6</v>
      </c>
    </row>
    <row r="1438" ht="22.5" customHeight="1">
      <c r="B1438" s="4">
        <v>2.8604108E7</v>
      </c>
      <c r="C1438" s="4">
        <v>7.52</v>
      </c>
      <c r="D1438" s="4">
        <v>131.6</v>
      </c>
    </row>
    <row r="1439" ht="22.5" customHeight="1">
      <c r="B1439" s="4">
        <v>2.8624111E7</v>
      </c>
      <c r="C1439" s="4">
        <v>7.52</v>
      </c>
      <c r="D1439" s="4">
        <v>131.6</v>
      </c>
    </row>
    <row r="1440" ht="22.5" customHeight="1">
      <c r="B1440" s="4">
        <v>2.8644114E7</v>
      </c>
      <c r="C1440" s="4">
        <v>7.52</v>
      </c>
      <c r="D1440" s="4">
        <v>131.6</v>
      </c>
    </row>
    <row r="1441" ht="22.5" customHeight="1">
      <c r="B1441" s="4">
        <v>2.8664117E7</v>
      </c>
      <c r="C1441" s="4">
        <v>7.52</v>
      </c>
      <c r="D1441" s="4">
        <v>131.5</v>
      </c>
    </row>
    <row r="1442" ht="22.5" customHeight="1">
      <c r="B1442" s="4">
        <v>2.8684121E7</v>
      </c>
      <c r="C1442" s="4">
        <v>7.52</v>
      </c>
      <c r="D1442" s="4">
        <v>131.5</v>
      </c>
    </row>
    <row r="1443" ht="22.5" customHeight="1">
      <c r="B1443" s="4">
        <v>2.8704123E7</v>
      </c>
      <c r="C1443" s="4">
        <v>7.52</v>
      </c>
      <c r="D1443" s="4">
        <v>131.5</v>
      </c>
    </row>
    <row r="1444" ht="22.5" customHeight="1">
      <c r="B1444" s="4">
        <v>2.8724126E7</v>
      </c>
      <c r="C1444" s="4">
        <v>7.52</v>
      </c>
      <c r="D1444" s="4">
        <v>131.6</v>
      </c>
    </row>
    <row r="1445" ht="22.5" customHeight="1">
      <c r="B1445" s="4">
        <v>2.8744129E7</v>
      </c>
      <c r="C1445" s="4">
        <v>7.52</v>
      </c>
      <c r="D1445" s="4">
        <v>131.5</v>
      </c>
    </row>
    <row r="1446" ht="22.5" customHeight="1">
      <c r="B1446" s="4">
        <v>2.8764132E7</v>
      </c>
      <c r="C1446" s="4">
        <v>7.52</v>
      </c>
      <c r="D1446" s="4">
        <v>131.5</v>
      </c>
    </row>
    <row r="1447" ht="22.5" customHeight="1">
      <c r="B1447" s="4">
        <v>2.8784135E7</v>
      </c>
      <c r="C1447" s="4">
        <v>7.52</v>
      </c>
      <c r="D1447" s="4">
        <v>131.6</v>
      </c>
    </row>
    <row r="1448" ht="22.5" customHeight="1">
      <c r="B1448" s="4">
        <v>2.8804137E7</v>
      </c>
      <c r="C1448" s="4">
        <v>7.52</v>
      </c>
      <c r="D1448" s="4">
        <v>131.5</v>
      </c>
    </row>
    <row r="1449" ht="22.5" customHeight="1">
      <c r="B1449" s="4">
        <v>2.882414E7</v>
      </c>
      <c r="C1449" s="4">
        <v>7.52</v>
      </c>
      <c r="D1449" s="4">
        <v>131.5</v>
      </c>
    </row>
    <row r="1450" ht="22.5" customHeight="1">
      <c r="B1450" s="4">
        <v>2.8844143E7</v>
      </c>
      <c r="C1450" s="4">
        <v>7.52</v>
      </c>
      <c r="D1450" s="4">
        <v>131.5</v>
      </c>
    </row>
    <row r="1451" ht="22.5" customHeight="1">
      <c r="B1451" s="4">
        <v>2.8864146E7</v>
      </c>
      <c r="C1451" s="4">
        <v>7.52</v>
      </c>
      <c r="D1451" s="4">
        <v>131.6</v>
      </c>
    </row>
    <row r="1452" ht="22.5" customHeight="1">
      <c r="B1452" s="4">
        <v>2.8884149E7</v>
      </c>
      <c r="C1452" s="4">
        <v>7.52</v>
      </c>
      <c r="D1452" s="4">
        <v>131.5</v>
      </c>
    </row>
    <row r="1453" ht="22.5" customHeight="1">
      <c r="B1453" s="4">
        <v>2.8904152E7</v>
      </c>
      <c r="C1453" s="4">
        <v>7.52</v>
      </c>
      <c r="D1453" s="4">
        <v>131.5</v>
      </c>
    </row>
    <row r="1454" ht="22.5" customHeight="1">
      <c r="B1454" s="4">
        <v>2.8924154E7</v>
      </c>
      <c r="C1454" s="4">
        <v>7.52</v>
      </c>
      <c r="D1454" s="4">
        <v>131.5</v>
      </c>
    </row>
    <row r="1455" ht="22.5" customHeight="1">
      <c r="B1455" s="4">
        <v>2.8944157E7</v>
      </c>
      <c r="C1455" s="4">
        <v>7.52</v>
      </c>
      <c r="D1455" s="4">
        <v>131.5</v>
      </c>
    </row>
    <row r="1456" ht="22.5" customHeight="1">
      <c r="B1456" s="4">
        <v>2.8964161E7</v>
      </c>
      <c r="C1456" s="4">
        <v>7.52</v>
      </c>
      <c r="D1456" s="4">
        <v>131.4</v>
      </c>
    </row>
    <row r="1457" ht="22.5" customHeight="1">
      <c r="B1457" s="4">
        <v>2.8984164E7</v>
      </c>
      <c r="C1457" s="4">
        <v>7.52</v>
      </c>
      <c r="D1457" s="4">
        <v>131.5</v>
      </c>
    </row>
    <row r="1458" ht="22.5" customHeight="1">
      <c r="B1458" s="4">
        <v>2.9004167E7</v>
      </c>
      <c r="C1458" s="4">
        <v>7.52</v>
      </c>
      <c r="D1458" s="4">
        <v>131.5</v>
      </c>
    </row>
    <row r="1459" ht="22.5" customHeight="1">
      <c r="B1459" s="4">
        <v>2.9024169E7</v>
      </c>
      <c r="C1459" s="4">
        <v>7.52</v>
      </c>
      <c r="D1459" s="4">
        <v>131.4</v>
      </c>
    </row>
    <row r="1460" ht="22.5" customHeight="1">
      <c r="B1460" s="4">
        <v>2.9044172E7</v>
      </c>
      <c r="C1460" s="4">
        <v>7.52</v>
      </c>
      <c r="D1460" s="4">
        <v>131.4</v>
      </c>
    </row>
    <row r="1461" ht="22.5" customHeight="1">
      <c r="B1461" s="4">
        <v>2.9064175E7</v>
      </c>
      <c r="C1461" s="4">
        <v>7.52</v>
      </c>
      <c r="D1461" s="4">
        <v>131.4</v>
      </c>
    </row>
    <row r="1462" ht="22.5" customHeight="1">
      <c r="B1462" s="4">
        <v>2.9084178E7</v>
      </c>
      <c r="C1462" s="4">
        <v>7.51</v>
      </c>
      <c r="D1462" s="4">
        <v>131.4</v>
      </c>
    </row>
    <row r="1463" ht="22.5" customHeight="1">
      <c r="B1463" s="4">
        <v>2.9104181E7</v>
      </c>
      <c r="C1463" s="4">
        <v>7.52</v>
      </c>
      <c r="D1463" s="4">
        <v>131.4</v>
      </c>
    </row>
    <row r="1464" ht="22.5" customHeight="1">
      <c r="B1464" s="4">
        <v>2.9124184E7</v>
      </c>
      <c r="C1464" s="4">
        <v>7.52</v>
      </c>
      <c r="D1464" s="4">
        <v>131.4</v>
      </c>
    </row>
    <row r="1465" ht="22.5" customHeight="1">
      <c r="B1465" s="4">
        <v>2.9144186E7</v>
      </c>
      <c r="C1465" s="4">
        <v>7.51</v>
      </c>
      <c r="D1465" s="4">
        <v>131.4</v>
      </c>
    </row>
    <row r="1466" ht="22.5" customHeight="1">
      <c r="B1466" s="4">
        <v>2.9164189E7</v>
      </c>
      <c r="C1466" s="4">
        <v>7.51</v>
      </c>
      <c r="D1466" s="4">
        <v>131.4</v>
      </c>
    </row>
    <row r="1467" ht="22.5" customHeight="1">
      <c r="B1467" s="4">
        <v>2.9184192E7</v>
      </c>
      <c r="C1467" s="4">
        <v>7.51</v>
      </c>
      <c r="D1467" s="4">
        <v>131.4</v>
      </c>
    </row>
    <row r="1468" ht="22.5" customHeight="1">
      <c r="B1468" s="4">
        <v>2.9204195E7</v>
      </c>
      <c r="C1468" s="4">
        <v>7.51</v>
      </c>
      <c r="D1468" s="4">
        <v>131.3</v>
      </c>
    </row>
    <row r="1469" ht="22.5" customHeight="1">
      <c r="B1469" s="4">
        <v>2.9224198E7</v>
      </c>
      <c r="C1469" s="4">
        <v>7.51</v>
      </c>
      <c r="D1469" s="4">
        <v>131.3</v>
      </c>
    </row>
    <row r="1470" ht="22.5" customHeight="1">
      <c r="B1470" s="4">
        <v>2.9244201E7</v>
      </c>
      <c r="C1470" s="4">
        <v>7.51</v>
      </c>
      <c r="D1470" s="4">
        <v>131.4</v>
      </c>
    </row>
    <row r="1471" ht="22.5" customHeight="1">
      <c r="B1471" s="4">
        <v>2.9264204E7</v>
      </c>
      <c r="C1471" s="4">
        <v>7.51</v>
      </c>
      <c r="D1471" s="4">
        <v>131.3</v>
      </c>
    </row>
    <row r="1472" ht="22.5" customHeight="1">
      <c r="B1472" s="4">
        <v>2.9284207E7</v>
      </c>
      <c r="C1472" s="4">
        <v>7.51</v>
      </c>
      <c r="D1472" s="4">
        <v>131.4</v>
      </c>
    </row>
    <row r="1473" ht="22.5" customHeight="1">
      <c r="B1473" s="4">
        <v>2.930421E7</v>
      </c>
      <c r="C1473" s="4">
        <v>7.51</v>
      </c>
      <c r="D1473" s="4">
        <v>131.3</v>
      </c>
    </row>
    <row r="1474" ht="22.5" customHeight="1">
      <c r="B1474" s="4">
        <v>2.9324213E7</v>
      </c>
      <c r="C1474" s="4">
        <v>7.51</v>
      </c>
      <c r="D1474" s="4">
        <v>131.4</v>
      </c>
    </row>
    <row r="1475" ht="22.5" customHeight="1">
      <c r="B1475" s="4">
        <v>2.9344216E7</v>
      </c>
      <c r="C1475" s="4">
        <v>7.51</v>
      </c>
      <c r="D1475" s="4">
        <v>131.3</v>
      </c>
    </row>
    <row r="1476" ht="22.5" customHeight="1">
      <c r="B1476" s="4">
        <v>2.9364218E7</v>
      </c>
      <c r="C1476" s="4">
        <v>7.51</v>
      </c>
      <c r="D1476" s="4">
        <v>131.3</v>
      </c>
    </row>
    <row r="1477" ht="22.5" customHeight="1">
      <c r="B1477" s="4">
        <v>2.9384221E7</v>
      </c>
      <c r="C1477" s="4">
        <v>7.51</v>
      </c>
      <c r="D1477" s="4">
        <v>131.3</v>
      </c>
    </row>
    <row r="1478" ht="22.5" customHeight="1">
      <c r="B1478" s="4">
        <v>2.9404224E7</v>
      </c>
      <c r="C1478" s="4">
        <v>7.51</v>
      </c>
      <c r="D1478" s="4">
        <v>131.3</v>
      </c>
    </row>
    <row r="1479" ht="22.5" customHeight="1">
      <c r="B1479" s="4">
        <v>2.9424227E7</v>
      </c>
      <c r="C1479" s="4">
        <v>7.51</v>
      </c>
      <c r="D1479" s="4">
        <v>131.3</v>
      </c>
    </row>
    <row r="1480" ht="22.5" customHeight="1">
      <c r="B1480" s="4">
        <v>2.944423E7</v>
      </c>
      <c r="C1480" s="4">
        <v>7.51</v>
      </c>
      <c r="D1480" s="4">
        <v>131.3</v>
      </c>
    </row>
    <row r="1481" ht="22.5" customHeight="1">
      <c r="B1481" s="4">
        <v>2.9464232E7</v>
      </c>
      <c r="C1481" s="4">
        <v>7.5</v>
      </c>
      <c r="D1481" s="4">
        <v>131.2</v>
      </c>
    </row>
    <row r="1482" ht="22.5" customHeight="1">
      <c r="B1482" s="4">
        <v>2.9484235E7</v>
      </c>
      <c r="C1482" s="4">
        <v>7.5</v>
      </c>
      <c r="D1482" s="4">
        <v>131.3</v>
      </c>
    </row>
    <row r="1483" ht="22.5" customHeight="1">
      <c r="B1483" s="4">
        <v>2.9504239E7</v>
      </c>
      <c r="C1483" s="4">
        <v>7.5</v>
      </c>
      <c r="D1483" s="4">
        <v>131.2</v>
      </c>
    </row>
    <row r="1484" ht="22.5" customHeight="1">
      <c r="B1484" s="4">
        <v>2.9524242E7</v>
      </c>
      <c r="C1484" s="4">
        <v>7.5</v>
      </c>
      <c r="D1484" s="4">
        <v>131.2</v>
      </c>
    </row>
    <row r="1485" ht="22.5" customHeight="1">
      <c r="B1485" s="4">
        <v>2.9544245E7</v>
      </c>
      <c r="C1485" s="4">
        <v>7.5</v>
      </c>
      <c r="D1485" s="4">
        <v>131.2</v>
      </c>
    </row>
    <row r="1486" ht="22.5" customHeight="1">
      <c r="B1486" s="4">
        <v>2.9564248E7</v>
      </c>
      <c r="C1486" s="4">
        <v>7.5</v>
      </c>
      <c r="D1486" s="4">
        <v>131.2</v>
      </c>
    </row>
    <row r="1487" ht="22.5" customHeight="1">
      <c r="B1487" s="4">
        <v>2.958425E7</v>
      </c>
      <c r="C1487" s="4">
        <v>7.5</v>
      </c>
      <c r="D1487" s="4">
        <v>131.2</v>
      </c>
    </row>
    <row r="1488" ht="22.5" customHeight="1">
      <c r="B1488" s="4">
        <v>2.9604253E7</v>
      </c>
      <c r="C1488" s="4">
        <v>7.5</v>
      </c>
      <c r="D1488" s="4">
        <v>131.2</v>
      </c>
    </row>
    <row r="1489" ht="22.5" customHeight="1">
      <c r="B1489" s="4">
        <v>2.9624256E7</v>
      </c>
      <c r="C1489" s="4">
        <v>7.5</v>
      </c>
      <c r="D1489" s="4">
        <v>131.3</v>
      </c>
    </row>
    <row r="1490" ht="22.5" customHeight="1">
      <c r="B1490" s="4">
        <v>2.9644259E7</v>
      </c>
      <c r="C1490" s="4">
        <v>7.5</v>
      </c>
      <c r="D1490" s="4">
        <v>131.2</v>
      </c>
    </row>
    <row r="1491" ht="22.5" customHeight="1">
      <c r="B1491" s="4">
        <v>2.9664262E7</v>
      </c>
      <c r="C1491" s="4">
        <v>7.5</v>
      </c>
      <c r="D1491" s="4">
        <v>131.2</v>
      </c>
    </row>
    <row r="1492" ht="22.5" customHeight="1">
      <c r="B1492" s="4">
        <v>2.9684264E7</v>
      </c>
      <c r="C1492" s="4">
        <v>7.5</v>
      </c>
      <c r="D1492" s="4">
        <v>131.2</v>
      </c>
    </row>
    <row r="1493" ht="22.5" customHeight="1">
      <c r="B1493" s="4">
        <v>2.9704267E7</v>
      </c>
      <c r="C1493" s="4">
        <v>7.5</v>
      </c>
      <c r="D1493" s="4">
        <v>131.2</v>
      </c>
    </row>
    <row r="1494" ht="22.5" customHeight="1">
      <c r="B1494" s="4">
        <v>2.972427E7</v>
      </c>
      <c r="C1494" s="4">
        <v>7.5</v>
      </c>
      <c r="D1494" s="4">
        <v>131.2</v>
      </c>
    </row>
    <row r="1495" ht="22.5" customHeight="1">
      <c r="B1495" s="4">
        <v>2.9744273E7</v>
      </c>
      <c r="C1495" s="4">
        <v>7.5</v>
      </c>
      <c r="D1495" s="4">
        <v>131.1</v>
      </c>
    </row>
    <row r="1496" ht="22.5" customHeight="1">
      <c r="B1496" s="4">
        <v>2.9764276E7</v>
      </c>
      <c r="C1496" s="4">
        <v>7.5</v>
      </c>
      <c r="D1496" s="4">
        <v>131.1</v>
      </c>
    </row>
    <row r="1497" ht="22.5" customHeight="1">
      <c r="B1497" s="4">
        <v>2.9784279E7</v>
      </c>
      <c r="C1497" s="4">
        <v>7.5</v>
      </c>
      <c r="D1497" s="4">
        <v>131.1</v>
      </c>
    </row>
    <row r="1498" ht="22.5" customHeight="1">
      <c r="B1498" s="4">
        <v>2.9804282E7</v>
      </c>
      <c r="C1498" s="4">
        <v>7.5</v>
      </c>
      <c r="D1498" s="4">
        <v>131.1</v>
      </c>
    </row>
    <row r="1499" ht="22.5" customHeight="1">
      <c r="B1499" s="4">
        <v>2.9824285E7</v>
      </c>
      <c r="C1499" s="4">
        <v>7.5</v>
      </c>
      <c r="D1499" s="4">
        <v>131.1</v>
      </c>
    </row>
    <row r="1500" ht="22.5" customHeight="1">
      <c r="B1500" s="4">
        <v>2.9844288E7</v>
      </c>
      <c r="C1500" s="4">
        <v>7.5</v>
      </c>
      <c r="D1500" s="4">
        <v>131.1</v>
      </c>
    </row>
    <row r="1501" ht="22.5" customHeight="1">
      <c r="B1501" s="4">
        <v>2.9864291E7</v>
      </c>
      <c r="C1501" s="4">
        <v>7.5</v>
      </c>
      <c r="D1501" s="4">
        <v>131.1</v>
      </c>
    </row>
    <row r="1502" ht="22.5" customHeight="1">
      <c r="B1502" s="4">
        <v>2.9884294E7</v>
      </c>
      <c r="C1502" s="4">
        <v>7.5</v>
      </c>
      <c r="D1502" s="4">
        <v>131.0</v>
      </c>
    </row>
    <row r="1503" ht="22.5" customHeight="1">
      <c r="B1503" s="4">
        <v>2.9904296E7</v>
      </c>
      <c r="C1503" s="4">
        <v>7.5</v>
      </c>
      <c r="D1503" s="4">
        <v>131.1</v>
      </c>
    </row>
    <row r="1504" ht="22.5" customHeight="1">
      <c r="B1504" s="4">
        <v>2.9924299E7</v>
      </c>
      <c r="C1504" s="4">
        <v>7.5</v>
      </c>
      <c r="D1504" s="4">
        <v>131.1</v>
      </c>
    </row>
    <row r="1505" ht="22.5" customHeight="1">
      <c r="B1505" s="4">
        <v>2.9944302E7</v>
      </c>
      <c r="C1505" s="4">
        <v>7.49</v>
      </c>
      <c r="D1505" s="4">
        <v>131.0</v>
      </c>
    </row>
    <row r="1506" ht="22.5" customHeight="1">
      <c r="B1506" s="4">
        <v>2.9964305E7</v>
      </c>
      <c r="C1506" s="4">
        <v>7.5</v>
      </c>
      <c r="D1506" s="4">
        <v>131.0</v>
      </c>
    </row>
    <row r="1507" ht="22.5" customHeight="1">
      <c r="B1507" s="4">
        <v>2.9984308E7</v>
      </c>
      <c r="C1507" s="4">
        <v>7.49</v>
      </c>
      <c r="D1507" s="4">
        <v>131.1</v>
      </c>
    </row>
    <row r="1508" ht="22.5" customHeight="1">
      <c r="B1508" s="4">
        <v>3.0004311E7</v>
      </c>
      <c r="C1508" s="4">
        <v>7.49</v>
      </c>
      <c r="D1508" s="4">
        <v>131.0</v>
      </c>
    </row>
    <row r="1509" ht="22.5" customHeight="1">
      <c r="B1509" s="4">
        <v>3.0024313E7</v>
      </c>
      <c r="C1509" s="4">
        <v>7.49</v>
      </c>
      <c r="D1509" s="4">
        <v>131.0</v>
      </c>
    </row>
    <row r="1510" ht="22.5" customHeight="1">
      <c r="B1510" s="4">
        <v>3.0044316E7</v>
      </c>
      <c r="C1510" s="4">
        <v>7.5</v>
      </c>
      <c r="D1510" s="4">
        <v>131.0</v>
      </c>
    </row>
    <row r="1511" ht="22.5" customHeight="1">
      <c r="B1511" s="4">
        <v>3.0064319E7</v>
      </c>
      <c r="C1511" s="4">
        <v>7.49</v>
      </c>
      <c r="D1511" s="4">
        <v>131.0</v>
      </c>
    </row>
    <row r="1512" ht="22.5" customHeight="1">
      <c r="B1512" s="4">
        <v>3.0084323E7</v>
      </c>
      <c r="C1512" s="4">
        <v>7.49</v>
      </c>
      <c r="D1512" s="4">
        <v>131.0</v>
      </c>
    </row>
    <row r="1513" ht="22.5" customHeight="1">
      <c r="B1513" s="4">
        <v>3.0104326E7</v>
      </c>
      <c r="C1513" s="4">
        <v>7.49</v>
      </c>
      <c r="D1513" s="4">
        <v>131.0</v>
      </c>
    </row>
    <row r="1514" ht="22.5" customHeight="1">
      <c r="B1514" s="4">
        <v>3.0124328E7</v>
      </c>
      <c r="C1514" s="4">
        <v>7.49</v>
      </c>
      <c r="D1514" s="4">
        <v>130.9</v>
      </c>
    </row>
    <row r="1515" ht="22.5" customHeight="1">
      <c r="B1515" s="4">
        <v>3.0144331E7</v>
      </c>
      <c r="C1515" s="4">
        <v>7.49</v>
      </c>
      <c r="D1515" s="4">
        <v>131.0</v>
      </c>
    </row>
    <row r="1516" ht="22.5" customHeight="1">
      <c r="B1516" s="4">
        <v>3.0164334E7</v>
      </c>
      <c r="C1516" s="4">
        <v>7.49</v>
      </c>
      <c r="D1516" s="4">
        <v>131.0</v>
      </c>
    </row>
    <row r="1517" ht="22.5" customHeight="1">
      <c r="B1517" s="4">
        <v>3.0184337E7</v>
      </c>
      <c r="C1517" s="4">
        <v>7.49</v>
      </c>
      <c r="D1517" s="4">
        <v>130.9</v>
      </c>
    </row>
    <row r="1518" ht="22.5" customHeight="1">
      <c r="B1518" s="4">
        <v>3.020434E7</v>
      </c>
      <c r="C1518" s="4">
        <v>7.49</v>
      </c>
      <c r="D1518" s="4">
        <v>130.9</v>
      </c>
    </row>
    <row r="1519" ht="22.5" customHeight="1">
      <c r="B1519" s="4">
        <v>3.0224343E7</v>
      </c>
      <c r="C1519" s="4">
        <v>7.49</v>
      </c>
      <c r="D1519" s="4">
        <v>130.9</v>
      </c>
    </row>
    <row r="1520" ht="22.5" customHeight="1">
      <c r="B1520" s="4">
        <v>3.0244345E7</v>
      </c>
      <c r="C1520" s="4">
        <v>7.49</v>
      </c>
      <c r="D1520" s="4">
        <v>130.9</v>
      </c>
    </row>
    <row r="1521" ht="22.5" customHeight="1">
      <c r="B1521" s="4">
        <v>3.0264348E7</v>
      </c>
      <c r="C1521" s="4">
        <v>7.48</v>
      </c>
      <c r="D1521" s="4">
        <v>131.0</v>
      </c>
    </row>
    <row r="1522" ht="22.5" customHeight="1">
      <c r="B1522" s="4">
        <v>3.0284351E7</v>
      </c>
      <c r="C1522" s="4">
        <v>7.48</v>
      </c>
      <c r="D1522" s="4">
        <v>130.9</v>
      </c>
    </row>
    <row r="1523" ht="22.5" customHeight="1">
      <c r="B1523" s="4">
        <v>3.0304354E7</v>
      </c>
      <c r="C1523" s="4">
        <v>7.49</v>
      </c>
      <c r="D1523" s="4">
        <v>130.9</v>
      </c>
    </row>
    <row r="1524" ht="22.5" customHeight="1">
      <c r="B1524" s="4">
        <v>3.0324357E7</v>
      </c>
      <c r="C1524" s="4">
        <v>7.49</v>
      </c>
      <c r="D1524" s="4">
        <v>130.9</v>
      </c>
    </row>
    <row r="1525" ht="22.5" customHeight="1">
      <c r="B1525" s="4">
        <v>3.0344359E7</v>
      </c>
      <c r="C1525" s="4">
        <v>7.49</v>
      </c>
      <c r="D1525" s="4">
        <v>130.8</v>
      </c>
    </row>
    <row r="1526" ht="22.5" customHeight="1">
      <c r="B1526" s="4">
        <v>3.0364362E7</v>
      </c>
      <c r="C1526" s="4">
        <v>7.49</v>
      </c>
      <c r="D1526" s="4">
        <v>130.9</v>
      </c>
    </row>
    <row r="1527" ht="22.5" customHeight="1">
      <c r="B1527" s="4">
        <v>3.0384366E7</v>
      </c>
      <c r="C1527" s="4">
        <v>7.48</v>
      </c>
      <c r="D1527" s="4">
        <v>130.9</v>
      </c>
    </row>
    <row r="1528" ht="22.5" customHeight="1">
      <c r="B1528" s="4">
        <v>3.0404369E7</v>
      </c>
      <c r="C1528" s="4">
        <v>7.48</v>
      </c>
      <c r="D1528" s="4">
        <v>130.9</v>
      </c>
    </row>
    <row r="1529" ht="22.5" customHeight="1">
      <c r="B1529" s="4">
        <v>3.0424372E7</v>
      </c>
      <c r="C1529" s="4">
        <v>7.48</v>
      </c>
      <c r="D1529" s="4">
        <v>130.9</v>
      </c>
    </row>
    <row r="1530" ht="22.5" customHeight="1">
      <c r="B1530" s="4">
        <v>3.0444375E7</v>
      </c>
      <c r="C1530" s="4">
        <v>7.48</v>
      </c>
      <c r="D1530" s="4">
        <v>130.8</v>
      </c>
    </row>
    <row r="1531" ht="22.5" customHeight="1">
      <c r="B1531" s="4">
        <v>3.0464377E7</v>
      </c>
      <c r="C1531" s="4">
        <v>7.48</v>
      </c>
      <c r="D1531" s="4">
        <v>130.8</v>
      </c>
    </row>
    <row r="1532" ht="22.5" customHeight="1">
      <c r="B1532" s="4">
        <v>3.048438E7</v>
      </c>
      <c r="C1532" s="4">
        <v>7.48</v>
      </c>
      <c r="D1532" s="4">
        <v>130.8</v>
      </c>
    </row>
    <row r="1533" ht="22.5" customHeight="1">
      <c r="B1533" s="4">
        <v>3.0504383E7</v>
      </c>
      <c r="C1533" s="4">
        <v>7.48</v>
      </c>
      <c r="D1533" s="4">
        <v>130.8</v>
      </c>
    </row>
    <row r="1534" ht="22.5" customHeight="1">
      <c r="B1534" s="4">
        <v>3.0524386E7</v>
      </c>
      <c r="C1534" s="4">
        <v>7.48</v>
      </c>
      <c r="D1534" s="4">
        <v>130.8</v>
      </c>
    </row>
    <row r="1535" ht="22.5" customHeight="1">
      <c r="B1535" s="4">
        <v>3.0544389E7</v>
      </c>
      <c r="C1535" s="4">
        <v>7.48</v>
      </c>
      <c r="D1535" s="4">
        <v>130.8</v>
      </c>
    </row>
    <row r="1536" ht="22.5" customHeight="1">
      <c r="B1536" s="4">
        <v>3.0564391E7</v>
      </c>
      <c r="C1536" s="4">
        <v>7.48</v>
      </c>
      <c r="D1536" s="4">
        <v>130.8</v>
      </c>
    </row>
    <row r="1537" ht="22.5" customHeight="1">
      <c r="B1537" s="4">
        <v>3.0584394E7</v>
      </c>
      <c r="C1537" s="4">
        <v>7.48</v>
      </c>
      <c r="D1537" s="4">
        <v>130.8</v>
      </c>
    </row>
    <row r="1538" ht="22.5" customHeight="1">
      <c r="B1538" s="4">
        <v>3.0604397E7</v>
      </c>
      <c r="C1538" s="4">
        <v>7.48</v>
      </c>
      <c r="D1538" s="4">
        <v>130.8</v>
      </c>
    </row>
    <row r="1539" ht="22.5" customHeight="1">
      <c r="B1539" s="4">
        <v>3.06244E7</v>
      </c>
      <c r="C1539" s="4">
        <v>7.48</v>
      </c>
      <c r="D1539" s="4">
        <v>130.8</v>
      </c>
    </row>
    <row r="1540" ht="22.5" customHeight="1">
      <c r="B1540" s="4">
        <v>3.0644404E7</v>
      </c>
      <c r="C1540" s="4">
        <v>7.48</v>
      </c>
      <c r="D1540" s="4">
        <v>130.8</v>
      </c>
    </row>
    <row r="1541" ht="22.5" customHeight="1">
      <c r="B1541" s="4">
        <v>3.0664407E7</v>
      </c>
      <c r="C1541" s="4">
        <v>7.48</v>
      </c>
      <c r="D1541" s="4">
        <v>130.8</v>
      </c>
    </row>
    <row r="1542" ht="22.5" customHeight="1">
      <c r="B1542" s="4">
        <v>3.0684409E7</v>
      </c>
      <c r="C1542" s="4">
        <v>7.48</v>
      </c>
      <c r="D1542" s="4">
        <v>130.7</v>
      </c>
    </row>
    <row r="1543" ht="22.5" customHeight="1">
      <c r="B1543" s="4">
        <v>3.0704412E7</v>
      </c>
      <c r="C1543" s="4">
        <v>7.48</v>
      </c>
      <c r="D1543" s="4">
        <v>130.7</v>
      </c>
    </row>
    <row r="1544" ht="22.5" customHeight="1">
      <c r="B1544" s="4">
        <v>3.0724415E7</v>
      </c>
      <c r="C1544" s="4">
        <v>7.48</v>
      </c>
      <c r="D1544" s="4">
        <v>130.7</v>
      </c>
    </row>
    <row r="1545" ht="22.5" customHeight="1">
      <c r="B1545" s="4">
        <v>3.0744418E7</v>
      </c>
      <c r="C1545" s="4">
        <v>7.48</v>
      </c>
      <c r="D1545" s="4">
        <v>130.7</v>
      </c>
    </row>
    <row r="1546" ht="22.5" customHeight="1">
      <c r="B1546" s="4">
        <v>3.0764421E7</v>
      </c>
      <c r="C1546" s="4">
        <v>7.48</v>
      </c>
      <c r="D1546" s="4">
        <v>130.7</v>
      </c>
    </row>
    <row r="1547" ht="22.5" customHeight="1">
      <c r="B1547" s="4">
        <v>3.0784423E7</v>
      </c>
      <c r="C1547" s="4">
        <v>7.48</v>
      </c>
      <c r="D1547" s="4">
        <v>130.7</v>
      </c>
    </row>
    <row r="1548" ht="22.5" customHeight="1">
      <c r="B1548" s="4">
        <v>3.0804426E7</v>
      </c>
      <c r="C1548" s="4">
        <v>7.48</v>
      </c>
      <c r="D1548" s="4">
        <v>130.7</v>
      </c>
    </row>
    <row r="1549" ht="22.5" customHeight="1">
      <c r="B1549" s="4">
        <v>3.0824429E7</v>
      </c>
      <c r="C1549" s="4">
        <v>7.48</v>
      </c>
      <c r="D1549" s="4">
        <v>130.7</v>
      </c>
    </row>
    <row r="1550" ht="22.5" customHeight="1">
      <c r="B1550" s="4">
        <v>3.0844432E7</v>
      </c>
      <c r="C1550" s="4">
        <v>7.48</v>
      </c>
      <c r="D1550" s="4">
        <v>130.6</v>
      </c>
    </row>
    <row r="1551" ht="22.5" customHeight="1">
      <c r="B1551" s="4">
        <v>3.0864435E7</v>
      </c>
      <c r="C1551" s="4">
        <v>7.48</v>
      </c>
      <c r="D1551" s="4">
        <v>130.7</v>
      </c>
    </row>
    <row r="1552" ht="22.5" customHeight="1">
      <c r="B1552" s="4">
        <v>3.0884438E7</v>
      </c>
      <c r="C1552" s="4">
        <v>7.47</v>
      </c>
      <c r="D1552" s="4">
        <v>130.7</v>
      </c>
    </row>
    <row r="1553" ht="22.5" customHeight="1">
      <c r="B1553" s="4">
        <v>3.090444E7</v>
      </c>
      <c r="C1553" s="4">
        <v>7.47</v>
      </c>
      <c r="D1553" s="4">
        <v>130.7</v>
      </c>
    </row>
    <row r="1554" ht="22.5" customHeight="1">
      <c r="B1554" s="4">
        <v>3.0924444E7</v>
      </c>
      <c r="C1554" s="4">
        <v>7.47</v>
      </c>
      <c r="D1554" s="4">
        <v>130.7</v>
      </c>
    </row>
    <row r="1555" ht="22.5" customHeight="1">
      <c r="B1555" s="4">
        <v>3.0944447E7</v>
      </c>
      <c r="C1555" s="4">
        <v>7.47</v>
      </c>
      <c r="D1555" s="4">
        <v>130.6</v>
      </c>
    </row>
    <row r="1556" ht="22.5" customHeight="1">
      <c r="B1556" s="4">
        <v>3.096445E7</v>
      </c>
      <c r="C1556" s="4">
        <v>7.47</v>
      </c>
      <c r="D1556" s="4">
        <v>130.6</v>
      </c>
    </row>
    <row r="1557" ht="22.5" customHeight="1">
      <c r="B1557" s="4">
        <v>3.0984453E7</v>
      </c>
      <c r="C1557" s="4">
        <v>7.47</v>
      </c>
      <c r="D1557" s="4">
        <v>130.5</v>
      </c>
    </row>
    <row r="1558" ht="22.5" customHeight="1">
      <c r="B1558" s="4">
        <v>3.1004455E7</v>
      </c>
      <c r="C1558" s="4">
        <v>7.47</v>
      </c>
      <c r="D1558" s="4">
        <v>130.6</v>
      </c>
    </row>
    <row r="1559" ht="22.5" customHeight="1">
      <c r="B1559" s="4">
        <v>3.1024458E7</v>
      </c>
      <c r="C1559" s="4">
        <v>7.47</v>
      </c>
      <c r="D1559" s="4">
        <v>130.5</v>
      </c>
    </row>
    <row r="1560" ht="22.5" customHeight="1">
      <c r="B1560" s="4">
        <v>3.1044461E7</v>
      </c>
      <c r="C1560" s="4">
        <v>7.47</v>
      </c>
      <c r="D1560" s="4">
        <v>130.6</v>
      </c>
    </row>
    <row r="1561" ht="22.5" customHeight="1">
      <c r="B1561" s="4">
        <v>3.1064464E7</v>
      </c>
      <c r="C1561" s="4">
        <v>7.47</v>
      </c>
      <c r="D1561" s="4">
        <v>130.6</v>
      </c>
    </row>
    <row r="1562" ht="22.5" customHeight="1">
      <c r="B1562" s="4">
        <v>3.1084467E7</v>
      </c>
      <c r="C1562" s="4">
        <v>7.47</v>
      </c>
      <c r="D1562" s="4">
        <v>130.6</v>
      </c>
    </row>
    <row r="1563" ht="22.5" customHeight="1">
      <c r="B1563" s="4">
        <v>3.110447E7</v>
      </c>
      <c r="C1563" s="4">
        <v>7.47</v>
      </c>
      <c r="D1563" s="4">
        <v>130.5</v>
      </c>
    </row>
    <row r="1564" ht="22.5" customHeight="1">
      <c r="B1564" s="4">
        <v>3.1124472E7</v>
      </c>
      <c r="C1564" s="4">
        <v>7.48</v>
      </c>
      <c r="D1564" s="4">
        <v>130.7</v>
      </c>
    </row>
    <row r="1565" ht="22.5" customHeight="1">
      <c r="B1565" s="4">
        <v>3.1144475E7</v>
      </c>
      <c r="C1565" s="4">
        <v>7.48</v>
      </c>
      <c r="D1565" s="4">
        <v>130.6</v>
      </c>
    </row>
    <row r="1566" ht="22.5" customHeight="1">
      <c r="B1566" s="4">
        <v>3.1164478E7</v>
      </c>
      <c r="C1566" s="4">
        <v>7.48</v>
      </c>
      <c r="D1566" s="4">
        <v>130.7</v>
      </c>
    </row>
    <row r="1567" ht="22.5" customHeight="1">
      <c r="B1567" s="4">
        <v>3.1184481E7</v>
      </c>
      <c r="C1567" s="4">
        <v>7.48</v>
      </c>
      <c r="D1567" s="4">
        <v>130.7</v>
      </c>
    </row>
    <row r="1568" ht="22.5" customHeight="1">
      <c r="B1568" s="4">
        <v>3.1204485E7</v>
      </c>
      <c r="C1568" s="4">
        <v>7.48</v>
      </c>
      <c r="D1568" s="4">
        <v>130.7</v>
      </c>
    </row>
    <row r="1569" ht="22.5" customHeight="1">
      <c r="B1569" s="4">
        <v>3.1224487E7</v>
      </c>
      <c r="C1569" s="4">
        <v>7.47</v>
      </c>
      <c r="D1569" s="4">
        <v>130.7</v>
      </c>
    </row>
    <row r="1570" ht="22.5" customHeight="1">
      <c r="B1570" s="4">
        <v>3.124449E7</v>
      </c>
      <c r="C1570" s="4">
        <v>7.48</v>
      </c>
      <c r="D1570" s="4">
        <v>130.6</v>
      </c>
    </row>
    <row r="1571" ht="22.5" customHeight="1">
      <c r="B1571" s="4">
        <v>3.1264493E7</v>
      </c>
      <c r="C1571" s="4">
        <v>7.47</v>
      </c>
      <c r="D1571" s="4">
        <v>130.6</v>
      </c>
    </row>
    <row r="1572" ht="22.5" customHeight="1">
      <c r="B1572" s="4">
        <v>3.1284496E7</v>
      </c>
      <c r="C1572" s="4">
        <v>7.47</v>
      </c>
      <c r="D1572" s="4">
        <v>130.6</v>
      </c>
    </row>
    <row r="1573" ht="22.5" customHeight="1">
      <c r="B1573" s="4">
        <v>3.1304499E7</v>
      </c>
      <c r="C1573" s="4">
        <v>7.47</v>
      </c>
      <c r="D1573" s="4">
        <v>130.7</v>
      </c>
    </row>
    <row r="1574" ht="22.5" customHeight="1">
      <c r="B1574" s="4">
        <v>3.1324502E7</v>
      </c>
      <c r="C1574" s="4">
        <v>7.47</v>
      </c>
      <c r="D1574" s="4">
        <v>130.6</v>
      </c>
    </row>
    <row r="1575" ht="22.5" customHeight="1">
      <c r="B1575" s="4">
        <v>3.1344504E7</v>
      </c>
      <c r="C1575" s="4">
        <v>7.47</v>
      </c>
      <c r="D1575" s="4">
        <v>130.7</v>
      </c>
    </row>
    <row r="1576" ht="22.5" customHeight="1">
      <c r="B1576" s="4">
        <v>3.1364507E7</v>
      </c>
      <c r="C1576" s="4">
        <v>7.47</v>
      </c>
      <c r="D1576" s="4">
        <v>130.6</v>
      </c>
    </row>
    <row r="1577" ht="22.5" customHeight="1">
      <c r="B1577" s="4">
        <v>3.138451E7</v>
      </c>
      <c r="C1577" s="4">
        <v>7.47</v>
      </c>
      <c r="D1577" s="4">
        <v>130.6</v>
      </c>
    </row>
    <row r="1578" ht="22.5" customHeight="1">
      <c r="B1578" s="4">
        <v>3.1404513E7</v>
      </c>
      <c r="C1578" s="4">
        <v>7.47</v>
      </c>
      <c r="D1578" s="4">
        <v>130.6</v>
      </c>
    </row>
    <row r="1579" ht="22.5" customHeight="1">
      <c r="B1579" s="4">
        <v>3.1424516E7</v>
      </c>
      <c r="C1579" s="4">
        <v>7.47</v>
      </c>
      <c r="D1579" s="4">
        <v>130.6</v>
      </c>
    </row>
    <row r="1580" ht="22.5" customHeight="1">
      <c r="B1580" s="4">
        <v>3.1444518E7</v>
      </c>
      <c r="C1580" s="4">
        <v>7.47</v>
      </c>
      <c r="D1580" s="4">
        <v>130.6</v>
      </c>
    </row>
    <row r="1581" ht="22.5" customHeight="1">
      <c r="B1581" s="4">
        <v>3.1464522E7</v>
      </c>
      <c r="C1581" s="4">
        <v>7.47</v>
      </c>
      <c r="D1581" s="4">
        <v>130.5</v>
      </c>
    </row>
    <row r="1582" ht="22.5" customHeight="1">
      <c r="B1582" s="4">
        <v>3.1484525E7</v>
      </c>
      <c r="C1582" s="4">
        <v>7.47</v>
      </c>
      <c r="D1582" s="4">
        <v>130.6</v>
      </c>
    </row>
    <row r="1583" ht="22.5" customHeight="1">
      <c r="B1583" s="4">
        <v>3.1504528E7</v>
      </c>
      <c r="C1583" s="4">
        <v>7.47</v>
      </c>
      <c r="D1583" s="4">
        <v>130.5</v>
      </c>
    </row>
    <row r="1584" ht="22.5" customHeight="1">
      <c r="B1584" s="4">
        <v>3.1524531E7</v>
      </c>
      <c r="C1584" s="4">
        <v>7.47</v>
      </c>
      <c r="D1584" s="4">
        <v>130.6</v>
      </c>
    </row>
    <row r="1585" ht="22.5" customHeight="1">
      <c r="B1585" s="4">
        <v>3.1544534E7</v>
      </c>
      <c r="C1585" s="4">
        <v>7.47</v>
      </c>
      <c r="D1585" s="4">
        <v>130.5</v>
      </c>
    </row>
    <row r="1586" ht="22.5" customHeight="1">
      <c r="B1586" s="4">
        <v>3.1564536E7</v>
      </c>
      <c r="C1586" s="4">
        <v>7.46</v>
      </c>
      <c r="D1586" s="4">
        <v>130.5</v>
      </c>
    </row>
    <row r="1587" ht="22.5" customHeight="1">
      <c r="B1587" s="4">
        <v>3.1584539E7</v>
      </c>
      <c r="C1587" s="4">
        <v>7.47</v>
      </c>
      <c r="D1587" s="4">
        <v>130.5</v>
      </c>
    </row>
    <row r="1588" ht="22.5" customHeight="1">
      <c r="B1588" s="4">
        <v>3.1604542E7</v>
      </c>
      <c r="C1588" s="4">
        <v>7.46</v>
      </c>
      <c r="D1588" s="4">
        <v>130.5</v>
      </c>
    </row>
    <row r="1589" ht="22.5" customHeight="1">
      <c r="B1589" s="4">
        <v>3.1624545E7</v>
      </c>
      <c r="C1589" s="4">
        <v>7.46</v>
      </c>
      <c r="D1589" s="4">
        <v>130.5</v>
      </c>
    </row>
    <row r="1590" ht="22.5" customHeight="1">
      <c r="B1590" s="4">
        <v>3.1644548E7</v>
      </c>
      <c r="C1590" s="4">
        <v>7.46</v>
      </c>
      <c r="D1590" s="4">
        <v>130.5</v>
      </c>
    </row>
    <row r="1591" ht="22.5" customHeight="1">
      <c r="B1591" s="4">
        <v>3.166455E7</v>
      </c>
      <c r="C1591" s="4">
        <v>7.46</v>
      </c>
      <c r="D1591" s="4">
        <v>130.5</v>
      </c>
    </row>
    <row r="1592" ht="22.5" customHeight="1">
      <c r="B1592" s="4">
        <v>3.1684553E7</v>
      </c>
      <c r="C1592" s="4">
        <v>7.46</v>
      </c>
      <c r="D1592" s="4">
        <v>130.5</v>
      </c>
    </row>
    <row r="1593" ht="22.5" customHeight="1">
      <c r="B1593" s="4">
        <v>3.1704556E7</v>
      </c>
      <c r="C1593" s="4">
        <v>7.46</v>
      </c>
      <c r="D1593" s="4">
        <v>130.4</v>
      </c>
    </row>
    <row r="1594" ht="22.5" customHeight="1">
      <c r="B1594" s="4">
        <v>3.1724559E7</v>
      </c>
      <c r="C1594" s="4">
        <v>7.46</v>
      </c>
      <c r="D1594" s="4">
        <v>130.4</v>
      </c>
    </row>
    <row r="1595" ht="22.5" customHeight="1">
      <c r="B1595" s="4">
        <v>3.1744563E7</v>
      </c>
      <c r="C1595" s="4">
        <v>7.46</v>
      </c>
      <c r="D1595" s="4">
        <v>130.4</v>
      </c>
    </row>
    <row r="1596" ht="22.5" customHeight="1">
      <c r="B1596" s="4">
        <v>3.1764566E7</v>
      </c>
      <c r="C1596" s="4">
        <v>7.46</v>
      </c>
      <c r="D1596" s="4">
        <v>130.5</v>
      </c>
    </row>
    <row r="1597" ht="22.5" customHeight="1">
      <c r="B1597" s="4">
        <v>3.1784568E7</v>
      </c>
      <c r="C1597" s="4">
        <v>7.46</v>
      </c>
      <c r="D1597" s="4">
        <v>130.5</v>
      </c>
    </row>
    <row r="1598" ht="22.5" customHeight="1">
      <c r="B1598" s="4">
        <v>3.1804571E7</v>
      </c>
      <c r="C1598" s="4">
        <v>7.46</v>
      </c>
      <c r="D1598" s="4">
        <v>130.4</v>
      </c>
    </row>
    <row r="1599" ht="22.5" customHeight="1">
      <c r="B1599" s="4">
        <v>3.1824574E7</v>
      </c>
      <c r="C1599" s="4">
        <v>7.46</v>
      </c>
      <c r="D1599" s="4">
        <v>130.4</v>
      </c>
    </row>
    <row r="1600" ht="22.5" customHeight="1">
      <c r="B1600" s="4">
        <v>3.1844577E7</v>
      </c>
      <c r="C1600" s="4">
        <v>7.46</v>
      </c>
      <c r="D1600" s="4">
        <v>130.4</v>
      </c>
    </row>
    <row r="1601" ht="22.5" customHeight="1">
      <c r="B1601" s="4">
        <v>3.186458E7</v>
      </c>
      <c r="C1601" s="4">
        <v>7.46</v>
      </c>
      <c r="D1601" s="4">
        <v>130.4</v>
      </c>
    </row>
    <row r="1602" ht="22.5" customHeight="1">
      <c r="B1602" s="4">
        <v>3.1884582E7</v>
      </c>
      <c r="C1602" s="4">
        <v>7.46</v>
      </c>
      <c r="D1602" s="4">
        <v>130.4</v>
      </c>
    </row>
    <row r="1603" ht="22.5" customHeight="1">
      <c r="B1603" s="4">
        <v>3.1904585E7</v>
      </c>
      <c r="C1603" s="4">
        <v>7.46</v>
      </c>
      <c r="D1603" s="4">
        <v>130.3</v>
      </c>
    </row>
    <row r="1604" ht="22.5" customHeight="1">
      <c r="B1604" s="4">
        <v>3.1924588E7</v>
      </c>
      <c r="C1604" s="4">
        <v>7.46</v>
      </c>
      <c r="D1604" s="4">
        <v>130.4</v>
      </c>
    </row>
    <row r="1605" ht="22.5" customHeight="1">
      <c r="B1605" s="4">
        <v>3.1944591E7</v>
      </c>
      <c r="C1605" s="4">
        <v>7.46</v>
      </c>
      <c r="D1605" s="4">
        <v>130.3</v>
      </c>
    </row>
    <row r="1606" ht="22.5" customHeight="1">
      <c r="B1606" s="4">
        <v>3.1964594E7</v>
      </c>
      <c r="C1606" s="4">
        <v>7.46</v>
      </c>
      <c r="D1606" s="4">
        <v>130.3</v>
      </c>
    </row>
    <row r="1607" ht="22.5" customHeight="1">
      <c r="B1607" s="4">
        <v>3.1984596E7</v>
      </c>
      <c r="C1607" s="4">
        <v>7.46</v>
      </c>
      <c r="D1607" s="4">
        <v>130.3</v>
      </c>
    </row>
    <row r="1608" ht="22.5" customHeight="1">
      <c r="B1608" s="4">
        <v>3.20046E7</v>
      </c>
      <c r="C1608" s="4">
        <v>7.46</v>
      </c>
      <c r="D1608" s="4">
        <v>130.3</v>
      </c>
    </row>
    <row r="1609" ht="22.5" customHeight="1">
      <c r="B1609" s="4">
        <v>3.2024603E7</v>
      </c>
      <c r="C1609" s="4">
        <v>7.45</v>
      </c>
      <c r="D1609" s="4">
        <v>130.3</v>
      </c>
    </row>
    <row r="1610" ht="22.5" customHeight="1">
      <c r="B1610" s="4">
        <v>3.2044606E7</v>
      </c>
      <c r="C1610" s="4">
        <v>7.45</v>
      </c>
      <c r="D1610" s="4">
        <v>130.3</v>
      </c>
    </row>
    <row r="1611" ht="22.5" customHeight="1">
      <c r="B1611" s="4">
        <v>3.2064609E7</v>
      </c>
      <c r="C1611" s="4">
        <v>7.45</v>
      </c>
      <c r="D1611" s="4">
        <v>130.3</v>
      </c>
    </row>
    <row r="1612" ht="22.5" customHeight="1">
      <c r="B1612" s="4">
        <v>3.2084612E7</v>
      </c>
      <c r="C1612" s="4">
        <v>7.45</v>
      </c>
      <c r="D1612" s="4">
        <v>130.2</v>
      </c>
    </row>
    <row r="1613" ht="22.5" customHeight="1">
      <c r="B1613" s="4">
        <v>3.2104614E7</v>
      </c>
      <c r="C1613" s="4">
        <v>7.45</v>
      </c>
      <c r="D1613" s="4">
        <v>130.2</v>
      </c>
    </row>
    <row r="1614" ht="22.5" customHeight="1">
      <c r="B1614" s="4">
        <v>3.2124617E7</v>
      </c>
      <c r="C1614" s="4">
        <v>7.45</v>
      </c>
      <c r="D1614" s="4">
        <v>130.2</v>
      </c>
    </row>
    <row r="1615" ht="22.5" customHeight="1">
      <c r="B1615" s="4">
        <v>3.214462E7</v>
      </c>
      <c r="C1615" s="4">
        <v>7.45</v>
      </c>
      <c r="D1615" s="4">
        <v>130.3</v>
      </c>
    </row>
    <row r="1616" ht="22.5" customHeight="1">
      <c r="B1616" s="4">
        <v>3.2164623E7</v>
      </c>
      <c r="C1616" s="4">
        <v>7.45</v>
      </c>
      <c r="D1616" s="4">
        <v>130.2</v>
      </c>
    </row>
    <row r="1617" ht="22.5" customHeight="1">
      <c r="B1617" s="4">
        <v>3.2184626E7</v>
      </c>
      <c r="C1617" s="4">
        <v>7.45</v>
      </c>
      <c r="D1617" s="4">
        <v>130.2</v>
      </c>
    </row>
    <row r="1618" ht="22.5" customHeight="1">
      <c r="B1618" s="4">
        <v>3.2204628E7</v>
      </c>
      <c r="C1618" s="4">
        <v>7.45</v>
      </c>
      <c r="D1618" s="4">
        <v>130.2</v>
      </c>
    </row>
    <row r="1619" ht="22.5" customHeight="1">
      <c r="B1619" s="4">
        <v>3.2224631E7</v>
      </c>
      <c r="C1619" s="4">
        <v>7.45</v>
      </c>
      <c r="D1619" s="4">
        <v>130.2</v>
      </c>
    </row>
    <row r="1620" ht="22.5" customHeight="1">
      <c r="B1620" s="4">
        <v>3.2244634E7</v>
      </c>
      <c r="C1620" s="4">
        <v>7.45</v>
      </c>
      <c r="D1620" s="4">
        <v>130.2</v>
      </c>
    </row>
    <row r="1621" ht="22.5" customHeight="1">
      <c r="B1621" s="4">
        <v>3.2264637E7</v>
      </c>
      <c r="C1621" s="4">
        <v>7.44</v>
      </c>
      <c r="D1621" s="4">
        <v>130.1</v>
      </c>
    </row>
    <row r="1622" ht="22.5" customHeight="1">
      <c r="B1622" s="4">
        <v>3.2284641E7</v>
      </c>
      <c r="C1622" s="4">
        <v>7.44</v>
      </c>
      <c r="D1622" s="4">
        <v>130.2</v>
      </c>
    </row>
    <row r="1623" ht="22.5" customHeight="1">
      <c r="B1623" s="4">
        <v>3.2304644E7</v>
      </c>
      <c r="C1623" s="4">
        <v>7.44</v>
      </c>
      <c r="D1623" s="4">
        <v>130.1</v>
      </c>
    </row>
    <row r="1624" ht="22.5" customHeight="1">
      <c r="B1624" s="4">
        <v>3.2324646E7</v>
      </c>
      <c r="C1624" s="4">
        <v>7.44</v>
      </c>
      <c r="D1624" s="4">
        <v>130.2</v>
      </c>
    </row>
    <row r="1625" ht="22.5" customHeight="1">
      <c r="B1625" s="4">
        <v>3.2344649E7</v>
      </c>
      <c r="C1625" s="4">
        <v>7.44</v>
      </c>
      <c r="D1625" s="4">
        <v>130.1</v>
      </c>
    </row>
    <row r="1626" ht="22.5" customHeight="1">
      <c r="B1626" s="4">
        <v>3.2364652E7</v>
      </c>
      <c r="C1626" s="4">
        <v>7.44</v>
      </c>
      <c r="D1626" s="4">
        <v>130.1</v>
      </c>
    </row>
    <row r="1627" ht="22.5" customHeight="1">
      <c r="B1627" s="4">
        <v>3.2384655E7</v>
      </c>
      <c r="C1627" s="4">
        <v>7.44</v>
      </c>
      <c r="D1627" s="4">
        <v>130.1</v>
      </c>
    </row>
    <row r="1628" ht="22.5" customHeight="1">
      <c r="B1628" s="4">
        <v>3.2404658E7</v>
      </c>
      <c r="C1628" s="4">
        <v>7.44</v>
      </c>
      <c r="D1628" s="4">
        <v>130.1</v>
      </c>
    </row>
    <row r="1629" ht="22.5" customHeight="1">
      <c r="B1629" s="4">
        <v>3.242466E7</v>
      </c>
      <c r="C1629" s="4">
        <v>7.44</v>
      </c>
      <c r="D1629" s="4">
        <v>130.1</v>
      </c>
    </row>
    <row r="1630" ht="22.5" customHeight="1">
      <c r="B1630" s="4">
        <v>3.2444663E7</v>
      </c>
      <c r="C1630" s="4">
        <v>7.44</v>
      </c>
      <c r="D1630" s="4">
        <v>130.0</v>
      </c>
    </row>
    <row r="1631" ht="22.5" customHeight="1">
      <c r="B1631" s="4">
        <v>3.2464666E7</v>
      </c>
      <c r="C1631" s="4">
        <v>7.44</v>
      </c>
      <c r="D1631" s="4">
        <v>130.0</v>
      </c>
    </row>
    <row r="1632" ht="22.5" customHeight="1">
      <c r="B1632" s="4">
        <v>3.2484669E7</v>
      </c>
      <c r="C1632" s="4">
        <v>7.44</v>
      </c>
      <c r="D1632" s="4">
        <v>130.0</v>
      </c>
    </row>
    <row r="1633" ht="22.5" customHeight="1">
      <c r="B1633" s="4">
        <v>3.2504672E7</v>
      </c>
      <c r="C1633" s="4">
        <v>7.44</v>
      </c>
      <c r="D1633" s="4">
        <v>130.0</v>
      </c>
    </row>
    <row r="1634" ht="22.5" customHeight="1">
      <c r="B1634" s="4">
        <v>3.2524675E7</v>
      </c>
      <c r="C1634" s="4">
        <v>7.44</v>
      </c>
      <c r="D1634" s="4">
        <v>130.0</v>
      </c>
    </row>
    <row r="1635" ht="22.5" customHeight="1">
      <c r="B1635" s="4">
        <v>3.2544677E7</v>
      </c>
      <c r="C1635" s="4">
        <v>7.44</v>
      </c>
      <c r="D1635" s="4">
        <v>130.0</v>
      </c>
    </row>
    <row r="1636" ht="22.5" customHeight="1">
      <c r="B1636" s="4">
        <v>3.256468E7</v>
      </c>
      <c r="C1636" s="4">
        <v>7.44</v>
      </c>
      <c r="D1636" s="4">
        <v>130.1</v>
      </c>
    </row>
    <row r="1637" ht="22.5" customHeight="1">
      <c r="B1637" s="4">
        <v>3.2584684E7</v>
      </c>
      <c r="C1637" s="4">
        <v>7.44</v>
      </c>
      <c r="D1637" s="4">
        <v>130.0</v>
      </c>
    </row>
    <row r="1638" ht="22.5" customHeight="1">
      <c r="B1638" s="4">
        <v>3.2604687E7</v>
      </c>
      <c r="C1638" s="4">
        <v>7.44</v>
      </c>
      <c r="D1638" s="4">
        <v>130.0</v>
      </c>
    </row>
    <row r="1639" ht="22.5" customHeight="1">
      <c r="B1639" s="4">
        <v>3.262469E7</v>
      </c>
      <c r="C1639" s="4">
        <v>7.44</v>
      </c>
      <c r="D1639" s="4">
        <v>129.9</v>
      </c>
    </row>
    <row r="1640" ht="22.5" customHeight="1">
      <c r="B1640" s="4">
        <v>3.2644692E7</v>
      </c>
      <c r="C1640" s="4">
        <v>7.44</v>
      </c>
      <c r="D1640" s="4">
        <v>130.0</v>
      </c>
    </row>
    <row r="1641" ht="22.5" customHeight="1">
      <c r="B1641" s="4">
        <v>3.2664695E7</v>
      </c>
      <c r="C1641" s="4">
        <v>7.44</v>
      </c>
      <c r="D1641" s="4">
        <v>129.9</v>
      </c>
    </row>
    <row r="1642" ht="22.5" customHeight="1">
      <c r="B1642" s="4">
        <v>3.2684698E7</v>
      </c>
      <c r="C1642" s="4">
        <v>7.43</v>
      </c>
      <c r="D1642" s="4">
        <v>129.9</v>
      </c>
    </row>
    <row r="1643" ht="22.5" customHeight="1">
      <c r="B1643" s="4">
        <v>3.2704701E7</v>
      </c>
      <c r="C1643" s="4">
        <v>7.43</v>
      </c>
      <c r="D1643" s="4">
        <v>129.9</v>
      </c>
    </row>
    <row r="1644" ht="22.5" customHeight="1">
      <c r="B1644" s="4">
        <v>3.2724704E7</v>
      </c>
      <c r="C1644" s="4">
        <v>7.43</v>
      </c>
      <c r="D1644" s="4">
        <v>129.9</v>
      </c>
    </row>
    <row r="1645" ht="22.5" customHeight="1">
      <c r="B1645" s="4">
        <v>3.2744707E7</v>
      </c>
      <c r="C1645" s="4">
        <v>7.43</v>
      </c>
      <c r="D1645" s="4">
        <v>129.9</v>
      </c>
    </row>
    <row r="1646" ht="22.5" customHeight="1">
      <c r="B1646" s="4">
        <v>3.2764709E7</v>
      </c>
      <c r="C1646" s="4">
        <v>7.43</v>
      </c>
      <c r="D1646" s="4">
        <v>129.8</v>
      </c>
    </row>
    <row r="1647" ht="22.5" customHeight="1">
      <c r="B1647" s="4">
        <v>3.2784712E7</v>
      </c>
      <c r="C1647" s="4">
        <v>7.43</v>
      </c>
      <c r="D1647" s="4">
        <v>129.9</v>
      </c>
    </row>
    <row r="1648" ht="22.5" customHeight="1">
      <c r="B1648" s="4">
        <v>3.2804715E7</v>
      </c>
      <c r="C1648" s="4">
        <v>7.43</v>
      </c>
      <c r="D1648" s="4">
        <v>129.8</v>
      </c>
    </row>
    <row r="1649" ht="22.5" customHeight="1">
      <c r="B1649" s="4">
        <v>3.2824718E7</v>
      </c>
      <c r="C1649" s="4">
        <v>7.43</v>
      </c>
      <c r="D1649" s="4">
        <v>129.8</v>
      </c>
    </row>
    <row r="1650" ht="22.5" customHeight="1">
      <c r="B1650" s="4">
        <v>3.2844721E7</v>
      </c>
      <c r="C1650" s="4">
        <v>7.43</v>
      </c>
      <c r="D1650" s="4">
        <v>129.8</v>
      </c>
    </row>
    <row r="1651" ht="22.5" customHeight="1">
      <c r="B1651" s="4">
        <v>3.2864724E7</v>
      </c>
      <c r="C1651" s="4">
        <v>7.43</v>
      </c>
      <c r="D1651" s="4">
        <v>129.9</v>
      </c>
    </row>
    <row r="1652" ht="22.5" customHeight="1">
      <c r="B1652" s="4">
        <v>3.2884727E7</v>
      </c>
      <c r="C1652" s="4">
        <v>7.43</v>
      </c>
      <c r="D1652" s="4">
        <v>129.8</v>
      </c>
    </row>
    <row r="1653" ht="22.5" customHeight="1">
      <c r="B1653" s="4">
        <v>3.290473E7</v>
      </c>
      <c r="C1653" s="4">
        <v>7.43</v>
      </c>
      <c r="D1653" s="4">
        <v>129.8</v>
      </c>
    </row>
    <row r="1654" ht="22.5" customHeight="1">
      <c r="B1654" s="4">
        <v>3.2924733E7</v>
      </c>
      <c r="C1654" s="4">
        <v>7.43</v>
      </c>
      <c r="D1654" s="4">
        <v>129.8</v>
      </c>
    </row>
    <row r="1655" ht="22.5" customHeight="1">
      <c r="B1655" s="4">
        <v>3.2944736E7</v>
      </c>
      <c r="C1655" s="4">
        <v>7.42</v>
      </c>
      <c r="D1655" s="4">
        <v>129.7</v>
      </c>
    </row>
    <row r="1656" ht="22.5" customHeight="1">
      <c r="B1656" s="4">
        <v>3.2964739E7</v>
      </c>
      <c r="C1656" s="4">
        <v>7.42</v>
      </c>
      <c r="D1656" s="4">
        <v>129.8</v>
      </c>
    </row>
    <row r="1657" ht="22.5" customHeight="1">
      <c r="B1657" s="4">
        <v>3.2984741E7</v>
      </c>
      <c r="C1657" s="4">
        <v>7.42</v>
      </c>
      <c r="D1657" s="4">
        <v>129.7</v>
      </c>
    </row>
    <row r="1658" ht="22.5" customHeight="1">
      <c r="B1658" s="4">
        <v>3.3004744E7</v>
      </c>
      <c r="C1658" s="4">
        <v>7.42</v>
      </c>
      <c r="D1658" s="4">
        <v>129.7</v>
      </c>
    </row>
    <row r="1659" ht="22.5" customHeight="1">
      <c r="B1659" s="4">
        <v>3.3024747E7</v>
      </c>
      <c r="C1659" s="4">
        <v>7.42</v>
      </c>
      <c r="D1659" s="4">
        <v>129.7</v>
      </c>
    </row>
    <row r="1660" ht="22.5" customHeight="1">
      <c r="B1660" s="4">
        <v>3.304475E7</v>
      </c>
      <c r="C1660" s="4">
        <v>7.42</v>
      </c>
      <c r="D1660" s="4">
        <v>129.7</v>
      </c>
    </row>
    <row r="1661" ht="22.5" customHeight="1">
      <c r="B1661" s="4">
        <v>3.3064753E7</v>
      </c>
      <c r="C1661" s="4">
        <v>7.42</v>
      </c>
      <c r="D1661" s="4">
        <v>129.7</v>
      </c>
    </row>
    <row r="1662" ht="22.5" customHeight="1">
      <c r="B1662" s="4">
        <v>3.3084755E7</v>
      </c>
      <c r="C1662" s="4">
        <v>7.42</v>
      </c>
      <c r="D1662" s="4">
        <v>129.7</v>
      </c>
    </row>
    <row r="1663" ht="22.5" customHeight="1">
      <c r="B1663" s="4">
        <v>3.3104758E7</v>
      </c>
      <c r="C1663" s="4">
        <v>7.42</v>
      </c>
      <c r="D1663" s="4">
        <v>129.6</v>
      </c>
    </row>
    <row r="1664" ht="22.5" customHeight="1">
      <c r="B1664" s="4">
        <v>3.3124761E7</v>
      </c>
      <c r="C1664" s="4">
        <v>7.42</v>
      </c>
      <c r="D1664" s="4">
        <v>129.6</v>
      </c>
    </row>
    <row r="1665" ht="22.5" customHeight="1">
      <c r="B1665" s="4">
        <v>3.3144765E7</v>
      </c>
      <c r="C1665" s="4">
        <v>7.42</v>
      </c>
      <c r="D1665" s="4">
        <v>129.6</v>
      </c>
    </row>
    <row r="1666" ht="22.5" customHeight="1">
      <c r="B1666" s="4">
        <v>3.3164768E7</v>
      </c>
      <c r="C1666" s="4">
        <v>7.42</v>
      </c>
      <c r="D1666" s="4">
        <v>129.6</v>
      </c>
    </row>
    <row r="1667" ht="22.5" customHeight="1">
      <c r="B1667" s="4">
        <v>3.3184771E7</v>
      </c>
      <c r="C1667" s="4">
        <v>7.42</v>
      </c>
      <c r="D1667" s="4">
        <v>129.6</v>
      </c>
    </row>
    <row r="1668" ht="22.5" customHeight="1">
      <c r="B1668" s="4">
        <v>3.3204773E7</v>
      </c>
      <c r="C1668" s="4">
        <v>7.42</v>
      </c>
      <c r="D1668" s="4">
        <v>129.6</v>
      </c>
    </row>
    <row r="1669" ht="22.5" customHeight="1">
      <c r="B1669" s="4">
        <v>3.3224776E7</v>
      </c>
      <c r="C1669" s="4">
        <v>7.42</v>
      </c>
      <c r="D1669" s="4">
        <v>129.6</v>
      </c>
    </row>
    <row r="1670" ht="22.5" customHeight="1">
      <c r="B1670" s="4">
        <v>3.3244779E7</v>
      </c>
      <c r="C1670" s="4">
        <v>7.41</v>
      </c>
      <c r="D1670" s="4">
        <v>129.5</v>
      </c>
    </row>
    <row r="1671" ht="22.5" customHeight="1">
      <c r="B1671" s="4">
        <v>3.3264782E7</v>
      </c>
      <c r="C1671" s="4">
        <v>7.41</v>
      </c>
      <c r="D1671" s="4">
        <v>129.5</v>
      </c>
    </row>
    <row r="1672" ht="22.5" customHeight="1">
      <c r="B1672" s="4">
        <v>3.3284785E7</v>
      </c>
      <c r="C1672" s="4">
        <v>7.41</v>
      </c>
      <c r="D1672" s="4">
        <v>129.6</v>
      </c>
    </row>
    <row r="1673" ht="22.5" customHeight="1">
      <c r="B1673" s="4">
        <v>3.3304787E7</v>
      </c>
      <c r="C1673" s="4">
        <v>7.41</v>
      </c>
      <c r="D1673" s="4">
        <v>129.5</v>
      </c>
    </row>
    <row r="1674" ht="22.5" customHeight="1">
      <c r="B1674" s="4">
        <v>3.332479E7</v>
      </c>
      <c r="C1674" s="4">
        <v>7.41</v>
      </c>
      <c r="D1674" s="4">
        <v>129.5</v>
      </c>
    </row>
    <row r="1675" ht="22.5" customHeight="1">
      <c r="B1675" s="4">
        <v>3.3344793E7</v>
      </c>
      <c r="C1675" s="4">
        <v>7.41</v>
      </c>
      <c r="D1675" s="4">
        <v>129.5</v>
      </c>
    </row>
    <row r="1676" ht="22.5" customHeight="1">
      <c r="B1676" s="4">
        <v>3.3364796E7</v>
      </c>
      <c r="C1676" s="4">
        <v>7.41</v>
      </c>
      <c r="D1676" s="4">
        <v>129.5</v>
      </c>
    </row>
    <row r="1677" ht="22.5" customHeight="1">
      <c r="B1677" s="4">
        <v>3.3384799E7</v>
      </c>
      <c r="C1677" s="4">
        <v>7.41</v>
      </c>
      <c r="D1677" s="4">
        <v>129.5</v>
      </c>
    </row>
    <row r="1678" ht="22.5" customHeight="1">
      <c r="B1678" s="4">
        <v>3.3404803E7</v>
      </c>
      <c r="C1678" s="4">
        <v>7.41</v>
      </c>
      <c r="D1678" s="4">
        <v>129.4</v>
      </c>
    </row>
    <row r="1679" ht="22.5" customHeight="1">
      <c r="B1679" s="4">
        <v>3.3424805E7</v>
      </c>
      <c r="C1679" s="4">
        <v>7.41</v>
      </c>
      <c r="D1679" s="4">
        <v>129.5</v>
      </c>
    </row>
    <row r="1680" ht="22.5" customHeight="1">
      <c r="B1680" s="4">
        <v>3.3444808E7</v>
      </c>
      <c r="C1680" s="4">
        <v>7.41</v>
      </c>
      <c r="D1680" s="4">
        <v>129.4</v>
      </c>
    </row>
    <row r="1681" ht="22.5" customHeight="1">
      <c r="B1681" s="4">
        <v>3.3464811E7</v>
      </c>
      <c r="C1681" s="4">
        <v>7.41</v>
      </c>
      <c r="D1681" s="4">
        <v>129.4</v>
      </c>
    </row>
    <row r="1682" ht="22.5" customHeight="1">
      <c r="B1682" s="4">
        <v>3.3484814E7</v>
      </c>
      <c r="C1682" s="4">
        <v>7.4</v>
      </c>
      <c r="D1682" s="4">
        <v>129.4</v>
      </c>
    </row>
    <row r="1683" ht="22.5" customHeight="1">
      <c r="B1683" s="4">
        <v>3.3504817E7</v>
      </c>
      <c r="C1683" s="4">
        <v>7.4</v>
      </c>
      <c r="D1683" s="4">
        <v>129.3</v>
      </c>
    </row>
    <row r="1684" ht="22.5" customHeight="1">
      <c r="B1684" s="4">
        <v>3.3524819E7</v>
      </c>
      <c r="C1684" s="4">
        <v>7.4</v>
      </c>
      <c r="D1684" s="4">
        <v>129.3</v>
      </c>
    </row>
    <row r="1685" ht="22.5" customHeight="1">
      <c r="B1685" s="4">
        <v>3.3544822E7</v>
      </c>
      <c r="C1685" s="4">
        <v>7.4</v>
      </c>
      <c r="D1685" s="4">
        <v>129.4</v>
      </c>
    </row>
    <row r="1686" ht="22.5" customHeight="1">
      <c r="B1686" s="4">
        <v>3.3564825E7</v>
      </c>
      <c r="C1686" s="4">
        <v>7.4</v>
      </c>
      <c r="D1686" s="4">
        <v>129.3</v>
      </c>
    </row>
    <row r="1687" ht="22.5" customHeight="1">
      <c r="B1687" s="4">
        <v>3.3584828E7</v>
      </c>
      <c r="C1687" s="4">
        <v>7.4</v>
      </c>
      <c r="D1687" s="4">
        <v>129.3</v>
      </c>
    </row>
    <row r="1688" ht="22.5" customHeight="1">
      <c r="B1688" s="4">
        <v>3.3604831E7</v>
      </c>
      <c r="C1688" s="4">
        <v>7.4</v>
      </c>
      <c r="D1688" s="4">
        <v>129.3</v>
      </c>
    </row>
    <row r="1689" ht="22.5" customHeight="1">
      <c r="B1689" s="4">
        <v>3.3624834E7</v>
      </c>
      <c r="C1689" s="4">
        <v>7.4</v>
      </c>
      <c r="D1689" s="4">
        <v>129.3</v>
      </c>
    </row>
    <row r="1690" ht="22.5" customHeight="1">
      <c r="B1690" s="4">
        <v>3.3644836E7</v>
      </c>
      <c r="C1690" s="4">
        <v>7.4</v>
      </c>
      <c r="D1690" s="4">
        <v>129.3</v>
      </c>
    </row>
    <row r="1691" ht="22.5" customHeight="1">
      <c r="B1691" s="4">
        <v>3.3664839E7</v>
      </c>
      <c r="C1691" s="4">
        <v>7.4</v>
      </c>
      <c r="D1691" s="4">
        <v>129.2</v>
      </c>
    </row>
    <row r="1692" ht="22.5" customHeight="1">
      <c r="B1692" s="4">
        <v>3.3684842E7</v>
      </c>
      <c r="C1692" s="4">
        <v>7.4</v>
      </c>
      <c r="D1692" s="4">
        <v>129.3</v>
      </c>
    </row>
    <row r="1693" ht="22.5" customHeight="1">
      <c r="B1693" s="4">
        <v>3.3704846E7</v>
      </c>
      <c r="C1693" s="4">
        <v>7.4</v>
      </c>
      <c r="D1693" s="4">
        <v>129.3</v>
      </c>
    </row>
    <row r="1694" ht="22.5" customHeight="1">
      <c r="B1694" s="4">
        <v>3.3724849E7</v>
      </c>
      <c r="C1694" s="4">
        <v>7.4</v>
      </c>
      <c r="D1694" s="4">
        <v>129.3</v>
      </c>
    </row>
    <row r="1695" ht="22.5" customHeight="1">
      <c r="B1695" s="4">
        <v>3.3744851E7</v>
      </c>
      <c r="C1695" s="4">
        <v>7.4</v>
      </c>
      <c r="D1695" s="4">
        <v>129.2</v>
      </c>
    </row>
    <row r="1696" ht="22.5" customHeight="1">
      <c r="B1696" s="4">
        <v>3.3764854E7</v>
      </c>
      <c r="C1696" s="4">
        <v>7.4</v>
      </c>
      <c r="D1696" s="4">
        <v>129.1</v>
      </c>
    </row>
    <row r="1697" ht="22.5" customHeight="1">
      <c r="B1697" s="4">
        <v>3.3784857E7</v>
      </c>
      <c r="C1697" s="4">
        <v>7.4</v>
      </c>
      <c r="D1697" s="4">
        <v>129.2</v>
      </c>
    </row>
    <row r="1698" ht="22.5" customHeight="1">
      <c r="B1698" s="4">
        <v>3.380486E7</v>
      </c>
      <c r="C1698" s="4">
        <v>7.4</v>
      </c>
      <c r="D1698" s="4">
        <v>129.2</v>
      </c>
    </row>
    <row r="1699" ht="22.5" customHeight="1">
      <c r="B1699" s="4">
        <v>3.3824863E7</v>
      </c>
      <c r="C1699" s="4">
        <v>7.39</v>
      </c>
      <c r="D1699" s="4">
        <v>129.2</v>
      </c>
    </row>
    <row r="1700" ht="22.5" customHeight="1">
      <c r="B1700" s="4">
        <v>3.3844866E7</v>
      </c>
      <c r="C1700" s="4">
        <v>7.39</v>
      </c>
      <c r="D1700" s="4">
        <v>129.2</v>
      </c>
    </row>
    <row r="1701" ht="22.5" customHeight="1">
      <c r="B1701" s="4">
        <v>3.3864868E7</v>
      </c>
      <c r="C1701" s="4">
        <v>7.39</v>
      </c>
      <c r="D1701" s="4">
        <v>129.2</v>
      </c>
    </row>
    <row r="1702" ht="22.5" customHeight="1">
      <c r="B1702" s="4">
        <v>3.3884871E7</v>
      </c>
      <c r="C1702" s="4">
        <v>7.39</v>
      </c>
      <c r="D1702" s="4">
        <v>129.1</v>
      </c>
    </row>
    <row r="1703" ht="22.5" customHeight="1">
      <c r="B1703" s="4">
        <v>3.3904874E7</v>
      </c>
      <c r="C1703" s="4">
        <v>7.39</v>
      </c>
      <c r="D1703" s="4">
        <v>129.2</v>
      </c>
    </row>
    <row r="1704" ht="22.5" customHeight="1">
      <c r="B1704" s="4">
        <v>3.3924877E7</v>
      </c>
      <c r="C1704" s="4">
        <v>7.39</v>
      </c>
      <c r="D1704" s="4">
        <v>129.1</v>
      </c>
    </row>
    <row r="1705" ht="22.5" customHeight="1">
      <c r="B1705" s="4">
        <v>3.394488E7</v>
      </c>
      <c r="C1705" s="4">
        <v>7.39</v>
      </c>
      <c r="D1705" s="4">
        <v>129.1</v>
      </c>
    </row>
    <row r="1706" ht="22.5" customHeight="1">
      <c r="B1706" s="4">
        <v>3.3964882E7</v>
      </c>
      <c r="C1706" s="4">
        <v>7.39</v>
      </c>
      <c r="D1706" s="4">
        <v>129.1</v>
      </c>
    </row>
    <row r="1707" ht="22.5" customHeight="1">
      <c r="B1707" s="4">
        <v>3.3984886E7</v>
      </c>
      <c r="C1707" s="4">
        <v>7.39</v>
      </c>
      <c r="D1707" s="4">
        <v>129.1</v>
      </c>
    </row>
    <row r="1708" ht="22.5" customHeight="1">
      <c r="B1708" s="4">
        <v>3.4004889E7</v>
      </c>
      <c r="C1708" s="4">
        <v>7.39</v>
      </c>
      <c r="D1708" s="4">
        <v>129.1</v>
      </c>
    </row>
    <row r="1709" ht="22.5" customHeight="1">
      <c r="B1709" s="4">
        <v>3.4024892E7</v>
      </c>
      <c r="C1709" s="4">
        <v>7.39</v>
      </c>
      <c r="D1709" s="4">
        <v>129.1</v>
      </c>
    </row>
    <row r="1710" ht="22.5" customHeight="1">
      <c r="B1710" s="4">
        <v>3.4044895E7</v>
      </c>
      <c r="C1710" s="4">
        <v>7.39</v>
      </c>
      <c r="D1710" s="4">
        <v>129.0</v>
      </c>
    </row>
    <row r="1711" ht="22.5" customHeight="1">
      <c r="B1711" s="4">
        <v>3.4064898E7</v>
      </c>
      <c r="C1711" s="4">
        <v>7.39</v>
      </c>
      <c r="D1711" s="4">
        <v>129.0</v>
      </c>
    </row>
    <row r="1712" ht="22.5" customHeight="1">
      <c r="B1712" s="4">
        <v>3.40849E7</v>
      </c>
      <c r="C1712" s="4">
        <v>7.38</v>
      </c>
      <c r="D1712" s="4">
        <v>129.0</v>
      </c>
    </row>
    <row r="1713" ht="22.5" customHeight="1">
      <c r="B1713" s="4">
        <v>3.4104903E7</v>
      </c>
      <c r="C1713" s="4">
        <v>7.38</v>
      </c>
      <c r="D1713" s="4">
        <v>129.0</v>
      </c>
    </row>
    <row r="1714" ht="22.5" customHeight="1">
      <c r="B1714" s="4">
        <v>3.4124906E7</v>
      </c>
      <c r="C1714" s="4">
        <v>7.38</v>
      </c>
      <c r="D1714" s="4">
        <v>129.0</v>
      </c>
    </row>
    <row r="1715" ht="22.5" customHeight="1">
      <c r="B1715" s="4">
        <v>3.4144909E7</v>
      </c>
      <c r="C1715" s="4">
        <v>7.38</v>
      </c>
      <c r="D1715" s="4">
        <v>129.0</v>
      </c>
    </row>
    <row r="1716" ht="22.5" customHeight="1">
      <c r="B1716" s="4">
        <v>3.4164912E7</v>
      </c>
      <c r="C1716" s="4">
        <v>7.38</v>
      </c>
      <c r="D1716" s="4">
        <v>128.9</v>
      </c>
    </row>
    <row r="1717" ht="22.5" customHeight="1">
      <c r="B1717" s="4">
        <v>3.4184914E7</v>
      </c>
      <c r="C1717" s="4">
        <v>7.38</v>
      </c>
      <c r="D1717" s="4">
        <v>129.0</v>
      </c>
    </row>
    <row r="1718" ht="22.5" customHeight="1">
      <c r="B1718" s="4">
        <v>3.4204917E7</v>
      </c>
      <c r="C1718" s="4">
        <v>7.38</v>
      </c>
      <c r="D1718" s="4">
        <v>128.9</v>
      </c>
    </row>
    <row r="1719" ht="22.5" customHeight="1">
      <c r="B1719" s="4">
        <v>3.422492E7</v>
      </c>
      <c r="C1719" s="4">
        <v>7.38</v>
      </c>
      <c r="D1719" s="4">
        <v>128.9</v>
      </c>
    </row>
    <row r="1720" ht="22.5" customHeight="1">
      <c r="B1720" s="4">
        <v>3.4244923E7</v>
      </c>
      <c r="C1720" s="4">
        <v>7.38</v>
      </c>
      <c r="D1720" s="4">
        <v>129.0</v>
      </c>
    </row>
    <row r="1721" ht="22.5" customHeight="1">
      <c r="B1721" s="4">
        <v>3.4264926E7</v>
      </c>
      <c r="C1721" s="4">
        <v>7.38</v>
      </c>
      <c r="D1721" s="4">
        <v>128.9</v>
      </c>
    </row>
    <row r="1722" ht="22.5" customHeight="1">
      <c r="B1722" s="4">
        <v>3.428493E7</v>
      </c>
      <c r="C1722" s="4">
        <v>7.38</v>
      </c>
      <c r="D1722" s="4">
        <v>128.9</v>
      </c>
    </row>
    <row r="1723" ht="22.5" customHeight="1">
      <c r="B1723" s="4">
        <v>3.4304932E7</v>
      </c>
      <c r="C1723" s="4">
        <v>7.38</v>
      </c>
      <c r="D1723" s="4">
        <v>128.9</v>
      </c>
    </row>
    <row r="1724" ht="22.5" customHeight="1">
      <c r="B1724" s="4">
        <v>3.4324935E7</v>
      </c>
      <c r="C1724" s="4">
        <v>7.38</v>
      </c>
      <c r="D1724" s="4">
        <v>128.8</v>
      </c>
    </row>
    <row r="1725" ht="22.5" customHeight="1">
      <c r="B1725" s="4">
        <v>3.4344938E7</v>
      </c>
      <c r="C1725" s="4">
        <v>7.38</v>
      </c>
      <c r="D1725" s="4">
        <v>128.8</v>
      </c>
    </row>
    <row r="1726" ht="22.5" customHeight="1">
      <c r="B1726" s="4">
        <v>3.4364941E7</v>
      </c>
      <c r="C1726" s="4">
        <v>7.37</v>
      </c>
      <c r="D1726" s="4">
        <v>128.8</v>
      </c>
    </row>
    <row r="1727" ht="22.5" customHeight="1">
      <c r="B1727" s="4">
        <v>3.4384944E7</v>
      </c>
      <c r="C1727" s="4">
        <v>7.38</v>
      </c>
      <c r="D1727" s="4">
        <v>128.9</v>
      </c>
    </row>
    <row r="1728" ht="22.5" customHeight="1">
      <c r="B1728" s="4">
        <v>3.4404946E7</v>
      </c>
      <c r="C1728" s="4">
        <v>7.37</v>
      </c>
      <c r="D1728" s="4">
        <v>128.8</v>
      </c>
    </row>
    <row r="1729" ht="22.5" customHeight="1">
      <c r="B1729" s="4">
        <v>3.4424949E7</v>
      </c>
      <c r="C1729" s="4">
        <v>7.37</v>
      </c>
      <c r="D1729" s="4">
        <v>128.8</v>
      </c>
    </row>
    <row r="1730" ht="22.5" customHeight="1">
      <c r="B1730" s="4">
        <v>3.4444952E7</v>
      </c>
      <c r="C1730" s="4">
        <v>7.37</v>
      </c>
      <c r="D1730" s="4">
        <v>128.8</v>
      </c>
    </row>
    <row r="1731" ht="22.5" customHeight="1">
      <c r="B1731" s="4">
        <v>3.4464955E7</v>
      </c>
      <c r="C1731" s="4">
        <v>7.37</v>
      </c>
      <c r="D1731" s="4">
        <v>128.8</v>
      </c>
    </row>
    <row r="1732" ht="22.5" customHeight="1">
      <c r="B1732" s="4">
        <v>3.4484958E7</v>
      </c>
      <c r="C1732" s="4">
        <v>7.37</v>
      </c>
      <c r="D1732" s="4">
        <v>128.7</v>
      </c>
    </row>
    <row r="1733" ht="22.5" customHeight="1">
      <c r="B1733" s="4">
        <v>3.4504961E7</v>
      </c>
      <c r="C1733" s="4">
        <v>7.37</v>
      </c>
      <c r="D1733" s="4">
        <v>128.7</v>
      </c>
    </row>
    <row r="1734" ht="22.5" customHeight="1">
      <c r="B1734" s="4">
        <v>3.4524963E7</v>
      </c>
      <c r="C1734" s="4">
        <v>7.37</v>
      </c>
      <c r="D1734" s="4">
        <v>128.7</v>
      </c>
    </row>
    <row r="1735" ht="22.5" customHeight="1">
      <c r="B1735" s="4">
        <v>3.4544966E7</v>
      </c>
      <c r="C1735" s="4">
        <v>7.37</v>
      </c>
      <c r="D1735" s="4">
        <v>128.7</v>
      </c>
    </row>
    <row r="1736" ht="22.5" customHeight="1">
      <c r="B1736" s="4">
        <v>3.456497E7</v>
      </c>
      <c r="C1736" s="4">
        <v>7.37</v>
      </c>
      <c r="D1736" s="4">
        <v>128.7</v>
      </c>
    </row>
    <row r="1737" ht="22.5" customHeight="1">
      <c r="B1737" s="4">
        <v>3.4584973E7</v>
      </c>
      <c r="C1737" s="4">
        <v>7.37</v>
      </c>
      <c r="D1737" s="4">
        <v>128.7</v>
      </c>
    </row>
    <row r="1738" ht="22.5" customHeight="1">
      <c r="B1738" s="4">
        <v>3.4604976E7</v>
      </c>
      <c r="C1738" s="4">
        <v>7.37</v>
      </c>
      <c r="D1738" s="4">
        <v>128.7</v>
      </c>
    </row>
    <row r="1739" ht="22.5" customHeight="1">
      <c r="B1739" s="4">
        <v>3.4624978E7</v>
      </c>
      <c r="C1739" s="4">
        <v>7.36</v>
      </c>
      <c r="D1739" s="4">
        <v>128.6</v>
      </c>
    </row>
    <row r="1740" ht="22.5" customHeight="1">
      <c r="B1740" s="4">
        <v>3.4644981E7</v>
      </c>
      <c r="C1740" s="4">
        <v>7.36</v>
      </c>
      <c r="D1740" s="4">
        <v>128.6</v>
      </c>
    </row>
    <row r="1741" ht="22.5" customHeight="1">
      <c r="B1741" s="4">
        <v>3.4664984E7</v>
      </c>
      <c r="C1741" s="4">
        <v>7.36</v>
      </c>
      <c r="D1741" s="4">
        <v>128.6</v>
      </c>
    </row>
    <row r="1742" ht="22.5" customHeight="1">
      <c r="B1742" s="4">
        <v>3.4684987E7</v>
      </c>
      <c r="C1742" s="4">
        <v>7.36</v>
      </c>
      <c r="D1742" s="4">
        <v>128.6</v>
      </c>
    </row>
    <row r="1743" ht="22.5" customHeight="1">
      <c r="B1743" s="4">
        <v>3.470499E7</v>
      </c>
      <c r="C1743" s="4">
        <v>7.36</v>
      </c>
      <c r="D1743" s="4">
        <v>128.6</v>
      </c>
    </row>
    <row r="1744" ht="22.5" customHeight="1">
      <c r="B1744" s="4">
        <v>3.4724993E7</v>
      </c>
      <c r="C1744" s="4">
        <v>7.36</v>
      </c>
      <c r="D1744" s="4">
        <v>128.6</v>
      </c>
    </row>
    <row r="1745" ht="22.5" customHeight="1">
      <c r="B1745" s="4">
        <v>3.4744995E7</v>
      </c>
      <c r="C1745" s="4">
        <v>7.36</v>
      </c>
      <c r="D1745" s="4">
        <v>128.5</v>
      </c>
    </row>
    <row r="1746" ht="22.5" customHeight="1">
      <c r="B1746" s="4">
        <v>3.4764998E7</v>
      </c>
      <c r="C1746" s="4">
        <v>7.36</v>
      </c>
      <c r="D1746" s="4">
        <v>128.5</v>
      </c>
    </row>
    <row r="1747" ht="22.5" customHeight="1">
      <c r="B1747" s="4">
        <v>3.4785001E7</v>
      </c>
      <c r="C1747" s="4">
        <v>7.36</v>
      </c>
      <c r="D1747" s="4">
        <v>128.6</v>
      </c>
    </row>
    <row r="1748" ht="22.5" customHeight="1">
      <c r="B1748" s="4">
        <v>3.4805004E7</v>
      </c>
      <c r="C1748" s="4">
        <v>7.36</v>
      </c>
      <c r="D1748" s="4">
        <v>128.5</v>
      </c>
    </row>
    <row r="1749" ht="22.5" customHeight="1">
      <c r="B1749" s="4">
        <v>3.4825008E7</v>
      </c>
      <c r="C1749" s="4">
        <v>7.36</v>
      </c>
      <c r="D1749" s="4">
        <v>128.5</v>
      </c>
    </row>
    <row r="1750" ht="22.5" customHeight="1">
      <c r="B1750" s="4">
        <v>3.484501E7</v>
      </c>
      <c r="C1750" s="4">
        <v>7.36</v>
      </c>
      <c r="D1750" s="4">
        <v>128.5</v>
      </c>
    </row>
    <row r="1751" ht="22.5" customHeight="1">
      <c r="B1751" s="4">
        <v>3.4865013E7</v>
      </c>
      <c r="C1751" s="4">
        <v>7.36</v>
      </c>
      <c r="D1751" s="4">
        <v>128.4</v>
      </c>
    </row>
    <row r="1752" ht="22.5" customHeight="1">
      <c r="B1752" s="4">
        <v>3.4885016E7</v>
      </c>
      <c r="C1752" s="4">
        <v>7.36</v>
      </c>
      <c r="D1752" s="4">
        <v>128.5</v>
      </c>
    </row>
    <row r="1753" ht="22.5" customHeight="1">
      <c r="B1753" s="4">
        <v>3.4905019E7</v>
      </c>
      <c r="C1753" s="4">
        <v>7.35</v>
      </c>
      <c r="D1753" s="4">
        <v>128.5</v>
      </c>
    </row>
    <row r="1754" ht="22.5" customHeight="1">
      <c r="B1754" s="4">
        <v>3.4925022E7</v>
      </c>
      <c r="C1754" s="4">
        <v>7.35</v>
      </c>
      <c r="D1754" s="4">
        <v>128.4</v>
      </c>
    </row>
    <row r="1755" ht="22.5" customHeight="1">
      <c r="B1755" s="4">
        <v>3.4945025E7</v>
      </c>
      <c r="C1755" s="4">
        <v>7.35</v>
      </c>
      <c r="D1755" s="4">
        <v>128.4</v>
      </c>
    </row>
    <row r="1756" ht="22.5" customHeight="1">
      <c r="B1756" s="4">
        <v>3.4965027E7</v>
      </c>
      <c r="C1756" s="4">
        <v>7.35</v>
      </c>
      <c r="D1756" s="4">
        <v>128.4</v>
      </c>
    </row>
    <row r="1757" ht="22.5" customHeight="1">
      <c r="B1757" s="4">
        <v>3.498503E7</v>
      </c>
      <c r="C1757" s="4">
        <v>7.35</v>
      </c>
      <c r="D1757" s="4">
        <v>128.4</v>
      </c>
    </row>
    <row r="1758" ht="22.5" customHeight="1">
      <c r="B1758" s="4">
        <v>3.5005033E7</v>
      </c>
      <c r="C1758" s="4">
        <v>7.35</v>
      </c>
      <c r="D1758" s="4">
        <v>128.4</v>
      </c>
    </row>
    <row r="1759" ht="22.5" customHeight="1">
      <c r="B1759" s="4">
        <v>3.5025036E7</v>
      </c>
      <c r="C1759" s="4">
        <v>7.35</v>
      </c>
      <c r="D1759" s="4">
        <v>128.4</v>
      </c>
    </row>
    <row r="1760" ht="22.5" customHeight="1">
      <c r="B1760" s="4">
        <v>3.5045039E7</v>
      </c>
      <c r="C1760" s="4">
        <v>7.35</v>
      </c>
      <c r="D1760" s="4">
        <v>128.3</v>
      </c>
    </row>
    <row r="1761" ht="22.5" customHeight="1">
      <c r="B1761" s="4">
        <v>3.5065041E7</v>
      </c>
      <c r="C1761" s="4">
        <v>7.35</v>
      </c>
      <c r="D1761" s="4">
        <v>128.3</v>
      </c>
    </row>
    <row r="1762" ht="22.5" customHeight="1">
      <c r="B1762" s="4">
        <v>3.5085044E7</v>
      </c>
      <c r="C1762" s="4">
        <v>7.34</v>
      </c>
      <c r="D1762" s="4">
        <v>128.3</v>
      </c>
    </row>
    <row r="1763" ht="22.5" customHeight="1">
      <c r="B1763" s="4">
        <v>3.5105048E7</v>
      </c>
      <c r="C1763" s="4">
        <v>7.34</v>
      </c>
      <c r="D1763" s="4">
        <v>128.3</v>
      </c>
    </row>
    <row r="1764" ht="22.5" customHeight="1">
      <c r="B1764" s="4">
        <v>3.5125051E7</v>
      </c>
      <c r="C1764" s="4">
        <v>7.34</v>
      </c>
      <c r="D1764" s="4">
        <v>128.3</v>
      </c>
    </row>
    <row r="1765" ht="22.5" customHeight="1">
      <c r="B1765" s="4">
        <v>3.5145054E7</v>
      </c>
      <c r="C1765" s="4">
        <v>7.34</v>
      </c>
      <c r="D1765" s="4">
        <v>128.2</v>
      </c>
    </row>
    <row r="1766" ht="22.5" customHeight="1">
      <c r="B1766" s="4">
        <v>3.5165057E7</v>
      </c>
      <c r="C1766" s="4">
        <v>7.34</v>
      </c>
      <c r="D1766" s="4">
        <v>128.3</v>
      </c>
    </row>
    <row r="1767" ht="22.5" customHeight="1">
      <c r="B1767" s="4">
        <v>3.5185059E7</v>
      </c>
      <c r="C1767" s="4">
        <v>7.34</v>
      </c>
      <c r="D1767" s="4">
        <v>128.2</v>
      </c>
    </row>
    <row r="1768" ht="22.5" customHeight="1">
      <c r="B1768" s="4">
        <v>3.5205062E7</v>
      </c>
      <c r="C1768" s="4">
        <v>7.34</v>
      </c>
      <c r="D1768" s="4">
        <v>128.2</v>
      </c>
    </row>
    <row r="1769" ht="22.5" customHeight="1">
      <c r="B1769" s="4">
        <v>3.5225065E7</v>
      </c>
      <c r="C1769" s="4">
        <v>7.34</v>
      </c>
      <c r="D1769" s="4">
        <v>128.2</v>
      </c>
    </row>
    <row r="1770" ht="22.5" customHeight="1">
      <c r="B1770" s="4">
        <v>3.5245068E7</v>
      </c>
      <c r="C1770" s="4">
        <v>7.34</v>
      </c>
      <c r="D1770" s="4">
        <v>128.2</v>
      </c>
    </row>
    <row r="1771" ht="22.5" customHeight="1">
      <c r="B1771" s="4">
        <v>3.5265071E7</v>
      </c>
      <c r="C1771" s="4">
        <v>7.34</v>
      </c>
      <c r="D1771" s="4">
        <v>128.2</v>
      </c>
    </row>
    <row r="1772" ht="22.5" customHeight="1">
      <c r="B1772" s="4">
        <v>3.5285073E7</v>
      </c>
      <c r="C1772" s="4">
        <v>7.34</v>
      </c>
      <c r="D1772" s="4">
        <v>128.2</v>
      </c>
    </row>
    <row r="1773" ht="22.5" customHeight="1">
      <c r="B1773" s="4">
        <v>3.5305076E7</v>
      </c>
      <c r="C1773" s="4">
        <v>7.34</v>
      </c>
      <c r="D1773" s="4">
        <v>128.1</v>
      </c>
    </row>
    <row r="1774" ht="22.5" customHeight="1">
      <c r="B1774" s="4">
        <v>3.5325079E7</v>
      </c>
      <c r="C1774" s="4">
        <v>7.34</v>
      </c>
      <c r="D1774" s="4">
        <v>128.1</v>
      </c>
    </row>
    <row r="1775" ht="22.5" customHeight="1">
      <c r="B1775" s="4">
        <v>3.5345082E7</v>
      </c>
      <c r="C1775" s="4">
        <v>7.34</v>
      </c>
      <c r="D1775" s="4">
        <v>128.1</v>
      </c>
    </row>
    <row r="1776" ht="22.5" customHeight="1">
      <c r="B1776" s="4">
        <v>3.5365086E7</v>
      </c>
      <c r="C1776" s="4">
        <v>7.34</v>
      </c>
      <c r="D1776" s="4">
        <v>128.1</v>
      </c>
    </row>
    <row r="1777" ht="22.5" customHeight="1">
      <c r="B1777" s="4">
        <v>3.5385089E7</v>
      </c>
      <c r="C1777" s="4">
        <v>7.34</v>
      </c>
      <c r="D1777" s="4">
        <v>128.1</v>
      </c>
    </row>
    <row r="1778" ht="22.5" customHeight="1">
      <c r="B1778" s="4">
        <v>3.5405091E7</v>
      </c>
      <c r="C1778" s="4">
        <v>7.34</v>
      </c>
      <c r="D1778" s="4">
        <v>128.1</v>
      </c>
    </row>
    <row r="1779" ht="22.5" customHeight="1">
      <c r="B1779" s="4">
        <v>3.5425094E7</v>
      </c>
      <c r="C1779" s="4">
        <v>7.33</v>
      </c>
      <c r="D1779" s="4">
        <v>128.1</v>
      </c>
    </row>
    <row r="1780" ht="22.5" customHeight="1">
      <c r="B1780" s="4">
        <v>3.5445097E7</v>
      </c>
      <c r="C1780" s="4">
        <v>7.33</v>
      </c>
      <c r="D1780" s="4">
        <v>128.1</v>
      </c>
    </row>
    <row r="1781" ht="22.5" customHeight="1">
      <c r="B1781" s="4">
        <v>3.54651E7</v>
      </c>
      <c r="C1781" s="4">
        <v>7.33</v>
      </c>
      <c r="D1781" s="4">
        <v>128.1</v>
      </c>
    </row>
    <row r="1782" ht="22.5" customHeight="1">
      <c r="B1782" s="4">
        <v>3.5485103E7</v>
      </c>
      <c r="C1782" s="4">
        <v>7.33</v>
      </c>
      <c r="D1782" s="4">
        <v>128.0</v>
      </c>
    </row>
    <row r="1783" ht="22.5" customHeight="1">
      <c r="B1783" s="4">
        <v>3.5505105E7</v>
      </c>
      <c r="C1783" s="4">
        <v>7.33</v>
      </c>
      <c r="D1783" s="4">
        <v>128.0</v>
      </c>
    </row>
    <row r="1784" ht="22.5" customHeight="1">
      <c r="B1784" s="4">
        <v>3.5525108E7</v>
      </c>
      <c r="C1784" s="4">
        <v>7.33</v>
      </c>
      <c r="D1784" s="4">
        <v>128.0</v>
      </c>
    </row>
    <row r="1785" ht="22.5" customHeight="1">
      <c r="B1785" s="4">
        <v>3.5545111E7</v>
      </c>
      <c r="C1785" s="4">
        <v>7.33</v>
      </c>
      <c r="D1785" s="4">
        <v>128.0</v>
      </c>
    </row>
    <row r="1786" ht="22.5" customHeight="1">
      <c r="B1786" s="4">
        <v>3.5565114E7</v>
      </c>
      <c r="C1786" s="4">
        <v>7.33</v>
      </c>
      <c r="D1786" s="4">
        <v>127.9</v>
      </c>
    </row>
    <row r="1787" ht="22.5" customHeight="1">
      <c r="B1787" s="4">
        <v>3.5585117E7</v>
      </c>
      <c r="C1787" s="4">
        <v>7.33</v>
      </c>
      <c r="D1787" s="4">
        <v>128.0</v>
      </c>
    </row>
    <row r="1788" ht="22.5" customHeight="1">
      <c r="B1788" s="4">
        <v>3.560512E7</v>
      </c>
      <c r="C1788" s="4">
        <v>7.32</v>
      </c>
      <c r="D1788" s="4">
        <v>127.9</v>
      </c>
    </row>
    <row r="1789" ht="22.5" customHeight="1">
      <c r="B1789" s="4">
        <v>3.5625122E7</v>
      </c>
      <c r="C1789" s="4">
        <v>7.32</v>
      </c>
      <c r="D1789" s="4">
        <v>127.9</v>
      </c>
    </row>
    <row r="1790" ht="22.5" customHeight="1">
      <c r="B1790" s="4">
        <v>3.5645126E7</v>
      </c>
      <c r="C1790" s="4">
        <v>7.32</v>
      </c>
      <c r="D1790" s="4">
        <v>127.9</v>
      </c>
    </row>
    <row r="1791" ht="22.5" customHeight="1">
      <c r="B1791" s="4">
        <v>3.5665129E7</v>
      </c>
      <c r="C1791" s="4">
        <v>7.32</v>
      </c>
      <c r="D1791" s="4">
        <v>127.9</v>
      </c>
    </row>
    <row r="1792" ht="22.5" customHeight="1">
      <c r="B1792" s="4">
        <v>3.5685132E7</v>
      </c>
      <c r="C1792" s="4">
        <v>7.32</v>
      </c>
      <c r="D1792" s="4">
        <v>127.9</v>
      </c>
    </row>
    <row r="1793" ht="22.5" customHeight="1">
      <c r="B1793" s="4">
        <v>3.5705135E7</v>
      </c>
      <c r="C1793" s="4">
        <v>7.32</v>
      </c>
      <c r="D1793" s="4">
        <v>127.9</v>
      </c>
    </row>
    <row r="1794" ht="22.5" customHeight="1">
      <c r="B1794" s="4">
        <v>3.5725137E7</v>
      </c>
      <c r="C1794" s="4">
        <v>7.32</v>
      </c>
      <c r="D1794" s="4">
        <v>127.9</v>
      </c>
    </row>
    <row r="1795" ht="22.5" customHeight="1">
      <c r="B1795" s="4">
        <v>3.574514E7</v>
      </c>
      <c r="C1795" s="4">
        <v>7.32</v>
      </c>
      <c r="D1795" s="4">
        <v>127.9</v>
      </c>
    </row>
    <row r="1796" ht="22.5" customHeight="1">
      <c r="B1796" s="4">
        <v>3.5765143E7</v>
      </c>
      <c r="C1796" s="4">
        <v>7.32</v>
      </c>
      <c r="D1796" s="4">
        <v>127.9</v>
      </c>
    </row>
    <row r="1797" ht="22.5" customHeight="1">
      <c r="B1797" s="4">
        <v>3.5785146E7</v>
      </c>
      <c r="C1797" s="4">
        <v>7.32</v>
      </c>
      <c r="D1797" s="4">
        <v>127.8</v>
      </c>
    </row>
    <row r="1798" ht="22.5" customHeight="1">
      <c r="B1798" s="4">
        <v>3.5805149E7</v>
      </c>
      <c r="C1798" s="4">
        <v>7.32</v>
      </c>
      <c r="D1798" s="4">
        <v>127.8</v>
      </c>
    </row>
    <row r="1799" ht="22.5" customHeight="1">
      <c r="B1799" s="4">
        <v>3.5825152E7</v>
      </c>
      <c r="C1799" s="4">
        <v>7.32</v>
      </c>
      <c r="D1799" s="4">
        <v>127.8</v>
      </c>
    </row>
    <row r="1800" ht="22.5" customHeight="1">
      <c r="B1800" s="4">
        <v>3.5845154E7</v>
      </c>
      <c r="C1800" s="4">
        <v>7.32</v>
      </c>
      <c r="D1800" s="4">
        <v>127.8</v>
      </c>
    </row>
    <row r="1801" ht="22.5" customHeight="1">
      <c r="B1801" s="4">
        <v>3.5865157E7</v>
      </c>
      <c r="C1801" s="4">
        <v>7.32</v>
      </c>
      <c r="D1801" s="4">
        <v>127.8</v>
      </c>
    </row>
    <row r="1802" ht="22.5" customHeight="1">
      <c r="B1802" s="4">
        <v>3.588516E7</v>
      </c>
      <c r="C1802" s="4">
        <v>7.32</v>
      </c>
      <c r="D1802" s="4">
        <v>127.8</v>
      </c>
    </row>
    <row r="1803" ht="22.5" customHeight="1">
      <c r="B1803" s="4">
        <v>3.5905163E7</v>
      </c>
      <c r="C1803" s="4">
        <v>7.32</v>
      </c>
      <c r="D1803" s="4">
        <v>127.8</v>
      </c>
    </row>
    <row r="1804" ht="22.5" customHeight="1">
      <c r="B1804" s="4">
        <v>3.5925167E7</v>
      </c>
      <c r="C1804" s="4">
        <v>7.32</v>
      </c>
      <c r="D1804" s="4">
        <v>127.7</v>
      </c>
    </row>
    <row r="1805" ht="22.5" customHeight="1">
      <c r="B1805" s="4">
        <v>3.5945169E7</v>
      </c>
      <c r="C1805" s="4">
        <v>7.32</v>
      </c>
      <c r="D1805" s="4">
        <v>127.7</v>
      </c>
    </row>
    <row r="1806" ht="22.5" customHeight="1">
      <c r="B1806" s="4">
        <v>3.5965172E7</v>
      </c>
      <c r="C1806" s="4">
        <v>7.32</v>
      </c>
      <c r="D1806" s="4">
        <v>127.7</v>
      </c>
    </row>
    <row r="1807" ht="22.5" customHeight="1">
      <c r="B1807" s="4">
        <v>3.5985175E7</v>
      </c>
      <c r="C1807" s="4">
        <v>7.32</v>
      </c>
      <c r="D1807" s="4">
        <v>127.7</v>
      </c>
    </row>
    <row r="1808" ht="22.5" customHeight="1">
      <c r="B1808" s="4">
        <v>3.6005178E7</v>
      </c>
      <c r="C1808" s="4">
        <v>7.31</v>
      </c>
      <c r="D1808" s="4">
        <v>127.7</v>
      </c>
    </row>
    <row r="1809" ht="22.5" customHeight="1">
      <c r="B1809" s="4">
        <v>3.6025181E7</v>
      </c>
      <c r="C1809" s="4">
        <v>7.32</v>
      </c>
      <c r="D1809" s="4">
        <v>127.7</v>
      </c>
    </row>
    <row r="1810" ht="22.5" customHeight="1">
      <c r="B1810" s="4">
        <v>3.6045184E7</v>
      </c>
      <c r="C1810" s="4">
        <v>7.31</v>
      </c>
      <c r="D1810" s="4">
        <v>127.7</v>
      </c>
    </row>
    <row r="1811" ht="22.5" customHeight="1">
      <c r="B1811" s="4">
        <v>3.6065186E7</v>
      </c>
      <c r="C1811" s="4">
        <v>7.31</v>
      </c>
      <c r="D1811" s="4">
        <v>127.7</v>
      </c>
    </row>
    <row r="1812" ht="22.5" customHeight="1">
      <c r="B1812" s="4">
        <v>3.6085189E7</v>
      </c>
      <c r="C1812" s="4">
        <v>7.31</v>
      </c>
      <c r="D1812" s="4">
        <v>127.7</v>
      </c>
    </row>
    <row r="1813" ht="22.5" customHeight="1">
      <c r="B1813" s="4">
        <v>3.6105192E7</v>
      </c>
      <c r="C1813" s="4">
        <v>7.31</v>
      </c>
      <c r="D1813" s="4">
        <v>127.7</v>
      </c>
    </row>
    <row r="1814" ht="22.5" customHeight="1">
      <c r="B1814" s="4">
        <v>3.6125195E7</v>
      </c>
      <c r="C1814" s="4">
        <v>7.31</v>
      </c>
      <c r="D1814" s="4">
        <v>127.7</v>
      </c>
    </row>
    <row r="1815" ht="22.5" customHeight="1">
      <c r="B1815" s="4">
        <v>3.6145198E7</v>
      </c>
      <c r="C1815" s="4">
        <v>7.31</v>
      </c>
      <c r="D1815" s="4">
        <v>127.7</v>
      </c>
    </row>
    <row r="1816" ht="22.5" customHeight="1">
      <c r="B1816" s="4">
        <v>3.61652E7</v>
      </c>
      <c r="C1816" s="4">
        <v>7.31</v>
      </c>
      <c r="D1816" s="4">
        <v>127.6</v>
      </c>
    </row>
    <row r="1817" ht="22.5" customHeight="1">
      <c r="B1817" s="4">
        <v>3.6185204E7</v>
      </c>
      <c r="C1817" s="4">
        <v>7.31</v>
      </c>
      <c r="D1817" s="4">
        <v>127.6</v>
      </c>
    </row>
    <row r="1818" ht="22.5" customHeight="1">
      <c r="B1818" s="4">
        <v>3.6205207E7</v>
      </c>
      <c r="C1818" s="4">
        <v>7.31</v>
      </c>
      <c r="D1818" s="4">
        <v>127.6</v>
      </c>
    </row>
    <row r="1819" ht="22.5" customHeight="1">
      <c r="B1819" s="4">
        <v>3.622521E7</v>
      </c>
      <c r="C1819" s="4">
        <v>7.31</v>
      </c>
      <c r="D1819" s="4">
        <v>127.6</v>
      </c>
    </row>
    <row r="1820" ht="22.5" customHeight="1">
      <c r="B1820" s="4">
        <v>3.6245213E7</v>
      </c>
      <c r="C1820" s="4">
        <v>7.31</v>
      </c>
      <c r="D1820" s="4">
        <v>127.5</v>
      </c>
    </row>
    <row r="1821" ht="22.5" customHeight="1">
      <c r="B1821" s="4">
        <v>3.6265216E7</v>
      </c>
      <c r="C1821" s="4">
        <v>7.31</v>
      </c>
      <c r="D1821" s="4">
        <v>127.6</v>
      </c>
    </row>
    <row r="1822" ht="22.5" customHeight="1">
      <c r="B1822" s="4">
        <v>3.6285218E7</v>
      </c>
      <c r="C1822" s="4">
        <v>7.31</v>
      </c>
      <c r="D1822" s="4">
        <v>127.6</v>
      </c>
    </row>
    <row r="1823" ht="22.5" customHeight="1">
      <c r="B1823" s="4">
        <v>3.6305221E7</v>
      </c>
      <c r="C1823" s="4">
        <v>7.3</v>
      </c>
      <c r="D1823" s="4">
        <v>127.5</v>
      </c>
    </row>
    <row r="1824" ht="22.5" customHeight="1">
      <c r="B1824" s="4">
        <v>3.6325224E7</v>
      </c>
      <c r="C1824" s="4">
        <v>7.31</v>
      </c>
      <c r="D1824" s="4">
        <v>127.5</v>
      </c>
    </row>
    <row r="1825" ht="22.5" customHeight="1">
      <c r="B1825" s="4">
        <v>3.6345227E7</v>
      </c>
      <c r="C1825" s="4">
        <v>7.3</v>
      </c>
      <c r="D1825" s="4">
        <v>127.5</v>
      </c>
    </row>
    <row r="1826" ht="22.5" customHeight="1">
      <c r="B1826" s="4">
        <v>3.636523E7</v>
      </c>
      <c r="C1826" s="4">
        <v>7.3</v>
      </c>
      <c r="D1826" s="4">
        <v>127.5</v>
      </c>
    </row>
    <row r="1827" ht="22.5" customHeight="1">
      <c r="B1827" s="4">
        <v>3.6385232E7</v>
      </c>
      <c r="C1827" s="4">
        <v>7.3</v>
      </c>
      <c r="D1827" s="4">
        <v>127.5</v>
      </c>
    </row>
    <row r="1828" ht="22.5" customHeight="1">
      <c r="B1828" s="4">
        <v>3.6405235E7</v>
      </c>
      <c r="C1828" s="4">
        <v>7.3</v>
      </c>
      <c r="D1828" s="4">
        <v>127.5</v>
      </c>
    </row>
    <row r="1829" ht="22.5" customHeight="1">
      <c r="B1829" s="4">
        <v>3.6425238E7</v>
      </c>
      <c r="C1829" s="4">
        <v>7.3</v>
      </c>
      <c r="D1829" s="4">
        <v>127.5</v>
      </c>
    </row>
    <row r="1830" ht="22.5" customHeight="1">
      <c r="B1830" s="4">
        <v>3.6445241E7</v>
      </c>
      <c r="C1830" s="4">
        <v>7.3</v>
      </c>
      <c r="D1830" s="4">
        <v>127.5</v>
      </c>
    </row>
    <row r="1831" ht="22.5" customHeight="1">
      <c r="B1831" s="4">
        <v>3.6465245E7</v>
      </c>
      <c r="C1831" s="4">
        <v>7.3</v>
      </c>
      <c r="D1831" s="4">
        <v>127.5</v>
      </c>
    </row>
    <row r="1832" ht="22.5" customHeight="1">
      <c r="B1832" s="4">
        <v>3.6485248E7</v>
      </c>
      <c r="C1832" s="4">
        <v>7.3</v>
      </c>
      <c r="D1832" s="4">
        <v>127.5</v>
      </c>
    </row>
    <row r="1833" ht="22.5" customHeight="1">
      <c r="B1833" s="4">
        <v>3.650525E7</v>
      </c>
      <c r="C1833" s="4">
        <v>7.3</v>
      </c>
      <c r="D1833" s="4">
        <v>127.5</v>
      </c>
    </row>
    <row r="1834" ht="22.5" customHeight="1">
      <c r="B1834" s="4">
        <v>3.6525253E7</v>
      </c>
      <c r="C1834" s="4">
        <v>7.3</v>
      </c>
      <c r="D1834" s="4">
        <v>127.5</v>
      </c>
    </row>
    <row r="1835" ht="22.5" customHeight="1">
      <c r="B1835" s="4">
        <v>3.6545256E7</v>
      </c>
      <c r="C1835" s="4">
        <v>7.3</v>
      </c>
      <c r="D1835" s="4">
        <v>127.5</v>
      </c>
    </row>
    <row r="1836" ht="22.5" customHeight="1">
      <c r="B1836" s="4">
        <v>3.6565259E7</v>
      </c>
      <c r="C1836" s="4">
        <v>7.3</v>
      </c>
      <c r="D1836" s="4">
        <v>127.4</v>
      </c>
    </row>
    <row r="1837" ht="22.5" customHeight="1">
      <c r="B1837" s="4">
        <v>3.6585262E7</v>
      </c>
      <c r="C1837" s="4">
        <v>7.3</v>
      </c>
      <c r="D1837" s="4">
        <v>127.4</v>
      </c>
    </row>
    <row r="1838" ht="22.5" customHeight="1">
      <c r="B1838" s="4">
        <v>3.6605264E7</v>
      </c>
      <c r="C1838" s="4">
        <v>7.3</v>
      </c>
      <c r="D1838" s="4">
        <v>127.4</v>
      </c>
    </row>
    <row r="1839" ht="22.5" customHeight="1">
      <c r="B1839" s="4">
        <v>3.6625267E7</v>
      </c>
      <c r="C1839" s="4">
        <v>7.3</v>
      </c>
      <c r="D1839" s="4">
        <v>127.4</v>
      </c>
    </row>
    <row r="1840" ht="22.5" customHeight="1">
      <c r="B1840" s="4">
        <v>3.664527E7</v>
      </c>
      <c r="C1840" s="4">
        <v>7.3</v>
      </c>
      <c r="D1840" s="4">
        <v>127.4</v>
      </c>
    </row>
    <row r="1841" ht="22.5" customHeight="1">
      <c r="B1841" s="4">
        <v>3.6665273E7</v>
      </c>
      <c r="C1841" s="4">
        <v>7.3</v>
      </c>
      <c r="D1841" s="4">
        <v>127.3</v>
      </c>
    </row>
    <row r="1842" ht="22.5" customHeight="1">
      <c r="B1842" s="4">
        <v>3.6685276E7</v>
      </c>
      <c r="C1842" s="4">
        <v>7.29</v>
      </c>
      <c r="D1842" s="4">
        <v>127.4</v>
      </c>
    </row>
    <row r="1843" ht="22.5" customHeight="1">
      <c r="B1843" s="4">
        <v>3.6705278E7</v>
      </c>
      <c r="C1843" s="4">
        <v>7.29</v>
      </c>
      <c r="D1843" s="4">
        <v>127.4</v>
      </c>
    </row>
    <row r="1844" ht="22.5" customHeight="1">
      <c r="B1844" s="4">
        <v>3.6725281E7</v>
      </c>
      <c r="C1844" s="4">
        <v>7.29</v>
      </c>
      <c r="D1844" s="4">
        <v>127.3</v>
      </c>
    </row>
    <row r="1845" ht="22.5" customHeight="1">
      <c r="B1845" s="4">
        <v>3.6745285E7</v>
      </c>
      <c r="C1845" s="4">
        <v>7.29</v>
      </c>
      <c r="D1845" s="4">
        <v>127.3</v>
      </c>
    </row>
    <row r="1846" ht="22.5" customHeight="1">
      <c r="B1846" s="4">
        <v>3.6765288E7</v>
      </c>
      <c r="C1846" s="4">
        <v>7.29</v>
      </c>
      <c r="D1846" s="4">
        <v>127.3</v>
      </c>
    </row>
    <row r="1847" ht="22.5" customHeight="1">
      <c r="B1847" s="4">
        <v>3.6785291E7</v>
      </c>
      <c r="C1847" s="4">
        <v>7.29</v>
      </c>
      <c r="D1847" s="4">
        <v>127.3</v>
      </c>
    </row>
    <row r="1848" ht="22.5" customHeight="1">
      <c r="B1848" s="4">
        <v>3.6805294E7</v>
      </c>
      <c r="C1848" s="4">
        <v>7.29</v>
      </c>
      <c r="D1848" s="4">
        <v>127.3</v>
      </c>
    </row>
    <row r="1849" ht="22.5" customHeight="1">
      <c r="B1849" s="4">
        <v>3.6825296E7</v>
      </c>
      <c r="C1849" s="4">
        <v>7.29</v>
      </c>
      <c r="D1849" s="4">
        <v>127.3</v>
      </c>
    </row>
    <row r="1850" ht="22.5" customHeight="1">
      <c r="B1850" s="4">
        <v>3.6845299E7</v>
      </c>
      <c r="C1850" s="4">
        <v>7.29</v>
      </c>
      <c r="D1850" s="4">
        <v>127.2</v>
      </c>
    </row>
    <row r="1851" ht="22.5" customHeight="1">
      <c r="B1851" s="4">
        <v>3.6865302E7</v>
      </c>
      <c r="C1851" s="4">
        <v>7.29</v>
      </c>
      <c r="D1851" s="4">
        <v>127.3</v>
      </c>
    </row>
    <row r="1852" ht="22.5" customHeight="1">
      <c r="B1852" s="4">
        <v>3.6885305E7</v>
      </c>
      <c r="C1852" s="4">
        <v>7.29</v>
      </c>
      <c r="D1852" s="4">
        <v>127.2</v>
      </c>
    </row>
    <row r="1853" ht="22.5" customHeight="1">
      <c r="B1853" s="4">
        <v>3.6905308E7</v>
      </c>
      <c r="C1853" s="4">
        <v>7.28</v>
      </c>
      <c r="D1853" s="4">
        <v>127.2</v>
      </c>
    </row>
    <row r="1854" ht="22.5" customHeight="1">
      <c r="B1854" s="4">
        <v>3.692531E7</v>
      </c>
      <c r="C1854" s="4">
        <v>7.29</v>
      </c>
      <c r="D1854" s="4">
        <v>127.2</v>
      </c>
    </row>
    <row r="1855" ht="22.5" customHeight="1">
      <c r="B1855" s="4">
        <v>3.6945313E7</v>
      </c>
      <c r="C1855" s="4">
        <v>7.28</v>
      </c>
      <c r="D1855" s="4">
        <v>127.2</v>
      </c>
    </row>
    <row r="1856" ht="22.5" customHeight="1">
      <c r="B1856" s="4">
        <v>3.6965316E7</v>
      </c>
      <c r="C1856" s="4">
        <v>7.28</v>
      </c>
      <c r="D1856" s="4">
        <v>127.2</v>
      </c>
    </row>
    <row r="1857" ht="22.5" customHeight="1">
      <c r="B1857" s="4">
        <v>3.6985319E7</v>
      </c>
      <c r="C1857" s="4">
        <v>7.28</v>
      </c>
      <c r="D1857" s="4">
        <v>127.2</v>
      </c>
    </row>
    <row r="1858" ht="22.5" customHeight="1">
      <c r="B1858" s="4">
        <v>3.7005322E7</v>
      </c>
      <c r="C1858" s="4">
        <v>7.28</v>
      </c>
      <c r="D1858" s="4">
        <v>127.2</v>
      </c>
    </row>
    <row r="1859" ht="22.5" customHeight="1">
      <c r="B1859" s="4">
        <v>3.7025326E7</v>
      </c>
      <c r="C1859" s="4">
        <v>7.28</v>
      </c>
      <c r="D1859" s="4">
        <v>127.1</v>
      </c>
    </row>
    <row r="1860" ht="22.5" customHeight="1">
      <c r="B1860" s="4">
        <v>3.7045328E7</v>
      </c>
      <c r="C1860" s="4">
        <v>7.28</v>
      </c>
      <c r="D1860" s="4">
        <v>127.1</v>
      </c>
    </row>
    <row r="1861" ht="22.5" customHeight="1">
      <c r="B1861" s="4">
        <v>3.7065331E7</v>
      </c>
      <c r="C1861" s="4">
        <v>7.28</v>
      </c>
      <c r="D1861" s="4">
        <v>127.1</v>
      </c>
    </row>
    <row r="1862" ht="22.5" customHeight="1">
      <c r="B1862" s="4">
        <v>3.7085334E7</v>
      </c>
      <c r="C1862" s="4">
        <v>7.28</v>
      </c>
      <c r="D1862" s="4">
        <v>127.1</v>
      </c>
    </row>
    <row r="1863" ht="22.5" customHeight="1">
      <c r="B1863" s="4">
        <v>3.7105337E7</v>
      </c>
      <c r="C1863" s="4">
        <v>7.28</v>
      </c>
      <c r="D1863" s="4">
        <v>127.1</v>
      </c>
    </row>
    <row r="1864" ht="22.5" customHeight="1">
      <c r="B1864" s="4">
        <v>3.712534E7</v>
      </c>
      <c r="C1864" s="4">
        <v>7.28</v>
      </c>
      <c r="D1864" s="4">
        <v>127.1</v>
      </c>
    </row>
    <row r="1865" ht="22.5" customHeight="1">
      <c r="B1865" s="4">
        <v>3.7145342E7</v>
      </c>
      <c r="C1865" s="4">
        <v>7.28</v>
      </c>
      <c r="D1865" s="4">
        <v>127.0</v>
      </c>
    </row>
    <row r="1866" ht="22.5" customHeight="1">
      <c r="B1866" s="4">
        <v>3.7165345E7</v>
      </c>
      <c r="C1866" s="4">
        <v>7.28</v>
      </c>
      <c r="D1866" s="4">
        <v>127.0</v>
      </c>
    </row>
    <row r="1867" ht="22.5" customHeight="1">
      <c r="B1867" s="4">
        <v>3.7185348E7</v>
      </c>
      <c r="C1867" s="4">
        <v>7.28</v>
      </c>
      <c r="D1867" s="4">
        <v>127.1</v>
      </c>
    </row>
    <row r="1868" ht="22.5" customHeight="1">
      <c r="B1868" s="4">
        <v>3.7205351E7</v>
      </c>
      <c r="C1868" s="4">
        <v>7.28</v>
      </c>
      <c r="D1868" s="4">
        <v>127.0</v>
      </c>
    </row>
    <row r="1869" ht="22.5" customHeight="1">
      <c r="B1869" s="4">
        <v>3.7225354E7</v>
      </c>
      <c r="C1869" s="4">
        <v>7.28</v>
      </c>
      <c r="D1869" s="4">
        <v>127.0</v>
      </c>
    </row>
    <row r="1870" ht="22.5" customHeight="1">
      <c r="B1870" s="4">
        <v>3.7245357E7</v>
      </c>
      <c r="C1870" s="4">
        <v>7.28</v>
      </c>
      <c r="D1870" s="4">
        <v>127.0</v>
      </c>
    </row>
    <row r="1871" ht="22.5" customHeight="1">
      <c r="B1871" s="4">
        <v>3.7265359E7</v>
      </c>
      <c r="C1871" s="4">
        <v>7.27</v>
      </c>
      <c r="D1871" s="4">
        <v>127.0</v>
      </c>
    </row>
    <row r="1872" ht="22.5" customHeight="1">
      <c r="B1872" s="4">
        <v>3.7285362E7</v>
      </c>
      <c r="C1872" s="4">
        <v>7.27</v>
      </c>
      <c r="D1872" s="4">
        <v>126.9</v>
      </c>
    </row>
    <row r="1873" ht="22.5" customHeight="1">
      <c r="B1873" s="4">
        <v>3.7305366E7</v>
      </c>
      <c r="C1873" s="4">
        <v>7.27</v>
      </c>
      <c r="D1873" s="4">
        <v>126.9</v>
      </c>
    </row>
    <row r="1874" ht="22.5" customHeight="1">
      <c r="B1874" s="4">
        <v>3.7325369E7</v>
      </c>
      <c r="C1874" s="4">
        <v>7.27</v>
      </c>
      <c r="D1874" s="4">
        <v>126.9</v>
      </c>
    </row>
    <row r="1875" ht="22.5" customHeight="1">
      <c r="B1875" s="4">
        <v>3.7345372E7</v>
      </c>
      <c r="C1875" s="4">
        <v>7.27</v>
      </c>
      <c r="D1875" s="4">
        <v>126.9</v>
      </c>
    </row>
    <row r="1876" ht="22.5" customHeight="1">
      <c r="B1876" s="4">
        <v>3.7365374E7</v>
      </c>
      <c r="C1876" s="4">
        <v>7.27</v>
      </c>
      <c r="D1876" s="4">
        <v>126.9</v>
      </c>
    </row>
    <row r="1877" ht="22.5" customHeight="1">
      <c r="B1877" s="4">
        <v>3.7385377E7</v>
      </c>
      <c r="C1877" s="4">
        <v>7.27</v>
      </c>
      <c r="D1877" s="4">
        <v>126.9</v>
      </c>
    </row>
    <row r="1878" ht="22.5" customHeight="1">
      <c r="B1878" s="4">
        <v>3.740538E7</v>
      </c>
      <c r="C1878" s="4">
        <v>7.27</v>
      </c>
      <c r="D1878" s="4">
        <v>126.9</v>
      </c>
    </row>
    <row r="1879" ht="22.5" customHeight="1">
      <c r="B1879" s="4">
        <v>3.7425383E7</v>
      </c>
      <c r="C1879" s="4">
        <v>7.27</v>
      </c>
      <c r="D1879" s="4">
        <v>126.8</v>
      </c>
    </row>
    <row r="1880" ht="22.5" customHeight="1">
      <c r="B1880" s="4">
        <v>3.7445386E7</v>
      </c>
      <c r="C1880" s="4">
        <v>7.27</v>
      </c>
      <c r="D1880" s="4">
        <v>126.8</v>
      </c>
    </row>
    <row r="1881" ht="22.5" customHeight="1">
      <c r="B1881" s="4">
        <v>3.7465389E7</v>
      </c>
      <c r="C1881" s="4">
        <v>7.26</v>
      </c>
      <c r="D1881" s="4">
        <v>126.8</v>
      </c>
    </row>
    <row r="1882" ht="22.5" customHeight="1">
      <c r="B1882" s="4">
        <v>3.7485391E7</v>
      </c>
      <c r="C1882" s="4">
        <v>7.26</v>
      </c>
      <c r="D1882" s="4">
        <v>126.8</v>
      </c>
    </row>
    <row r="1883" ht="22.5" customHeight="1">
      <c r="B1883" s="4">
        <v>3.7505394E7</v>
      </c>
      <c r="C1883" s="4">
        <v>7.26</v>
      </c>
      <c r="D1883" s="4">
        <v>126.8</v>
      </c>
    </row>
    <row r="1884" ht="22.5" customHeight="1">
      <c r="B1884" s="4">
        <v>3.7525397E7</v>
      </c>
      <c r="C1884" s="4">
        <v>7.26</v>
      </c>
      <c r="D1884" s="4">
        <v>126.7</v>
      </c>
    </row>
    <row r="1885" ht="22.5" customHeight="1">
      <c r="B1885" s="4">
        <v>3.75454E7</v>
      </c>
      <c r="C1885" s="4">
        <v>7.26</v>
      </c>
      <c r="D1885" s="4">
        <v>126.7</v>
      </c>
    </row>
    <row r="1886" ht="22.5" customHeight="1">
      <c r="B1886" s="4">
        <v>3.7565403E7</v>
      </c>
      <c r="C1886" s="4">
        <v>7.26</v>
      </c>
      <c r="D1886" s="4">
        <v>126.7</v>
      </c>
    </row>
    <row r="1887" ht="22.5" customHeight="1">
      <c r="B1887" s="4">
        <v>3.7585406E7</v>
      </c>
      <c r="C1887" s="4">
        <v>7.26</v>
      </c>
      <c r="D1887" s="4">
        <v>126.7</v>
      </c>
    </row>
    <row r="1888" ht="22.5" customHeight="1">
      <c r="B1888" s="4">
        <v>3.7605409E7</v>
      </c>
      <c r="C1888" s="4">
        <v>7.26</v>
      </c>
      <c r="D1888" s="4">
        <v>126.7</v>
      </c>
    </row>
    <row r="1889" ht="22.5" customHeight="1">
      <c r="B1889" s="4">
        <v>3.7625412E7</v>
      </c>
      <c r="C1889" s="4">
        <v>7.26</v>
      </c>
      <c r="D1889" s="4">
        <v>126.7</v>
      </c>
    </row>
    <row r="1890" ht="22.5" customHeight="1">
      <c r="B1890" s="4">
        <v>3.7645415E7</v>
      </c>
      <c r="C1890" s="4">
        <v>7.26</v>
      </c>
      <c r="D1890" s="4">
        <v>126.6</v>
      </c>
    </row>
    <row r="1891" ht="22.5" customHeight="1">
      <c r="B1891" s="4">
        <v>3.7665418E7</v>
      </c>
      <c r="C1891" s="4">
        <v>7.26</v>
      </c>
      <c r="D1891" s="4">
        <v>126.6</v>
      </c>
    </row>
    <row r="1892" ht="22.5" customHeight="1">
      <c r="B1892" s="4">
        <v>3.7685421E7</v>
      </c>
      <c r="C1892" s="4">
        <v>7.25</v>
      </c>
      <c r="D1892" s="4">
        <v>126.6</v>
      </c>
    </row>
    <row r="1893" ht="22.5" customHeight="1">
      <c r="B1893" s="4">
        <v>3.7705423E7</v>
      </c>
      <c r="C1893" s="4">
        <v>7.25</v>
      </c>
      <c r="D1893" s="4">
        <v>126.6</v>
      </c>
    </row>
    <row r="1894" ht="22.5" customHeight="1">
      <c r="B1894" s="4">
        <v>3.7725426E7</v>
      </c>
      <c r="C1894" s="4">
        <v>7.25</v>
      </c>
      <c r="D1894" s="4">
        <v>126.6</v>
      </c>
    </row>
    <row r="1895" ht="22.5" customHeight="1">
      <c r="B1895" s="4">
        <v>3.7745429E7</v>
      </c>
      <c r="C1895" s="4">
        <v>7.25</v>
      </c>
      <c r="D1895" s="4">
        <v>126.5</v>
      </c>
    </row>
    <row r="1896" ht="22.5" customHeight="1">
      <c r="B1896" s="4">
        <v>3.7765432E7</v>
      </c>
      <c r="C1896" s="4">
        <v>7.25</v>
      </c>
      <c r="D1896" s="4">
        <v>126.5</v>
      </c>
    </row>
    <row r="1897" ht="22.5" customHeight="1">
      <c r="B1897" s="4">
        <v>3.7785435E7</v>
      </c>
      <c r="C1897" s="4">
        <v>7.25</v>
      </c>
      <c r="D1897" s="4">
        <v>126.5</v>
      </c>
    </row>
    <row r="1898" ht="22.5" customHeight="1">
      <c r="B1898" s="4">
        <v>3.7805437E7</v>
      </c>
      <c r="C1898" s="4">
        <v>7.24</v>
      </c>
      <c r="D1898" s="4">
        <v>126.5</v>
      </c>
    </row>
    <row r="1899" ht="22.5" customHeight="1">
      <c r="B1899" s="4">
        <v>3.782544E7</v>
      </c>
      <c r="C1899" s="4">
        <v>7.24</v>
      </c>
      <c r="D1899" s="4">
        <v>126.5</v>
      </c>
    </row>
    <row r="1900" ht="22.5" customHeight="1">
      <c r="B1900" s="4">
        <v>3.7845443E7</v>
      </c>
      <c r="C1900" s="4">
        <v>7.24</v>
      </c>
      <c r="D1900" s="4">
        <v>126.5</v>
      </c>
    </row>
    <row r="1901" ht="22.5" customHeight="1">
      <c r="B1901" s="4">
        <v>3.7865447E7</v>
      </c>
      <c r="C1901" s="4">
        <v>7.24</v>
      </c>
      <c r="D1901" s="4">
        <v>126.4</v>
      </c>
    </row>
    <row r="1902" ht="22.5" customHeight="1">
      <c r="B1902" s="4">
        <v>3.788545E7</v>
      </c>
      <c r="C1902" s="4">
        <v>7.24</v>
      </c>
      <c r="D1902" s="4">
        <v>126.4</v>
      </c>
    </row>
    <row r="1903" ht="22.5" customHeight="1">
      <c r="B1903" s="4">
        <v>3.7905453E7</v>
      </c>
      <c r="C1903" s="4">
        <v>7.24</v>
      </c>
      <c r="D1903" s="4">
        <v>126.4</v>
      </c>
    </row>
    <row r="1904" ht="22.5" customHeight="1">
      <c r="B1904" s="4">
        <v>3.7925455E7</v>
      </c>
      <c r="C1904" s="4">
        <v>7.24</v>
      </c>
      <c r="D1904" s="4">
        <v>126.3</v>
      </c>
    </row>
    <row r="1905" ht="22.5" customHeight="1">
      <c r="B1905" s="4">
        <v>3.7945458E7</v>
      </c>
      <c r="C1905" s="4">
        <v>7.24</v>
      </c>
      <c r="D1905" s="4">
        <v>126.3</v>
      </c>
    </row>
    <row r="1906" ht="22.5" customHeight="1">
      <c r="B1906" s="4">
        <v>3.7965461E7</v>
      </c>
      <c r="C1906" s="4">
        <v>7.24</v>
      </c>
      <c r="D1906" s="4">
        <v>126.3</v>
      </c>
    </row>
    <row r="1907" ht="22.5" customHeight="1">
      <c r="B1907" s="4">
        <v>3.7985464E7</v>
      </c>
      <c r="C1907" s="4">
        <v>7.23</v>
      </c>
      <c r="D1907" s="4">
        <v>126.3</v>
      </c>
    </row>
    <row r="1908" ht="22.5" customHeight="1">
      <c r="B1908" s="4">
        <v>3.8005467E7</v>
      </c>
      <c r="C1908" s="4">
        <v>7.23</v>
      </c>
      <c r="D1908" s="4">
        <v>126.2</v>
      </c>
    </row>
    <row r="1909" ht="22.5" customHeight="1">
      <c r="B1909" s="4">
        <v>3.8025469E7</v>
      </c>
      <c r="C1909" s="4">
        <v>7.23</v>
      </c>
      <c r="D1909" s="4">
        <v>126.2</v>
      </c>
    </row>
    <row r="1910" ht="22.5" customHeight="1">
      <c r="B1910" s="4">
        <v>3.8045472E7</v>
      </c>
      <c r="C1910" s="4">
        <v>7.23</v>
      </c>
      <c r="D1910" s="4">
        <v>126.1</v>
      </c>
    </row>
    <row r="1911" ht="22.5" customHeight="1">
      <c r="B1911" s="4">
        <v>3.8065475E7</v>
      </c>
      <c r="C1911" s="4">
        <v>7.23</v>
      </c>
      <c r="D1911" s="4">
        <v>126.2</v>
      </c>
    </row>
    <row r="1912" ht="22.5" customHeight="1">
      <c r="B1912" s="4">
        <v>3.8085478E7</v>
      </c>
      <c r="C1912" s="4">
        <v>7.23</v>
      </c>
      <c r="D1912" s="4">
        <v>126.1</v>
      </c>
    </row>
    <row r="1913" ht="22.5" customHeight="1">
      <c r="B1913" s="4">
        <v>3.8105481E7</v>
      </c>
      <c r="C1913" s="4">
        <v>7.22</v>
      </c>
      <c r="D1913" s="4">
        <v>126.1</v>
      </c>
    </row>
    <row r="1914" ht="22.5" customHeight="1">
      <c r="B1914" s="4">
        <v>3.8125485E7</v>
      </c>
      <c r="C1914" s="4">
        <v>7.22</v>
      </c>
      <c r="D1914" s="4">
        <v>126.1</v>
      </c>
    </row>
    <row r="1915" ht="22.5" customHeight="1">
      <c r="B1915" s="4">
        <v>3.8145487E7</v>
      </c>
      <c r="C1915" s="4">
        <v>7.22</v>
      </c>
      <c r="D1915" s="4">
        <v>126.0</v>
      </c>
    </row>
    <row r="1916" ht="22.5" customHeight="1">
      <c r="B1916" s="4">
        <v>3.816549E7</v>
      </c>
      <c r="C1916" s="4">
        <v>7.22</v>
      </c>
      <c r="D1916" s="4">
        <v>126.0</v>
      </c>
    </row>
    <row r="1917" ht="22.5" customHeight="1">
      <c r="B1917" s="4">
        <v>3.8185493E7</v>
      </c>
      <c r="C1917" s="4">
        <v>7.22</v>
      </c>
      <c r="D1917" s="4">
        <v>126.0</v>
      </c>
    </row>
    <row r="1918" ht="22.5" customHeight="1">
      <c r="B1918" s="4">
        <v>3.8205496E7</v>
      </c>
      <c r="C1918" s="4">
        <v>7.22</v>
      </c>
      <c r="D1918" s="4">
        <v>125.9</v>
      </c>
    </row>
    <row r="1919" ht="22.5" customHeight="1">
      <c r="B1919" s="4">
        <v>3.8225499E7</v>
      </c>
      <c r="C1919" s="4">
        <v>7.21</v>
      </c>
      <c r="D1919" s="4">
        <v>125.9</v>
      </c>
    </row>
    <row r="1920" ht="22.5" customHeight="1">
      <c r="B1920" s="4">
        <v>3.8245501E7</v>
      </c>
      <c r="C1920" s="4">
        <v>7.21</v>
      </c>
      <c r="D1920" s="4">
        <v>125.8</v>
      </c>
    </row>
    <row r="1921" ht="22.5" customHeight="1">
      <c r="B1921" s="4">
        <v>3.8265504E7</v>
      </c>
      <c r="C1921" s="4">
        <v>7.21</v>
      </c>
      <c r="D1921" s="4">
        <v>125.8</v>
      </c>
    </row>
    <row r="1922" ht="22.5" customHeight="1">
      <c r="B1922" s="4">
        <v>3.8285507E7</v>
      </c>
      <c r="C1922" s="4">
        <v>7.21</v>
      </c>
      <c r="D1922" s="4">
        <v>125.8</v>
      </c>
    </row>
    <row r="1923" ht="22.5" customHeight="1">
      <c r="B1923" s="4">
        <v>3.830551E7</v>
      </c>
      <c r="C1923" s="4">
        <v>7.2</v>
      </c>
      <c r="D1923" s="4">
        <v>125.7</v>
      </c>
    </row>
    <row r="1924" ht="22.5" customHeight="1">
      <c r="B1924" s="4">
        <v>3.8325513E7</v>
      </c>
      <c r="C1924" s="4">
        <v>7.2</v>
      </c>
      <c r="D1924" s="4">
        <v>125.8</v>
      </c>
    </row>
    <row r="1925" ht="22.5" customHeight="1">
      <c r="B1925" s="4">
        <v>3.8345516E7</v>
      </c>
      <c r="C1925" s="4">
        <v>7.2</v>
      </c>
      <c r="D1925" s="4">
        <v>125.6</v>
      </c>
    </row>
    <row r="1926" ht="22.5" customHeight="1">
      <c r="B1926" s="4">
        <v>3.8365518E7</v>
      </c>
      <c r="C1926" s="4">
        <v>7.2</v>
      </c>
      <c r="D1926" s="4">
        <v>125.6</v>
      </c>
    </row>
    <row r="1927" ht="22.5" customHeight="1">
      <c r="B1927" s="4">
        <v>3.8385521E7</v>
      </c>
      <c r="C1927" s="4">
        <v>7.2</v>
      </c>
      <c r="D1927" s="4">
        <v>125.5</v>
      </c>
    </row>
    <row r="1928" ht="22.5" customHeight="1">
      <c r="B1928" s="4">
        <v>3.8405525E7</v>
      </c>
      <c r="C1928" s="4">
        <v>7.19</v>
      </c>
      <c r="D1928" s="4">
        <v>125.5</v>
      </c>
    </row>
    <row r="1929" ht="22.5" customHeight="1">
      <c r="B1929" s="4">
        <v>3.8425528E7</v>
      </c>
      <c r="C1929" s="4">
        <v>7.19</v>
      </c>
      <c r="D1929" s="4">
        <v>125.4</v>
      </c>
    </row>
    <row r="1930" ht="22.5" customHeight="1">
      <c r="B1930" s="4">
        <v>3.8445531E7</v>
      </c>
      <c r="C1930" s="4">
        <v>7.19</v>
      </c>
      <c r="D1930" s="4">
        <v>125.4</v>
      </c>
    </row>
    <row r="1931" ht="22.5" customHeight="1">
      <c r="B1931" s="4">
        <v>3.8465533E7</v>
      </c>
      <c r="C1931" s="4">
        <v>7.18</v>
      </c>
      <c r="D1931" s="4">
        <v>125.4</v>
      </c>
    </row>
    <row r="1932" ht="22.5" customHeight="1">
      <c r="B1932" s="4">
        <v>3.8485536E7</v>
      </c>
      <c r="C1932" s="4">
        <v>7.18</v>
      </c>
      <c r="D1932" s="4">
        <v>125.3</v>
      </c>
    </row>
    <row r="1933" ht="22.5" customHeight="1">
      <c r="B1933" s="4">
        <v>3.8505539E7</v>
      </c>
      <c r="C1933" s="4">
        <v>7.18</v>
      </c>
      <c r="D1933" s="4">
        <v>125.3</v>
      </c>
    </row>
    <row r="1934" ht="22.5" customHeight="1">
      <c r="B1934" s="4">
        <v>3.8525542E7</v>
      </c>
      <c r="C1934" s="4">
        <v>7.18</v>
      </c>
      <c r="D1934" s="4">
        <v>125.2</v>
      </c>
    </row>
    <row r="1935" ht="22.5" customHeight="1">
      <c r="B1935" s="4">
        <v>3.8545545E7</v>
      </c>
      <c r="C1935" s="4">
        <v>7.17</v>
      </c>
      <c r="D1935" s="4">
        <v>125.1</v>
      </c>
    </row>
    <row r="1936" ht="22.5" customHeight="1">
      <c r="B1936" s="4">
        <v>3.8565548E7</v>
      </c>
      <c r="C1936" s="4">
        <v>7.17</v>
      </c>
      <c r="D1936" s="4">
        <v>125.1</v>
      </c>
    </row>
    <row r="1937" ht="22.5" customHeight="1">
      <c r="B1937" s="4">
        <v>3.858555E7</v>
      </c>
      <c r="C1937" s="4">
        <v>7.17</v>
      </c>
      <c r="D1937" s="4">
        <v>125.0</v>
      </c>
    </row>
    <row r="1938" ht="22.5" customHeight="1">
      <c r="B1938" s="4">
        <v>3.8605553E7</v>
      </c>
      <c r="C1938" s="4">
        <v>7.16</v>
      </c>
      <c r="D1938" s="4">
        <v>125.0</v>
      </c>
    </row>
    <row r="1939" ht="22.5" customHeight="1">
      <c r="B1939" s="4">
        <v>3.8625556E7</v>
      </c>
      <c r="C1939" s="4">
        <v>7.16</v>
      </c>
      <c r="D1939" s="4">
        <v>124.9</v>
      </c>
    </row>
    <row r="1940" ht="22.5" customHeight="1">
      <c r="B1940" s="4">
        <v>3.8645559E7</v>
      </c>
      <c r="C1940" s="4">
        <v>7.16</v>
      </c>
      <c r="D1940" s="4">
        <v>124.8</v>
      </c>
    </row>
    <row r="1941" ht="22.5" customHeight="1">
      <c r="B1941" s="4">
        <v>3.8665562E7</v>
      </c>
      <c r="C1941" s="4">
        <v>7.15</v>
      </c>
      <c r="D1941" s="4">
        <v>124.8</v>
      </c>
    </row>
    <row r="1942" ht="22.5" customHeight="1">
      <c r="B1942" s="4">
        <v>3.8685565E7</v>
      </c>
      <c r="C1942" s="4">
        <v>7.15</v>
      </c>
      <c r="D1942" s="4">
        <v>124.7</v>
      </c>
    </row>
    <row r="1943" ht="22.5" customHeight="1">
      <c r="B1943" s="4">
        <v>3.8705568E7</v>
      </c>
      <c r="C1943" s="4">
        <v>7.14</v>
      </c>
      <c r="D1943" s="4">
        <v>124.6</v>
      </c>
    </row>
    <row r="1944" ht="22.5" customHeight="1">
      <c r="B1944" s="4">
        <v>3.8725571E7</v>
      </c>
      <c r="C1944" s="4">
        <v>7.14</v>
      </c>
      <c r="D1944" s="4">
        <v>124.6</v>
      </c>
    </row>
    <row r="1945" ht="22.5" customHeight="1">
      <c r="B1945" s="4">
        <v>3.8745574E7</v>
      </c>
      <c r="C1945" s="4">
        <v>7.14</v>
      </c>
      <c r="D1945" s="4">
        <v>124.5</v>
      </c>
    </row>
    <row r="1946" ht="22.5" customHeight="1">
      <c r="B1946" s="4">
        <v>3.8765577E7</v>
      </c>
      <c r="C1946" s="4">
        <v>7.13</v>
      </c>
      <c r="D1946" s="4">
        <v>124.4</v>
      </c>
    </row>
    <row r="1947" ht="22.5" customHeight="1">
      <c r="B1947" s="4">
        <v>3.878558E7</v>
      </c>
      <c r="C1947" s="4">
        <v>7.13</v>
      </c>
      <c r="D1947" s="4">
        <v>124.3</v>
      </c>
    </row>
    <row r="1948" ht="22.5" customHeight="1">
      <c r="B1948" s="4">
        <v>3.8805582E7</v>
      </c>
      <c r="C1948" s="4">
        <v>7.12</v>
      </c>
      <c r="D1948" s="4">
        <v>124.3</v>
      </c>
    </row>
    <row r="1949" ht="22.5" customHeight="1">
      <c r="B1949" s="4">
        <v>3.8825585E7</v>
      </c>
      <c r="C1949" s="4">
        <v>7.12</v>
      </c>
      <c r="D1949" s="4">
        <v>124.2</v>
      </c>
    </row>
    <row r="1950" ht="22.5" customHeight="1">
      <c r="B1950" s="4">
        <v>3.8845588E7</v>
      </c>
      <c r="C1950" s="4">
        <v>7.12</v>
      </c>
      <c r="D1950" s="4">
        <v>124.1</v>
      </c>
    </row>
    <row r="1951" ht="22.5" customHeight="1">
      <c r="B1951" s="4">
        <v>3.8865591E7</v>
      </c>
      <c r="C1951" s="4">
        <v>7.11</v>
      </c>
      <c r="D1951" s="4">
        <v>124.0</v>
      </c>
    </row>
    <row r="1952" ht="22.5" customHeight="1">
      <c r="B1952" s="4">
        <v>3.8885594E7</v>
      </c>
      <c r="C1952" s="4">
        <v>7.11</v>
      </c>
      <c r="D1952" s="4">
        <v>124.0</v>
      </c>
    </row>
    <row r="1953" ht="22.5" customHeight="1">
      <c r="B1953" s="4">
        <v>3.8905596E7</v>
      </c>
      <c r="C1953" s="4">
        <v>7.1</v>
      </c>
      <c r="D1953" s="4">
        <v>123.9</v>
      </c>
    </row>
    <row r="1954" ht="22.5" customHeight="1">
      <c r="B1954" s="4">
        <v>3.8925599E7</v>
      </c>
      <c r="C1954" s="4">
        <v>7.1</v>
      </c>
      <c r="D1954" s="4">
        <v>123.8</v>
      </c>
    </row>
    <row r="1955" ht="22.5" customHeight="1">
      <c r="B1955" s="4">
        <v>3.8945603E7</v>
      </c>
      <c r="C1955" s="4">
        <v>7.09</v>
      </c>
      <c r="D1955" s="4">
        <v>123.7</v>
      </c>
    </row>
    <row r="1956" ht="22.5" customHeight="1">
      <c r="B1956" s="4">
        <v>3.8965606E7</v>
      </c>
      <c r="C1956" s="4">
        <v>7.09</v>
      </c>
      <c r="D1956" s="4">
        <v>123.6</v>
      </c>
    </row>
    <row r="1957" ht="22.5" customHeight="1">
      <c r="B1957" s="4">
        <v>3.8985609E7</v>
      </c>
      <c r="C1957" s="4">
        <v>7.08</v>
      </c>
      <c r="D1957" s="4">
        <v>123.5</v>
      </c>
    </row>
    <row r="1958" ht="22.5" customHeight="1">
      <c r="B1958" s="4">
        <v>3.9005612E7</v>
      </c>
      <c r="C1958" s="4">
        <v>7.08</v>
      </c>
      <c r="D1958" s="4">
        <v>123.4</v>
      </c>
    </row>
    <row r="1959" ht="22.5" customHeight="1">
      <c r="B1959" s="4">
        <v>3.9025614E7</v>
      </c>
      <c r="C1959" s="4">
        <v>7.07</v>
      </c>
      <c r="D1959" s="4">
        <v>123.3</v>
      </c>
    </row>
    <row r="1960" ht="22.5" customHeight="1">
      <c r="B1960" s="4">
        <v>3.9045617E7</v>
      </c>
      <c r="C1960" s="4">
        <v>7.07</v>
      </c>
      <c r="D1960" s="4">
        <v>123.2</v>
      </c>
    </row>
    <row r="1961" ht="22.5" customHeight="1">
      <c r="B1961" s="4">
        <v>3.906562E7</v>
      </c>
      <c r="C1961" s="4">
        <v>7.06</v>
      </c>
      <c r="D1961" s="4">
        <v>123.1</v>
      </c>
    </row>
    <row r="1962" ht="22.5" customHeight="1">
      <c r="B1962" s="4">
        <v>3.9085623E7</v>
      </c>
      <c r="C1962" s="4">
        <v>7.06</v>
      </c>
      <c r="D1962" s="4">
        <v>123.1</v>
      </c>
    </row>
    <row r="1963" ht="22.5" customHeight="1">
      <c r="B1963" s="4">
        <v>3.9105626E7</v>
      </c>
      <c r="C1963" s="4">
        <v>7.05</v>
      </c>
      <c r="D1963" s="4">
        <v>122.9</v>
      </c>
    </row>
    <row r="1964" ht="22.5" customHeight="1">
      <c r="B1964" s="4">
        <v>3.9125628E7</v>
      </c>
      <c r="C1964" s="4">
        <v>7.05</v>
      </c>
      <c r="D1964" s="4">
        <v>122.8</v>
      </c>
    </row>
    <row r="1965" ht="22.5" customHeight="1">
      <c r="B1965" s="4">
        <v>3.9145631E7</v>
      </c>
      <c r="C1965" s="4">
        <v>7.04</v>
      </c>
      <c r="D1965" s="4">
        <v>122.8</v>
      </c>
    </row>
    <row r="1966" ht="22.5" customHeight="1">
      <c r="B1966" s="4">
        <v>3.9165634E7</v>
      </c>
      <c r="C1966" s="4">
        <v>7.04</v>
      </c>
      <c r="D1966" s="4">
        <v>122.6</v>
      </c>
    </row>
    <row r="1967" ht="22.5" customHeight="1">
      <c r="B1967" s="4">
        <v>3.9185637E7</v>
      </c>
      <c r="C1967" s="4">
        <v>7.03</v>
      </c>
      <c r="D1967" s="4">
        <v>122.6</v>
      </c>
    </row>
    <row r="1968" ht="22.5" customHeight="1">
      <c r="B1968" s="4">
        <v>3.920564E7</v>
      </c>
      <c r="C1968" s="4">
        <v>7.02</v>
      </c>
      <c r="D1968" s="4">
        <v>122.4</v>
      </c>
    </row>
    <row r="1969" ht="22.5" customHeight="1">
      <c r="B1969" s="4">
        <v>3.9225643E7</v>
      </c>
      <c r="C1969" s="4">
        <v>7.02</v>
      </c>
      <c r="D1969" s="4">
        <v>122.2</v>
      </c>
    </row>
    <row r="1970" ht="22.5" customHeight="1">
      <c r="B1970" s="4">
        <v>3.9245646E7</v>
      </c>
      <c r="C1970" s="4">
        <v>7.01</v>
      </c>
      <c r="D1970" s="4">
        <v>122.2</v>
      </c>
    </row>
    <row r="1971" ht="22.5" customHeight="1">
      <c r="B1971" s="4">
        <v>3.9265649E7</v>
      </c>
      <c r="C1971" s="4">
        <v>7.01</v>
      </c>
      <c r="D1971" s="4">
        <v>122.1</v>
      </c>
    </row>
    <row r="1972" ht="22.5" customHeight="1">
      <c r="B1972" s="4">
        <v>3.9285652E7</v>
      </c>
      <c r="C1972" s="4">
        <v>7.0</v>
      </c>
      <c r="D1972" s="4">
        <v>122.0</v>
      </c>
    </row>
    <row r="1973" ht="22.5" customHeight="1">
      <c r="B1973" s="4">
        <v>3.9305655E7</v>
      </c>
      <c r="C1973" s="4">
        <v>7.0</v>
      </c>
      <c r="D1973" s="4">
        <v>121.8</v>
      </c>
    </row>
    <row r="1974" ht="22.5" customHeight="1">
      <c r="B1974" s="4">
        <v>3.9325658E7</v>
      </c>
      <c r="C1974" s="4">
        <v>6.99</v>
      </c>
      <c r="D1974" s="4">
        <v>121.8</v>
      </c>
    </row>
    <row r="1975" ht="22.5" customHeight="1">
      <c r="B1975" s="4">
        <v>3.934566E7</v>
      </c>
      <c r="C1975" s="4">
        <v>6.98</v>
      </c>
      <c r="D1975" s="4">
        <v>121.7</v>
      </c>
    </row>
    <row r="1976" ht="22.5" customHeight="1">
      <c r="B1976" s="4">
        <v>3.9365663E7</v>
      </c>
      <c r="C1976" s="4">
        <v>6.98</v>
      </c>
      <c r="D1976" s="4">
        <v>121.6</v>
      </c>
    </row>
    <row r="1977" ht="22.5" customHeight="1">
      <c r="B1977" s="4">
        <v>3.9385666E7</v>
      </c>
      <c r="C1977" s="4">
        <v>6.97</v>
      </c>
      <c r="D1977" s="4">
        <v>121.4</v>
      </c>
    </row>
    <row r="1978" ht="22.5" customHeight="1">
      <c r="B1978" s="4">
        <v>3.9405669E7</v>
      </c>
      <c r="C1978" s="4">
        <v>6.96</v>
      </c>
      <c r="D1978" s="4">
        <v>121.3</v>
      </c>
    </row>
    <row r="1979" ht="22.5" customHeight="1">
      <c r="B1979" s="4">
        <v>3.9425672E7</v>
      </c>
      <c r="C1979" s="4">
        <v>6.96</v>
      </c>
      <c r="D1979" s="4">
        <v>121.2</v>
      </c>
    </row>
    <row r="1980" ht="22.5" customHeight="1">
      <c r="B1980" s="4">
        <v>3.9445675E7</v>
      </c>
      <c r="C1980" s="4">
        <v>6.95</v>
      </c>
      <c r="D1980" s="4">
        <v>121.0</v>
      </c>
    </row>
    <row r="1981" ht="22.5" customHeight="1">
      <c r="B1981" s="4">
        <v>3.9465677E7</v>
      </c>
      <c r="C1981" s="4">
        <v>6.94</v>
      </c>
      <c r="D1981" s="4">
        <v>120.9</v>
      </c>
    </row>
    <row r="1982" ht="22.5" customHeight="1">
      <c r="B1982" s="4">
        <v>3.948568E7</v>
      </c>
      <c r="C1982" s="4">
        <v>6.93</v>
      </c>
      <c r="D1982" s="4">
        <v>120.8</v>
      </c>
    </row>
    <row r="1983" ht="22.5" customHeight="1">
      <c r="B1983" s="4">
        <v>3.9505683E7</v>
      </c>
      <c r="C1983" s="4">
        <v>6.93</v>
      </c>
      <c r="D1983" s="4">
        <v>120.7</v>
      </c>
    </row>
    <row r="1984" ht="22.5" customHeight="1">
      <c r="B1984" s="4">
        <v>3.9525686E7</v>
      </c>
      <c r="C1984" s="4">
        <v>6.92</v>
      </c>
      <c r="D1984" s="4">
        <v>120.5</v>
      </c>
    </row>
    <row r="1985" ht="22.5" customHeight="1">
      <c r="B1985" s="4">
        <v>3.954569E7</v>
      </c>
      <c r="C1985" s="4">
        <v>6.91</v>
      </c>
      <c r="D1985" s="4">
        <v>120.5</v>
      </c>
    </row>
    <row r="1986" ht="22.5" customHeight="1">
      <c r="B1986" s="4">
        <v>3.9565692E7</v>
      </c>
      <c r="C1986" s="4">
        <v>6.9</v>
      </c>
      <c r="D1986" s="4">
        <v>120.3</v>
      </c>
    </row>
    <row r="1987" ht="22.5" customHeight="1">
      <c r="B1987" s="4">
        <v>3.9585695E7</v>
      </c>
      <c r="C1987" s="4">
        <v>6.9</v>
      </c>
      <c r="D1987" s="4">
        <v>120.1</v>
      </c>
    </row>
    <row r="1988" ht="22.5" customHeight="1">
      <c r="B1988" s="4">
        <v>3.9605698E7</v>
      </c>
      <c r="C1988" s="4">
        <v>6.89</v>
      </c>
      <c r="D1988" s="4">
        <v>120.0</v>
      </c>
    </row>
    <row r="1989" ht="22.5" customHeight="1">
      <c r="B1989" s="4">
        <v>3.9625701E7</v>
      </c>
      <c r="C1989" s="4">
        <v>6.88</v>
      </c>
      <c r="D1989" s="4">
        <v>119.8</v>
      </c>
    </row>
    <row r="1990" ht="22.5" customHeight="1">
      <c r="B1990" s="4">
        <v>3.9645704E7</v>
      </c>
      <c r="C1990" s="4">
        <v>6.87</v>
      </c>
      <c r="D1990" s="4">
        <v>119.7</v>
      </c>
    </row>
    <row r="1991" ht="22.5" customHeight="1">
      <c r="B1991" s="4">
        <v>3.9665707E7</v>
      </c>
      <c r="C1991" s="4">
        <v>6.86</v>
      </c>
      <c r="D1991" s="4">
        <v>119.5</v>
      </c>
    </row>
    <row r="1992" ht="22.5" customHeight="1">
      <c r="B1992" s="4">
        <v>3.9685709E7</v>
      </c>
      <c r="C1992" s="4">
        <v>6.86</v>
      </c>
      <c r="D1992" s="4">
        <v>119.3</v>
      </c>
    </row>
    <row r="1993" ht="22.5" customHeight="1">
      <c r="B1993" s="4">
        <v>3.9705712E7</v>
      </c>
      <c r="C1993" s="4">
        <v>6.85</v>
      </c>
      <c r="D1993" s="4">
        <v>119.2</v>
      </c>
    </row>
    <row r="1994" ht="22.5" customHeight="1">
      <c r="B1994" s="4">
        <v>3.9725715E7</v>
      </c>
      <c r="C1994" s="4">
        <v>6.84</v>
      </c>
      <c r="D1994" s="4">
        <v>119.0</v>
      </c>
    </row>
    <row r="1995" ht="22.5" customHeight="1">
      <c r="B1995" s="4">
        <v>3.9745718E7</v>
      </c>
      <c r="C1995" s="4">
        <v>6.83</v>
      </c>
      <c r="D1995" s="4">
        <v>118.9</v>
      </c>
    </row>
    <row r="1996" ht="22.5" customHeight="1">
      <c r="B1996" s="4">
        <v>3.9765721E7</v>
      </c>
      <c r="C1996" s="4">
        <v>6.82</v>
      </c>
      <c r="D1996" s="4">
        <v>118.8</v>
      </c>
    </row>
    <row r="1997" ht="22.5" customHeight="1">
      <c r="B1997" s="4">
        <v>3.9785723E7</v>
      </c>
      <c r="C1997" s="4">
        <v>6.81</v>
      </c>
      <c r="D1997" s="4">
        <v>118.6</v>
      </c>
    </row>
    <row r="1998" ht="22.5" customHeight="1">
      <c r="B1998" s="4">
        <v>3.9805726E7</v>
      </c>
      <c r="C1998" s="4">
        <v>6.8</v>
      </c>
      <c r="D1998" s="4">
        <v>118.4</v>
      </c>
    </row>
    <row r="1999" ht="22.5" customHeight="1">
      <c r="B1999" s="4">
        <v>3.982573E7</v>
      </c>
      <c r="C1999" s="4">
        <v>6.8</v>
      </c>
      <c r="D1999" s="4">
        <v>118.3</v>
      </c>
    </row>
    <row r="2000" ht="22.5" customHeight="1">
      <c r="B2000" s="4">
        <v>3.9845733E7</v>
      </c>
      <c r="C2000" s="4">
        <v>6.78</v>
      </c>
      <c r="D2000" s="4">
        <v>118.1</v>
      </c>
    </row>
    <row r="2001" ht="22.5" customHeight="1">
      <c r="B2001" s="4">
        <v>3.9865736E7</v>
      </c>
      <c r="C2001" s="4">
        <v>6.78</v>
      </c>
      <c r="D2001" s="4">
        <v>117.9</v>
      </c>
    </row>
    <row r="2002" ht="22.5" customHeight="1">
      <c r="B2002" s="4">
        <v>3.9885739E7</v>
      </c>
      <c r="C2002" s="4">
        <v>6.77</v>
      </c>
      <c r="D2002" s="4">
        <v>117.8</v>
      </c>
    </row>
    <row r="2003" ht="22.5" customHeight="1">
      <c r="B2003" s="4">
        <v>3.9905741E7</v>
      </c>
      <c r="C2003" s="4">
        <v>6.76</v>
      </c>
      <c r="D2003" s="4">
        <v>117.6</v>
      </c>
    </row>
    <row r="2004" ht="22.5" customHeight="1">
      <c r="B2004" s="4">
        <v>3.9925744E7</v>
      </c>
      <c r="C2004" s="4">
        <v>6.75</v>
      </c>
      <c r="D2004" s="4">
        <v>117.4</v>
      </c>
    </row>
    <row r="2005" ht="22.5" customHeight="1">
      <c r="B2005" s="4">
        <v>3.9945747E7</v>
      </c>
      <c r="C2005" s="4">
        <v>6.74</v>
      </c>
      <c r="D2005" s="4">
        <v>117.2</v>
      </c>
    </row>
    <row r="2006" ht="22.5" customHeight="1">
      <c r="B2006" s="4">
        <v>3.996575E7</v>
      </c>
      <c r="C2006" s="4">
        <v>6.73</v>
      </c>
      <c r="D2006" s="4">
        <v>117.0</v>
      </c>
    </row>
    <row r="2007" ht="22.5" customHeight="1">
      <c r="B2007" s="4">
        <v>3.9985753E7</v>
      </c>
      <c r="C2007" s="4">
        <v>6.72</v>
      </c>
      <c r="D2007" s="4">
        <v>116.8</v>
      </c>
    </row>
    <row r="2008" ht="22.5" customHeight="1">
      <c r="B2008" s="4">
        <v>4.0005755E7</v>
      </c>
      <c r="C2008" s="4">
        <v>6.7</v>
      </c>
      <c r="D2008" s="4">
        <v>116.6</v>
      </c>
    </row>
    <row r="2009" ht="22.5" customHeight="1">
      <c r="B2009" s="4">
        <v>4.0025758E7</v>
      </c>
      <c r="C2009" s="4">
        <v>6.69</v>
      </c>
      <c r="D2009" s="4">
        <v>116.4</v>
      </c>
    </row>
    <row r="2010" ht="22.5" customHeight="1">
      <c r="B2010" s="4">
        <v>4.0045761E7</v>
      </c>
      <c r="C2010" s="4">
        <v>6.68</v>
      </c>
      <c r="D2010" s="4">
        <v>116.3</v>
      </c>
    </row>
    <row r="2011" ht="22.5" customHeight="1">
      <c r="B2011" s="4">
        <v>4.0065764E7</v>
      </c>
      <c r="C2011" s="4">
        <v>6.67</v>
      </c>
      <c r="D2011" s="4">
        <v>116.1</v>
      </c>
    </row>
    <row r="2012" ht="22.5" customHeight="1">
      <c r="B2012" s="4">
        <v>4.0085767E7</v>
      </c>
      <c r="C2012" s="4">
        <v>6.66</v>
      </c>
      <c r="D2012" s="4">
        <v>115.8</v>
      </c>
    </row>
    <row r="2013" ht="22.5" customHeight="1">
      <c r="B2013" s="4">
        <v>4.0105771E7</v>
      </c>
      <c r="C2013" s="4">
        <v>6.65</v>
      </c>
      <c r="D2013" s="4">
        <v>115.6</v>
      </c>
    </row>
    <row r="2014" ht="22.5" customHeight="1">
      <c r="B2014" s="4">
        <v>4.0125773E7</v>
      </c>
      <c r="C2014" s="4">
        <v>6.64</v>
      </c>
      <c r="D2014" s="4">
        <v>115.4</v>
      </c>
    </row>
    <row r="2015" ht="22.5" customHeight="1">
      <c r="B2015" s="4">
        <v>4.0145776E7</v>
      </c>
      <c r="C2015" s="4">
        <v>6.63</v>
      </c>
      <c r="D2015" s="4">
        <v>115.2</v>
      </c>
    </row>
    <row r="2016" ht="22.5" customHeight="1">
      <c r="B2016" s="4">
        <v>4.0165779E7</v>
      </c>
      <c r="C2016" s="4">
        <v>6.61</v>
      </c>
      <c r="D2016" s="4">
        <v>114.9</v>
      </c>
    </row>
    <row r="2017" ht="22.5" customHeight="1">
      <c r="B2017" s="4">
        <v>4.0185782E7</v>
      </c>
      <c r="C2017" s="4">
        <v>6.6</v>
      </c>
      <c r="D2017" s="4">
        <v>114.8</v>
      </c>
    </row>
    <row r="2018" ht="22.5" customHeight="1">
      <c r="B2018" s="4">
        <v>4.0205785E7</v>
      </c>
      <c r="C2018" s="4">
        <v>6.59</v>
      </c>
      <c r="D2018" s="4">
        <v>114.5</v>
      </c>
    </row>
    <row r="2019" ht="22.5" customHeight="1">
      <c r="B2019" s="4">
        <v>4.0225787E7</v>
      </c>
      <c r="C2019" s="4">
        <v>6.58</v>
      </c>
      <c r="D2019" s="4">
        <v>114.3</v>
      </c>
    </row>
    <row r="2020" ht="22.5" customHeight="1">
      <c r="B2020" s="4">
        <v>4.024579E7</v>
      </c>
      <c r="C2020" s="4">
        <v>6.56</v>
      </c>
      <c r="D2020" s="4">
        <v>114.1</v>
      </c>
    </row>
    <row r="2021" ht="22.5" customHeight="1">
      <c r="B2021" s="4">
        <v>4.0265793E7</v>
      </c>
      <c r="C2021" s="4">
        <v>6.55</v>
      </c>
      <c r="D2021" s="4">
        <v>113.8</v>
      </c>
    </row>
    <row r="2022" ht="22.5" customHeight="1">
      <c r="B2022" s="4">
        <v>4.0285796E7</v>
      </c>
      <c r="C2022" s="4">
        <v>6.54</v>
      </c>
      <c r="D2022" s="4">
        <v>113.5</v>
      </c>
    </row>
    <row r="2023" ht="22.5" customHeight="1">
      <c r="B2023" s="4">
        <v>4.0305799E7</v>
      </c>
      <c r="C2023" s="4">
        <v>6.52</v>
      </c>
      <c r="D2023" s="4">
        <v>113.3</v>
      </c>
    </row>
    <row r="2024" ht="22.5" customHeight="1">
      <c r="B2024" s="4">
        <v>4.0325801E7</v>
      </c>
      <c r="C2024" s="4">
        <v>6.51</v>
      </c>
      <c r="D2024" s="4">
        <v>113.1</v>
      </c>
    </row>
    <row r="2025" ht="22.5" customHeight="1">
      <c r="B2025" s="4">
        <v>4.0345804E7</v>
      </c>
      <c r="C2025" s="4">
        <v>6.5</v>
      </c>
      <c r="D2025" s="4">
        <v>112.8</v>
      </c>
    </row>
    <row r="2026" ht="22.5" customHeight="1">
      <c r="B2026" s="4">
        <v>4.0365807E7</v>
      </c>
      <c r="C2026" s="4">
        <v>6.48</v>
      </c>
      <c r="D2026" s="4">
        <v>112.6</v>
      </c>
    </row>
    <row r="2027" ht="22.5" customHeight="1">
      <c r="B2027" s="4">
        <v>4.0385811E7</v>
      </c>
      <c r="C2027" s="4">
        <v>6.46</v>
      </c>
      <c r="D2027" s="4">
        <v>112.3</v>
      </c>
    </row>
    <row r="2028" ht="22.5" customHeight="1">
      <c r="B2028" s="4">
        <v>4.0405814E7</v>
      </c>
      <c r="C2028" s="4">
        <v>6.45</v>
      </c>
      <c r="D2028" s="4">
        <v>112.0</v>
      </c>
    </row>
    <row r="2029" ht="22.5" customHeight="1">
      <c r="B2029" s="4">
        <v>4.0425817E7</v>
      </c>
      <c r="C2029" s="4">
        <v>6.44</v>
      </c>
      <c r="D2029" s="4">
        <v>111.8</v>
      </c>
    </row>
    <row r="2030" ht="22.5" customHeight="1">
      <c r="B2030" s="4">
        <v>4.0445819E7</v>
      </c>
      <c r="C2030" s="4">
        <v>6.42</v>
      </c>
      <c r="D2030" s="4">
        <v>111.5</v>
      </c>
    </row>
    <row r="2031" ht="22.5" customHeight="1">
      <c r="B2031" s="4">
        <v>4.0465822E7</v>
      </c>
      <c r="C2031" s="4">
        <v>6.4</v>
      </c>
      <c r="D2031" s="4">
        <v>111.3</v>
      </c>
    </row>
    <row r="2032" ht="22.5" customHeight="1">
      <c r="B2032" s="4">
        <v>4.0485825E7</v>
      </c>
      <c r="C2032" s="4">
        <v>6.39</v>
      </c>
      <c r="D2032" s="4">
        <v>111.0</v>
      </c>
    </row>
    <row r="2033" ht="22.5" customHeight="1">
      <c r="B2033" s="4">
        <v>4.0505828E7</v>
      </c>
      <c r="C2033" s="4">
        <v>6.37</v>
      </c>
      <c r="D2033" s="4">
        <v>110.7</v>
      </c>
    </row>
    <row r="2034" ht="22.5" customHeight="1">
      <c r="B2034" s="4">
        <v>4.0525831E7</v>
      </c>
      <c r="C2034" s="4">
        <v>6.36</v>
      </c>
      <c r="D2034" s="4">
        <v>110.4</v>
      </c>
    </row>
    <row r="2035" ht="22.5" customHeight="1">
      <c r="B2035" s="4">
        <v>4.0545833E7</v>
      </c>
      <c r="C2035" s="4">
        <v>6.34</v>
      </c>
      <c r="D2035" s="4">
        <v>110.1</v>
      </c>
    </row>
    <row r="2036" ht="22.5" customHeight="1">
      <c r="B2036" s="4">
        <v>4.0565836E7</v>
      </c>
      <c r="C2036" s="4">
        <v>6.33</v>
      </c>
      <c r="D2036" s="4">
        <v>109.9</v>
      </c>
    </row>
    <row r="2037" ht="22.5" customHeight="1">
      <c r="B2037" s="4">
        <v>4.0585839E7</v>
      </c>
      <c r="C2037" s="4">
        <v>6.31</v>
      </c>
      <c r="D2037" s="4">
        <v>109.6</v>
      </c>
    </row>
    <row r="2038" ht="22.5" customHeight="1">
      <c r="B2038" s="4">
        <v>4.0605842E7</v>
      </c>
      <c r="C2038" s="4">
        <v>6.3</v>
      </c>
      <c r="D2038" s="4">
        <v>109.3</v>
      </c>
    </row>
    <row r="2039" ht="22.5" customHeight="1">
      <c r="B2039" s="4">
        <v>4.0625845E7</v>
      </c>
      <c r="C2039" s="4">
        <v>6.28</v>
      </c>
      <c r="D2039" s="4">
        <v>109.0</v>
      </c>
    </row>
    <row r="2040" ht="22.5" customHeight="1">
      <c r="B2040" s="4">
        <v>4.0645848E7</v>
      </c>
      <c r="C2040" s="4">
        <v>6.26</v>
      </c>
      <c r="D2040" s="4">
        <v>108.8</v>
      </c>
    </row>
    <row r="2041" ht="22.5" customHeight="1">
      <c r="B2041" s="4">
        <v>4.0665851E7</v>
      </c>
      <c r="C2041" s="4">
        <v>6.25</v>
      </c>
      <c r="D2041" s="4">
        <v>108.5</v>
      </c>
    </row>
    <row r="2042" ht="22.5" customHeight="1">
      <c r="B2042" s="4">
        <v>4.0685854E7</v>
      </c>
      <c r="C2042" s="4">
        <v>6.23</v>
      </c>
      <c r="D2042" s="4">
        <v>108.2</v>
      </c>
    </row>
    <row r="2043" ht="22.5" customHeight="1">
      <c r="B2043" s="4">
        <v>4.0705857E7</v>
      </c>
      <c r="C2043" s="4">
        <v>6.22</v>
      </c>
      <c r="D2043" s="4">
        <v>107.9</v>
      </c>
    </row>
    <row r="2044" ht="22.5" customHeight="1">
      <c r="B2044" s="4">
        <v>4.072586E7</v>
      </c>
      <c r="C2044" s="4">
        <v>6.2</v>
      </c>
      <c r="D2044" s="4">
        <v>107.7</v>
      </c>
    </row>
    <row r="2045" ht="22.5" customHeight="1">
      <c r="B2045" s="4">
        <v>4.0745863E7</v>
      </c>
      <c r="C2045" s="4">
        <v>6.18</v>
      </c>
      <c r="D2045" s="4">
        <v>107.3</v>
      </c>
    </row>
    <row r="2046" ht="22.5" customHeight="1">
      <c r="B2046" s="4">
        <v>4.0765865E7</v>
      </c>
      <c r="C2046" s="4">
        <v>6.17</v>
      </c>
      <c r="D2046" s="4">
        <v>107.0</v>
      </c>
    </row>
    <row r="2047" ht="22.5" customHeight="1">
      <c r="B2047" s="4">
        <v>4.0785868E7</v>
      </c>
      <c r="C2047" s="4">
        <v>6.16</v>
      </c>
      <c r="D2047" s="4">
        <v>106.7</v>
      </c>
    </row>
    <row r="2048" ht="22.5" customHeight="1">
      <c r="B2048" s="4">
        <v>4.0805871E7</v>
      </c>
      <c r="C2048" s="4">
        <v>6.14</v>
      </c>
      <c r="D2048" s="4">
        <v>106.5</v>
      </c>
    </row>
    <row r="2049" ht="22.5" customHeight="1">
      <c r="B2049" s="4">
        <v>4.0825874E7</v>
      </c>
      <c r="C2049" s="4">
        <v>6.12</v>
      </c>
      <c r="D2049" s="4">
        <v>106.2</v>
      </c>
    </row>
    <row r="2050" ht="22.5" customHeight="1">
      <c r="B2050" s="4">
        <v>4.0845877E7</v>
      </c>
      <c r="C2050" s="4">
        <v>6.1</v>
      </c>
      <c r="D2050" s="4">
        <v>105.8</v>
      </c>
    </row>
    <row r="2051" ht="22.5" customHeight="1">
      <c r="B2051" s="4">
        <v>4.086588E7</v>
      </c>
      <c r="C2051" s="4">
        <v>6.09</v>
      </c>
      <c r="D2051" s="4">
        <v>105.5</v>
      </c>
    </row>
    <row r="2052" ht="22.5" customHeight="1">
      <c r="B2052" s="4">
        <v>4.0885882E7</v>
      </c>
      <c r="C2052" s="4">
        <v>6.08</v>
      </c>
      <c r="D2052" s="4">
        <v>105.3</v>
      </c>
    </row>
    <row r="2053" ht="22.5" customHeight="1">
      <c r="B2053" s="4">
        <v>4.0905885E7</v>
      </c>
      <c r="C2053" s="4">
        <v>6.06</v>
      </c>
      <c r="D2053" s="4">
        <v>105.0</v>
      </c>
    </row>
    <row r="2054" ht="22.5" customHeight="1">
      <c r="B2054" s="4">
        <v>4.0925888E7</v>
      </c>
      <c r="C2054" s="4">
        <v>6.04</v>
      </c>
      <c r="D2054" s="4">
        <v>104.7</v>
      </c>
    </row>
    <row r="2055" ht="22.5" customHeight="1">
      <c r="B2055" s="4">
        <v>4.0945892E7</v>
      </c>
      <c r="C2055" s="4">
        <v>6.03</v>
      </c>
      <c r="D2055" s="4">
        <v>104.4</v>
      </c>
    </row>
    <row r="2056" ht="22.5" customHeight="1">
      <c r="B2056" s="4">
        <v>4.0965895E7</v>
      </c>
      <c r="C2056" s="4">
        <v>6.01</v>
      </c>
      <c r="D2056" s="4">
        <v>104.2</v>
      </c>
    </row>
    <row r="2057" ht="22.5" customHeight="1">
      <c r="B2057" s="4">
        <v>4.0985897E7</v>
      </c>
      <c r="C2057" s="4">
        <v>6.0</v>
      </c>
      <c r="D2057" s="4">
        <v>103.9</v>
      </c>
    </row>
    <row r="2058">
      <c r="B2058" s="3" t="s">
        <v>44</v>
      </c>
      <c r="C2058" s="3"/>
      <c r="D2058" s="3"/>
    </row>
  </sheetData>
  <dataValidations>
    <dataValidation type="custom" allowBlank="1" showDropDown="1" sqref="H5:J6">
      <formula1>AND(ISNUMBER(H5),(NOT(OR(NOT(ISERROR(DATEVALUE(H5))), AND(ISNUMBER(H5), LEFT(CELL("format", H5))="D")))))</formula1>
    </dataValidation>
  </dataValidations>
  <drawing r:id="rId1"/>
  <tableParts count="2"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5.63"/>
    <col customWidth="1" min="3" max="3" width="23.13"/>
    <col customWidth="1" min="4" max="4" width="11.5"/>
    <col customWidth="1" min="5" max="5" width="29.0"/>
    <col customWidth="1" min="6" max="6" width="25.38"/>
    <col customWidth="1" min="7" max="7" width="11.5"/>
    <col customWidth="1" min="8" max="26" width="8.63"/>
  </cols>
  <sheetData>
    <row r="1" ht="12.75" customHeight="1">
      <c r="A1" s="7" t="s">
        <v>0</v>
      </c>
      <c r="B1" s="7" t="s">
        <v>3</v>
      </c>
      <c r="C1" s="7" t="s">
        <v>1</v>
      </c>
    </row>
    <row r="2" ht="12.75" customHeight="1">
      <c r="A2" s="20" t="s">
        <v>15</v>
      </c>
      <c r="B2" s="21">
        <v>7.534</v>
      </c>
      <c r="C2" s="20" t="s">
        <v>54</v>
      </c>
      <c r="D2" s="20"/>
      <c r="E2" s="7" t="s">
        <v>55</v>
      </c>
    </row>
    <row r="3" ht="12.75" customHeight="1">
      <c r="A3" s="20"/>
      <c r="B3" s="21"/>
      <c r="C3" s="20"/>
      <c r="D3" s="20"/>
      <c r="E3" s="22"/>
      <c r="F3" s="22"/>
      <c r="G3" s="22"/>
    </row>
    <row r="4" ht="12.75" customHeight="1">
      <c r="A4" s="20" t="s">
        <v>15</v>
      </c>
      <c r="B4" s="21">
        <v>7.577</v>
      </c>
      <c r="C4" s="20" t="s">
        <v>56</v>
      </c>
      <c r="D4" s="20"/>
      <c r="E4" s="13" t="s">
        <v>57</v>
      </c>
      <c r="F4" s="13" t="s">
        <v>58</v>
      </c>
      <c r="G4" s="13" t="s">
        <v>59</v>
      </c>
    </row>
    <row r="5" ht="12.75" customHeight="1">
      <c r="A5" s="20" t="s">
        <v>15</v>
      </c>
      <c r="B5" s="21">
        <v>7.524</v>
      </c>
      <c r="C5" s="20" t="s">
        <v>60</v>
      </c>
      <c r="D5" s="20"/>
      <c r="E5" s="23">
        <f>AVERAGE(B2:B17)</f>
        <v>7.510266667</v>
      </c>
      <c r="F5" s="23">
        <f>STDEV(B2:B17)</f>
        <v>0.03347166534</v>
      </c>
      <c r="G5" s="17">
        <v>7.4</v>
      </c>
    </row>
    <row r="6" ht="12.75" customHeight="1">
      <c r="A6" s="20" t="s">
        <v>15</v>
      </c>
      <c r="B6" s="21">
        <v>7.52</v>
      </c>
      <c r="C6" s="20" t="s">
        <v>61</v>
      </c>
      <c r="D6" s="20"/>
      <c r="E6" s="23">
        <f>AVERAGE(B19:B34)</f>
        <v>7.2196875</v>
      </c>
      <c r="F6" s="23">
        <f>STDEV(B19:B34)</f>
        <v>0.02411284236</v>
      </c>
      <c r="G6" s="17">
        <v>7.2</v>
      </c>
    </row>
    <row r="7" ht="12.75" customHeight="1">
      <c r="A7" s="20" t="s">
        <v>15</v>
      </c>
      <c r="B7" s="21">
        <v>7.474</v>
      </c>
      <c r="C7" s="20" t="s">
        <v>62</v>
      </c>
      <c r="D7" s="20"/>
      <c r="E7" s="23">
        <f>AVERAGE(B38:B63)</f>
        <v>7.014115385</v>
      </c>
      <c r="F7" s="23">
        <f>STDEV(B38:B63)</f>
        <v>0.030309506</v>
      </c>
      <c r="G7" s="17">
        <v>7.0</v>
      </c>
    </row>
    <row r="8" ht="12.75" customHeight="1">
      <c r="A8" s="20" t="s">
        <v>15</v>
      </c>
      <c r="B8" s="21">
        <v>7.502</v>
      </c>
      <c r="C8" s="20" t="s">
        <v>63</v>
      </c>
      <c r="D8" s="20"/>
      <c r="E8" s="24">
        <f>average(B65:B89)</f>
        <v>6.80088</v>
      </c>
      <c r="F8" s="24">
        <f>STDEV(B65:B89)</f>
        <v>0.02948067163</v>
      </c>
      <c r="G8" s="17">
        <v>6.8</v>
      </c>
    </row>
    <row r="9" ht="12.75" customHeight="1">
      <c r="A9" s="20" t="s">
        <v>15</v>
      </c>
      <c r="B9" s="21">
        <v>7.541</v>
      </c>
      <c r="C9" s="20" t="s">
        <v>64</v>
      </c>
      <c r="D9" s="20"/>
      <c r="E9" s="24">
        <f>average(B91:B99)</f>
        <v>6.592555556</v>
      </c>
      <c r="F9" s="24">
        <f>STDEV(B91:B99)</f>
        <v>0.01242086059</v>
      </c>
      <c r="G9" s="17">
        <v>6.6</v>
      </c>
    </row>
    <row r="10" ht="12.75" customHeight="1">
      <c r="A10" s="20" t="s">
        <v>15</v>
      </c>
      <c r="B10" s="21">
        <v>7.481</v>
      </c>
      <c r="C10" s="20" t="s">
        <v>65</v>
      </c>
      <c r="D10" s="20"/>
      <c r="E10" s="24">
        <f>average(B101:B123)</f>
        <v>6.40026087</v>
      </c>
      <c r="F10" s="24">
        <f>STDEV(B101:B123)</f>
        <v>0.02257153757</v>
      </c>
      <c r="G10" s="17">
        <v>6.4</v>
      </c>
    </row>
    <row r="11" ht="12.75" customHeight="1">
      <c r="A11" s="20" t="s">
        <v>15</v>
      </c>
      <c r="B11" s="21">
        <v>7.527</v>
      </c>
      <c r="C11" s="20" t="s">
        <v>66</v>
      </c>
      <c r="D11" s="20"/>
      <c r="E11" s="24">
        <f>average(B125:B128)</f>
        <v>6.193</v>
      </c>
      <c r="F11" s="24">
        <f>STDEV(B125:B128)</f>
        <v>0.02767670501</v>
      </c>
      <c r="G11" s="17">
        <v>6.2</v>
      </c>
    </row>
    <row r="12" ht="12.75" customHeight="1">
      <c r="A12" s="20" t="s">
        <v>15</v>
      </c>
      <c r="B12" s="21">
        <v>7.502</v>
      </c>
      <c r="C12" s="20" t="s">
        <v>67</v>
      </c>
      <c r="D12" s="20"/>
    </row>
    <row r="13" ht="12.75" customHeight="1">
      <c r="A13" s="20" t="s">
        <v>15</v>
      </c>
      <c r="B13" s="21">
        <v>7.484</v>
      </c>
      <c r="C13" s="20" t="s">
        <v>68</v>
      </c>
      <c r="D13" s="20"/>
    </row>
    <row r="14" ht="12.75" customHeight="1">
      <c r="A14" s="20" t="s">
        <v>15</v>
      </c>
      <c r="B14" s="21">
        <v>7.499</v>
      </c>
      <c r="C14" s="20" t="s">
        <v>69</v>
      </c>
      <c r="D14" s="20"/>
    </row>
    <row r="15" ht="12.75" customHeight="1">
      <c r="A15" s="20" t="s">
        <v>15</v>
      </c>
      <c r="B15" s="21">
        <v>7.556</v>
      </c>
      <c r="C15" s="20" t="s">
        <v>70</v>
      </c>
      <c r="D15" s="20"/>
    </row>
    <row r="16" ht="12.75" customHeight="1">
      <c r="A16" s="20" t="s">
        <v>15</v>
      </c>
      <c r="B16" s="21">
        <v>7.459</v>
      </c>
      <c r="C16" s="20" t="s">
        <v>71</v>
      </c>
      <c r="D16" s="20"/>
    </row>
    <row r="17" ht="12.75" customHeight="1">
      <c r="A17" s="20" t="s">
        <v>15</v>
      </c>
      <c r="B17" s="21">
        <v>7.474</v>
      </c>
      <c r="C17" s="20" t="s">
        <v>72</v>
      </c>
      <c r="D17" s="20"/>
    </row>
    <row r="18" ht="12.75" customHeight="1">
      <c r="A18" s="20" t="s">
        <v>15</v>
      </c>
      <c r="B18" s="21">
        <v>7.242</v>
      </c>
      <c r="C18" s="20" t="s">
        <v>73</v>
      </c>
      <c r="D18" s="20"/>
    </row>
    <row r="19" ht="12.75" customHeight="1">
      <c r="A19" s="20" t="s">
        <v>15</v>
      </c>
      <c r="B19" s="21">
        <v>7.199</v>
      </c>
      <c r="C19" s="20" t="s">
        <v>74</v>
      </c>
      <c r="D19" s="20"/>
    </row>
    <row r="20" ht="12.75" customHeight="1">
      <c r="A20" s="20" t="s">
        <v>15</v>
      </c>
      <c r="B20" s="21">
        <v>7.227</v>
      </c>
      <c r="C20" s="20" t="s">
        <v>75</v>
      </c>
      <c r="D20" s="20"/>
    </row>
    <row r="21" ht="12.75" customHeight="1">
      <c r="A21" s="20" t="s">
        <v>15</v>
      </c>
      <c r="B21" s="21">
        <v>7.199</v>
      </c>
      <c r="C21" s="20" t="s">
        <v>76</v>
      </c>
      <c r="D21" s="20"/>
    </row>
    <row r="22" ht="12.75" customHeight="1">
      <c r="A22" s="20" t="s">
        <v>15</v>
      </c>
      <c r="B22" s="21">
        <v>7.206</v>
      </c>
      <c r="C22" s="20" t="s">
        <v>77</v>
      </c>
      <c r="D22" s="20"/>
    </row>
    <row r="23" ht="12.75" customHeight="1">
      <c r="A23" s="20" t="s">
        <v>15</v>
      </c>
      <c r="B23" s="21">
        <v>7.252</v>
      </c>
      <c r="C23" s="20" t="s">
        <v>78</v>
      </c>
      <c r="D23" s="20"/>
    </row>
    <row r="24" ht="12.75" customHeight="1">
      <c r="A24" s="20" t="s">
        <v>15</v>
      </c>
      <c r="B24" s="21">
        <v>7.192</v>
      </c>
      <c r="C24" s="20" t="s">
        <v>79</v>
      </c>
      <c r="D24" s="20"/>
    </row>
    <row r="25" ht="12.75" customHeight="1">
      <c r="A25" s="20" t="s">
        <v>15</v>
      </c>
      <c r="B25" s="21">
        <v>7.249</v>
      </c>
      <c r="C25" s="20" t="s">
        <v>80</v>
      </c>
      <c r="D25" s="20"/>
    </row>
    <row r="26" ht="12.75" customHeight="1">
      <c r="A26" s="20" t="s">
        <v>15</v>
      </c>
      <c r="B26" s="21">
        <v>7.195</v>
      </c>
      <c r="C26" s="20" t="s">
        <v>81</v>
      </c>
      <c r="D26" s="20"/>
    </row>
    <row r="27" ht="12.75" customHeight="1">
      <c r="A27" s="20" t="s">
        <v>15</v>
      </c>
      <c r="B27" s="21">
        <v>7.202</v>
      </c>
      <c r="C27" s="20" t="s">
        <v>82</v>
      </c>
      <c r="D27" s="20"/>
    </row>
    <row r="28" ht="12.75" customHeight="1">
      <c r="A28" s="20" t="s">
        <v>15</v>
      </c>
      <c r="B28" s="21">
        <v>7.27</v>
      </c>
      <c r="C28" s="20" t="s">
        <v>83</v>
      </c>
      <c r="D28" s="20"/>
    </row>
    <row r="29" ht="12.75" customHeight="1">
      <c r="A29" s="20" t="s">
        <v>15</v>
      </c>
      <c r="B29" s="21">
        <v>7.202</v>
      </c>
      <c r="C29" s="20" t="s">
        <v>84</v>
      </c>
      <c r="D29" s="20"/>
    </row>
    <row r="30" ht="12.75" customHeight="1">
      <c r="A30" s="20" t="s">
        <v>15</v>
      </c>
      <c r="B30" s="21">
        <v>7.242</v>
      </c>
      <c r="C30" s="20" t="s">
        <v>85</v>
      </c>
      <c r="D30" s="20"/>
    </row>
    <row r="31" ht="12.75" customHeight="1">
      <c r="A31" s="20" t="s">
        <v>15</v>
      </c>
      <c r="B31" s="21">
        <v>7.234</v>
      </c>
      <c r="C31" s="20" t="s">
        <v>86</v>
      </c>
      <c r="D31" s="20"/>
    </row>
    <row r="32" ht="12.75" customHeight="1">
      <c r="A32" s="20" t="s">
        <v>15</v>
      </c>
      <c r="B32" s="21">
        <v>7.202</v>
      </c>
      <c r="C32" s="20" t="s">
        <v>87</v>
      </c>
      <c r="D32" s="20"/>
    </row>
    <row r="33" ht="12.75" customHeight="1">
      <c r="A33" s="20" t="s">
        <v>15</v>
      </c>
      <c r="B33" s="21">
        <v>7.213</v>
      </c>
      <c r="C33" s="20" t="s">
        <v>88</v>
      </c>
      <c r="D33" s="20"/>
    </row>
    <row r="34" ht="12.75" customHeight="1">
      <c r="A34" s="20" t="s">
        <v>15</v>
      </c>
      <c r="B34" s="21">
        <v>7.231</v>
      </c>
      <c r="C34" s="20" t="s">
        <v>89</v>
      </c>
      <c r="D34" s="20"/>
    </row>
    <row r="35" ht="12.75" customHeight="1">
      <c r="A35" s="20" t="s">
        <v>15</v>
      </c>
      <c r="B35" s="21">
        <v>7.202</v>
      </c>
      <c r="C35" s="20" t="s">
        <v>90</v>
      </c>
      <c r="D35" s="20"/>
    </row>
    <row r="36" ht="12.75" customHeight="1">
      <c r="A36" s="20" t="s">
        <v>15</v>
      </c>
      <c r="B36" s="21">
        <v>7.024</v>
      </c>
      <c r="C36" s="20" t="s">
        <v>91</v>
      </c>
      <c r="D36" s="20"/>
    </row>
    <row r="37" ht="12.75" customHeight="1">
      <c r="A37" s="20" t="s">
        <v>15</v>
      </c>
      <c r="B37" s="21">
        <v>7.017</v>
      </c>
      <c r="C37" s="20" t="s">
        <v>92</v>
      </c>
      <c r="D37" s="20"/>
    </row>
    <row r="38" ht="12.75" customHeight="1">
      <c r="A38" s="20" t="s">
        <v>15</v>
      </c>
      <c r="B38" s="21">
        <v>7.002</v>
      </c>
      <c r="C38" s="20" t="s">
        <v>93</v>
      </c>
      <c r="D38" s="20"/>
    </row>
    <row r="39" ht="12.75" customHeight="1">
      <c r="A39" s="20" t="s">
        <v>15</v>
      </c>
      <c r="B39" s="21">
        <v>6.995</v>
      </c>
      <c r="C39" s="20" t="s">
        <v>94</v>
      </c>
      <c r="D39" s="20"/>
    </row>
    <row r="40" ht="12.75" customHeight="1">
      <c r="A40" s="20" t="s">
        <v>15</v>
      </c>
      <c r="B40" s="21">
        <v>7.009</v>
      </c>
      <c r="C40" s="20" t="s">
        <v>95</v>
      </c>
      <c r="D40" s="20"/>
    </row>
    <row r="41" ht="12.75" customHeight="1">
      <c r="A41" s="20" t="s">
        <v>15</v>
      </c>
      <c r="B41" s="21">
        <v>7.013</v>
      </c>
      <c r="C41" s="20" t="s">
        <v>96</v>
      </c>
      <c r="D41" s="20"/>
    </row>
    <row r="42" ht="12.75" customHeight="1">
      <c r="A42" s="20" t="s">
        <v>15</v>
      </c>
      <c r="B42" s="21">
        <v>7.067</v>
      </c>
      <c r="C42" s="20" t="s">
        <v>97</v>
      </c>
      <c r="D42" s="20"/>
    </row>
    <row r="43" ht="12.75" customHeight="1">
      <c r="A43" s="20" t="s">
        <v>15</v>
      </c>
      <c r="B43" s="21">
        <v>7.002</v>
      </c>
      <c r="C43" s="20" t="s">
        <v>98</v>
      </c>
      <c r="D43" s="20"/>
    </row>
    <row r="44" ht="12.75" customHeight="1">
      <c r="A44" s="20" t="s">
        <v>15</v>
      </c>
      <c r="B44" s="21">
        <v>7.074</v>
      </c>
      <c r="C44" s="20" t="s">
        <v>99</v>
      </c>
      <c r="D44" s="20"/>
    </row>
    <row r="45" ht="12.75" customHeight="1">
      <c r="A45" s="20" t="s">
        <v>15</v>
      </c>
      <c r="B45" s="21">
        <v>6.984</v>
      </c>
      <c r="C45" s="20" t="s">
        <v>100</v>
      </c>
      <c r="D45" s="20"/>
    </row>
    <row r="46" ht="12.75" customHeight="1">
      <c r="A46" s="20" t="s">
        <v>15</v>
      </c>
      <c r="B46" s="21">
        <v>7.031</v>
      </c>
      <c r="C46" s="20" t="s">
        <v>101</v>
      </c>
      <c r="D46" s="20"/>
    </row>
    <row r="47" ht="12.75" customHeight="1">
      <c r="A47" s="20" t="s">
        <v>15</v>
      </c>
      <c r="B47" s="21">
        <v>7.002</v>
      </c>
      <c r="C47" s="20" t="s">
        <v>102</v>
      </c>
      <c r="D47" s="20"/>
    </row>
    <row r="48" ht="12.75" customHeight="1">
      <c r="A48" s="20" t="s">
        <v>15</v>
      </c>
      <c r="B48" s="21">
        <v>7.017</v>
      </c>
      <c r="C48" s="20" t="s">
        <v>103</v>
      </c>
      <c r="D48" s="20"/>
    </row>
    <row r="49" ht="12.75" customHeight="1">
      <c r="A49" s="20" t="s">
        <v>15</v>
      </c>
      <c r="B49" s="21">
        <v>7.042</v>
      </c>
      <c r="C49" s="20" t="s">
        <v>104</v>
      </c>
      <c r="D49" s="20"/>
    </row>
    <row r="50" ht="12.75" customHeight="1">
      <c r="A50" s="20" t="s">
        <v>15</v>
      </c>
      <c r="B50" s="21">
        <v>7.024</v>
      </c>
      <c r="C50" s="20" t="s">
        <v>105</v>
      </c>
      <c r="D50" s="20"/>
    </row>
    <row r="51" ht="12.75" customHeight="1">
      <c r="A51" s="20" t="s">
        <v>15</v>
      </c>
      <c r="B51" s="21">
        <v>7.077</v>
      </c>
      <c r="C51" s="20" t="s">
        <v>106</v>
      </c>
      <c r="D51" s="20"/>
    </row>
    <row r="52" ht="12.75" customHeight="1">
      <c r="A52" s="20" t="s">
        <v>15</v>
      </c>
      <c r="B52" s="21">
        <v>7.031</v>
      </c>
      <c r="C52" s="20" t="s">
        <v>107</v>
      </c>
      <c r="D52" s="20"/>
    </row>
    <row r="53" ht="12.75" customHeight="1">
      <c r="A53" s="20" t="s">
        <v>15</v>
      </c>
      <c r="B53" s="21">
        <v>7.024</v>
      </c>
      <c r="C53" s="20" t="s">
        <v>108</v>
      </c>
      <c r="D53" s="20"/>
    </row>
    <row r="54" ht="12.75" customHeight="1">
      <c r="A54" s="20" t="s">
        <v>15</v>
      </c>
      <c r="B54" s="21">
        <v>7.017</v>
      </c>
      <c r="C54" s="20" t="s">
        <v>109</v>
      </c>
      <c r="D54" s="20"/>
    </row>
    <row r="55" ht="12.75" customHeight="1">
      <c r="A55" s="20" t="s">
        <v>15</v>
      </c>
      <c r="B55" s="21">
        <v>6.981</v>
      </c>
      <c r="C55" s="20" t="s">
        <v>110</v>
      </c>
      <c r="D55" s="20"/>
    </row>
    <row r="56" ht="12.75" customHeight="1">
      <c r="A56" s="20" t="s">
        <v>15</v>
      </c>
      <c r="B56" s="21">
        <v>7.056</v>
      </c>
      <c r="C56" s="20" t="s">
        <v>111</v>
      </c>
      <c r="D56" s="20"/>
    </row>
    <row r="57" ht="12.75" customHeight="1">
      <c r="A57" s="20" t="s">
        <v>15</v>
      </c>
      <c r="B57" s="21">
        <v>6.963</v>
      </c>
      <c r="C57" s="20" t="s">
        <v>112</v>
      </c>
      <c r="D57" s="20"/>
    </row>
    <row r="58" ht="12.75" customHeight="1">
      <c r="A58" s="20" t="s">
        <v>15</v>
      </c>
      <c r="B58" s="21">
        <v>7.013</v>
      </c>
      <c r="C58" s="20" t="s">
        <v>113</v>
      </c>
      <c r="D58" s="20"/>
    </row>
    <row r="59" ht="12.75" customHeight="1">
      <c r="A59" s="20" t="s">
        <v>15</v>
      </c>
      <c r="B59" s="21">
        <v>7.009</v>
      </c>
      <c r="C59" s="20" t="s">
        <v>114</v>
      </c>
      <c r="D59" s="20"/>
    </row>
    <row r="60" ht="12.75" customHeight="1">
      <c r="A60" s="20" t="s">
        <v>15</v>
      </c>
      <c r="B60" s="21">
        <v>6.981</v>
      </c>
      <c r="C60" s="20" t="s">
        <v>115</v>
      </c>
      <c r="D60" s="20"/>
    </row>
    <row r="61" ht="12.75" customHeight="1">
      <c r="A61" s="20" t="s">
        <v>15</v>
      </c>
      <c r="B61" s="21">
        <v>6.988</v>
      </c>
      <c r="C61" s="20" t="s">
        <v>116</v>
      </c>
      <c r="D61" s="20"/>
    </row>
    <row r="62" ht="12.75" customHeight="1">
      <c r="A62" s="20" t="s">
        <v>15</v>
      </c>
      <c r="B62" s="21">
        <v>6.977</v>
      </c>
      <c r="C62" s="20" t="s">
        <v>117</v>
      </c>
      <c r="D62" s="20"/>
    </row>
    <row r="63" ht="12.75" customHeight="1">
      <c r="A63" s="20" t="s">
        <v>15</v>
      </c>
      <c r="B63" s="21">
        <v>6.988</v>
      </c>
      <c r="C63" s="20" t="s">
        <v>118</v>
      </c>
      <c r="D63" s="20"/>
    </row>
    <row r="64" ht="12.75" customHeight="1">
      <c r="A64" s="20" t="s">
        <v>15</v>
      </c>
      <c r="B64" s="21">
        <v>7.002</v>
      </c>
      <c r="C64" s="20" t="s">
        <v>119</v>
      </c>
      <c r="D64" s="20"/>
    </row>
    <row r="65" ht="12.75" customHeight="1">
      <c r="A65" s="20" t="s">
        <v>15</v>
      </c>
      <c r="B65" s="21">
        <v>6.817</v>
      </c>
      <c r="C65" s="20" t="s">
        <v>120</v>
      </c>
      <c r="D65" s="20"/>
    </row>
    <row r="66" ht="12.75" customHeight="1">
      <c r="A66" s="20" t="s">
        <v>15</v>
      </c>
      <c r="B66" s="21">
        <v>6.795</v>
      </c>
      <c r="C66" s="20" t="s">
        <v>121</v>
      </c>
      <c r="D66" s="20"/>
    </row>
    <row r="67" ht="12.75" customHeight="1">
      <c r="A67" s="20" t="s">
        <v>15</v>
      </c>
      <c r="B67" s="21">
        <v>6.845</v>
      </c>
      <c r="C67" s="20" t="s">
        <v>122</v>
      </c>
      <c r="D67" s="20"/>
    </row>
    <row r="68" ht="12.75" customHeight="1">
      <c r="A68" s="20" t="s">
        <v>15</v>
      </c>
      <c r="B68" s="21">
        <v>6.849</v>
      </c>
      <c r="C68" s="20" t="s">
        <v>123</v>
      </c>
      <c r="D68" s="20"/>
    </row>
    <row r="69" ht="12.75" customHeight="1">
      <c r="A69" s="20" t="s">
        <v>15</v>
      </c>
      <c r="B69" s="21">
        <v>6.788</v>
      </c>
      <c r="C69" s="20" t="s">
        <v>124</v>
      </c>
      <c r="D69" s="20"/>
    </row>
    <row r="70" ht="12.75" customHeight="1">
      <c r="A70" s="20" t="s">
        <v>15</v>
      </c>
      <c r="B70" s="21">
        <v>6.802</v>
      </c>
      <c r="C70" s="20" t="s">
        <v>125</v>
      </c>
      <c r="D70" s="20"/>
    </row>
    <row r="71" ht="12.75" customHeight="1">
      <c r="A71" s="20" t="s">
        <v>15</v>
      </c>
      <c r="B71" s="21">
        <v>6.788</v>
      </c>
      <c r="C71" s="20" t="s">
        <v>126</v>
      </c>
      <c r="D71" s="20"/>
    </row>
    <row r="72" ht="12.75" customHeight="1">
      <c r="A72" s="20" t="s">
        <v>15</v>
      </c>
      <c r="B72" s="21">
        <v>6.824</v>
      </c>
      <c r="C72" s="20" t="s">
        <v>127</v>
      </c>
      <c r="D72" s="20"/>
    </row>
    <row r="73" ht="12.75" customHeight="1">
      <c r="A73" s="20" t="s">
        <v>15</v>
      </c>
      <c r="B73" s="21">
        <v>6.785</v>
      </c>
      <c r="C73" s="20" t="s">
        <v>128</v>
      </c>
      <c r="D73" s="20"/>
    </row>
    <row r="74" ht="12.75" customHeight="1">
      <c r="A74" s="20" t="s">
        <v>15</v>
      </c>
      <c r="B74" s="21">
        <v>6.827</v>
      </c>
      <c r="C74" s="20" t="s">
        <v>129</v>
      </c>
      <c r="D74" s="20"/>
    </row>
    <row r="75" ht="12.75" customHeight="1">
      <c r="A75" s="20" t="s">
        <v>15</v>
      </c>
      <c r="B75" s="21">
        <v>6.756</v>
      </c>
      <c r="C75" s="20" t="s">
        <v>130</v>
      </c>
      <c r="D75" s="20"/>
    </row>
    <row r="76" ht="12.75" customHeight="1">
      <c r="A76" s="20" t="s">
        <v>15</v>
      </c>
      <c r="B76" s="21">
        <v>6.838</v>
      </c>
      <c r="C76" s="20" t="s">
        <v>131</v>
      </c>
      <c r="D76" s="20"/>
    </row>
    <row r="77" ht="12.75" customHeight="1">
      <c r="A77" s="20" t="s">
        <v>15</v>
      </c>
      <c r="B77" s="21">
        <v>6.813</v>
      </c>
      <c r="C77" s="20" t="s">
        <v>132</v>
      </c>
      <c r="D77" s="20"/>
    </row>
    <row r="78" ht="12.75" customHeight="1">
      <c r="A78" s="20" t="s">
        <v>15</v>
      </c>
      <c r="B78" s="21">
        <v>6.745</v>
      </c>
      <c r="C78" s="20" t="s">
        <v>133</v>
      </c>
      <c r="D78" s="20"/>
    </row>
    <row r="79" ht="12.75" customHeight="1">
      <c r="A79" s="20" t="s">
        <v>15</v>
      </c>
      <c r="B79" s="21">
        <v>6.795</v>
      </c>
      <c r="C79" s="20" t="s">
        <v>134</v>
      </c>
      <c r="D79" s="20"/>
    </row>
    <row r="80" ht="12.75" customHeight="1">
      <c r="A80" s="20" t="s">
        <v>15</v>
      </c>
      <c r="B80" s="21">
        <v>6.831</v>
      </c>
      <c r="C80" s="20" t="s">
        <v>135</v>
      </c>
      <c r="D80" s="20"/>
    </row>
    <row r="81" ht="12.75" customHeight="1">
      <c r="A81" s="20" t="s">
        <v>15</v>
      </c>
      <c r="B81" s="21">
        <v>6.799</v>
      </c>
      <c r="C81" s="20" t="s">
        <v>136</v>
      </c>
      <c r="D81" s="20"/>
    </row>
    <row r="82" ht="12.75" customHeight="1">
      <c r="A82" s="20" t="s">
        <v>15</v>
      </c>
      <c r="B82" s="21">
        <v>6.835</v>
      </c>
      <c r="C82" s="20" t="s">
        <v>137</v>
      </c>
      <c r="D82" s="20"/>
    </row>
    <row r="83" ht="12.75" customHeight="1">
      <c r="A83" s="20" t="s">
        <v>15</v>
      </c>
      <c r="B83" s="21">
        <v>6.81</v>
      </c>
      <c r="C83" s="20" t="s">
        <v>138</v>
      </c>
      <c r="D83" s="20"/>
    </row>
    <row r="84" ht="12.75" customHeight="1">
      <c r="A84" s="20" t="s">
        <v>15</v>
      </c>
      <c r="B84" s="21">
        <v>6.792</v>
      </c>
      <c r="C84" s="20" t="s">
        <v>139</v>
      </c>
      <c r="D84" s="20"/>
    </row>
    <row r="85" ht="12.75" customHeight="1">
      <c r="A85" s="20" t="s">
        <v>15</v>
      </c>
      <c r="B85" s="21">
        <v>6.756</v>
      </c>
      <c r="C85" s="20" t="s">
        <v>140</v>
      </c>
      <c r="D85" s="20"/>
    </row>
    <row r="86" ht="12.75" customHeight="1">
      <c r="A86" s="20" t="s">
        <v>15</v>
      </c>
      <c r="B86" s="21">
        <v>6.767</v>
      </c>
      <c r="C86" s="20" t="s">
        <v>141</v>
      </c>
      <c r="D86" s="20"/>
    </row>
    <row r="87" ht="12.75" customHeight="1">
      <c r="A87" s="20" t="s">
        <v>15</v>
      </c>
      <c r="B87" s="21">
        <v>6.774</v>
      </c>
      <c r="C87" s="20" t="s">
        <v>142</v>
      </c>
      <c r="D87" s="20"/>
    </row>
    <row r="88" ht="12.75" customHeight="1">
      <c r="A88" s="20" t="s">
        <v>15</v>
      </c>
      <c r="B88" s="21">
        <v>6.824</v>
      </c>
      <c r="C88" s="20" t="s">
        <v>143</v>
      </c>
      <c r="D88" s="20"/>
    </row>
    <row r="89" ht="12.75" customHeight="1">
      <c r="A89" s="20" t="s">
        <v>15</v>
      </c>
      <c r="B89" s="21">
        <v>6.767</v>
      </c>
      <c r="C89" s="20" t="s">
        <v>144</v>
      </c>
      <c r="D89" s="20"/>
    </row>
    <row r="90" ht="12.75" customHeight="1">
      <c r="A90" s="20" t="s">
        <v>15</v>
      </c>
      <c r="B90" s="21">
        <v>6.62</v>
      </c>
      <c r="C90" s="20" t="s">
        <v>145</v>
      </c>
      <c r="D90" s="20"/>
    </row>
    <row r="91" ht="12.75" customHeight="1">
      <c r="A91" s="20" t="s">
        <v>15</v>
      </c>
      <c r="B91" s="21">
        <v>6.599</v>
      </c>
      <c r="C91" s="20" t="s">
        <v>146</v>
      </c>
      <c r="D91" s="20"/>
    </row>
    <row r="92" ht="12.75" customHeight="1">
      <c r="A92" s="20" t="s">
        <v>15</v>
      </c>
      <c r="B92" s="21">
        <v>6.588</v>
      </c>
      <c r="C92" s="20" t="s">
        <v>147</v>
      </c>
      <c r="D92" s="20"/>
    </row>
    <row r="93" ht="12.75" customHeight="1">
      <c r="A93" s="20" t="s">
        <v>15</v>
      </c>
      <c r="B93" s="21">
        <v>6.602</v>
      </c>
      <c r="C93" s="20" t="s">
        <v>148</v>
      </c>
      <c r="D93" s="20"/>
    </row>
    <row r="94" ht="12.75" customHeight="1">
      <c r="A94" s="20" t="s">
        <v>15</v>
      </c>
      <c r="B94" s="21">
        <v>6.599</v>
      </c>
      <c r="C94" s="20" t="s">
        <v>149</v>
      </c>
      <c r="D94" s="20"/>
    </row>
    <row r="95" ht="12.75" customHeight="1">
      <c r="A95" s="20" t="s">
        <v>15</v>
      </c>
      <c r="B95" s="21">
        <v>6.61</v>
      </c>
      <c r="C95" s="20" t="s">
        <v>150</v>
      </c>
      <c r="D95" s="20"/>
    </row>
    <row r="96" ht="12.75" customHeight="1">
      <c r="A96" s="20" t="s">
        <v>15</v>
      </c>
      <c r="B96" s="21">
        <v>6.567</v>
      </c>
      <c r="C96" s="20" t="s">
        <v>151</v>
      </c>
      <c r="D96" s="20"/>
    </row>
    <row r="97" ht="12.75" customHeight="1">
      <c r="A97" s="20" t="s">
        <v>15</v>
      </c>
      <c r="B97" s="21">
        <v>6.588</v>
      </c>
      <c r="C97" s="20" t="s">
        <v>152</v>
      </c>
      <c r="D97" s="20"/>
    </row>
    <row r="98" ht="12.75" customHeight="1">
      <c r="A98" s="20" t="s">
        <v>15</v>
      </c>
      <c r="B98" s="21">
        <v>6.595</v>
      </c>
      <c r="C98" s="20" t="s">
        <v>153</v>
      </c>
      <c r="D98" s="20"/>
    </row>
    <row r="99" ht="12.75" customHeight="1">
      <c r="A99" s="20" t="s">
        <v>15</v>
      </c>
      <c r="B99" s="21">
        <v>6.585</v>
      </c>
      <c r="C99" s="20" t="s">
        <v>154</v>
      </c>
      <c r="D99" s="20"/>
    </row>
    <row r="100" ht="12.75" customHeight="1">
      <c r="A100" s="20" t="s">
        <v>15</v>
      </c>
      <c r="B100" s="21">
        <v>6.485</v>
      </c>
      <c r="C100" s="20" t="s">
        <v>155</v>
      </c>
      <c r="D100" s="20"/>
    </row>
    <row r="101" ht="12.75" customHeight="1">
      <c r="A101" s="20" t="s">
        <v>15</v>
      </c>
      <c r="B101" s="21">
        <v>6.392</v>
      </c>
      <c r="C101" s="20" t="s">
        <v>156</v>
      </c>
      <c r="D101" s="20"/>
    </row>
    <row r="102" ht="12.75" customHeight="1">
      <c r="A102" s="20" t="s">
        <v>15</v>
      </c>
      <c r="B102" s="21">
        <v>6.378</v>
      </c>
      <c r="C102" s="20" t="s">
        <v>157</v>
      </c>
      <c r="D102" s="20"/>
    </row>
    <row r="103" ht="12.75" customHeight="1">
      <c r="A103" s="20" t="s">
        <v>15</v>
      </c>
      <c r="B103" s="21">
        <v>6.41</v>
      </c>
      <c r="C103" s="20" t="s">
        <v>158</v>
      </c>
      <c r="D103" s="20"/>
    </row>
    <row r="104" ht="12.75" customHeight="1">
      <c r="A104" s="20" t="s">
        <v>15</v>
      </c>
      <c r="B104" s="21">
        <v>6.399</v>
      </c>
      <c r="C104" s="20" t="s">
        <v>159</v>
      </c>
      <c r="D104" s="20"/>
    </row>
    <row r="105" ht="12.75" customHeight="1">
      <c r="A105" s="20" t="s">
        <v>15</v>
      </c>
      <c r="B105" s="21">
        <v>6.392</v>
      </c>
      <c r="C105" s="20" t="s">
        <v>160</v>
      </c>
      <c r="D105" s="20"/>
    </row>
    <row r="106" ht="12.75" customHeight="1">
      <c r="A106" s="20" t="s">
        <v>15</v>
      </c>
      <c r="B106" s="21">
        <v>6.388</v>
      </c>
      <c r="C106" s="20" t="s">
        <v>161</v>
      </c>
      <c r="D106" s="20"/>
    </row>
    <row r="107" ht="12.75" customHeight="1">
      <c r="A107" s="20" t="s">
        <v>15</v>
      </c>
      <c r="B107" s="21">
        <v>6.431</v>
      </c>
      <c r="C107" s="20" t="s">
        <v>162</v>
      </c>
      <c r="D107" s="20"/>
    </row>
    <row r="108" ht="12.75" customHeight="1">
      <c r="A108" s="20" t="s">
        <v>15</v>
      </c>
      <c r="B108" s="21">
        <v>6.392</v>
      </c>
      <c r="C108" s="20" t="s">
        <v>163</v>
      </c>
      <c r="D108" s="20"/>
    </row>
    <row r="109" ht="12.75" customHeight="1">
      <c r="A109" s="20" t="s">
        <v>15</v>
      </c>
      <c r="B109" s="21">
        <v>6.395</v>
      </c>
      <c r="C109" s="20" t="s">
        <v>164</v>
      </c>
      <c r="D109" s="20"/>
    </row>
    <row r="110" ht="12.75" customHeight="1">
      <c r="A110" s="20" t="s">
        <v>15</v>
      </c>
      <c r="B110" s="21">
        <v>6.428</v>
      </c>
      <c r="C110" s="20" t="s">
        <v>165</v>
      </c>
      <c r="D110" s="20"/>
    </row>
    <row r="111" ht="12.75" customHeight="1">
      <c r="A111" s="20" t="s">
        <v>15</v>
      </c>
      <c r="B111" s="21">
        <v>6.392</v>
      </c>
      <c r="C111" s="20" t="s">
        <v>166</v>
      </c>
      <c r="D111" s="20"/>
    </row>
    <row r="112" ht="12.75" customHeight="1">
      <c r="A112" s="20" t="s">
        <v>15</v>
      </c>
      <c r="B112" s="21">
        <v>6.378</v>
      </c>
      <c r="C112" s="20" t="s">
        <v>167</v>
      </c>
      <c r="D112" s="20"/>
    </row>
    <row r="113" ht="12.75" customHeight="1">
      <c r="A113" s="20" t="s">
        <v>15</v>
      </c>
      <c r="B113" s="21">
        <v>6.431</v>
      </c>
      <c r="C113" s="20" t="s">
        <v>168</v>
      </c>
      <c r="D113" s="20"/>
    </row>
    <row r="114" ht="12.75" customHeight="1">
      <c r="A114" s="20" t="s">
        <v>15</v>
      </c>
      <c r="B114" s="21">
        <v>6.413</v>
      </c>
      <c r="C114" s="20" t="s">
        <v>169</v>
      </c>
      <c r="D114" s="20"/>
    </row>
    <row r="115" ht="12.75" customHeight="1">
      <c r="A115" s="20" t="s">
        <v>15</v>
      </c>
      <c r="B115" s="21">
        <v>6.345</v>
      </c>
      <c r="C115" s="20" t="s">
        <v>170</v>
      </c>
      <c r="D115" s="20"/>
    </row>
    <row r="116" ht="12.75" customHeight="1">
      <c r="A116" s="20" t="s">
        <v>15</v>
      </c>
      <c r="B116" s="21">
        <v>6.392</v>
      </c>
      <c r="C116" s="20" t="s">
        <v>171</v>
      </c>
      <c r="D116" s="20"/>
    </row>
    <row r="117" ht="12.75" customHeight="1">
      <c r="A117" s="20" t="s">
        <v>15</v>
      </c>
      <c r="B117" s="21">
        <v>6.424</v>
      </c>
      <c r="C117" s="20" t="s">
        <v>172</v>
      </c>
      <c r="D117" s="20"/>
    </row>
    <row r="118" ht="12.75" customHeight="1">
      <c r="A118" s="20" t="s">
        <v>15</v>
      </c>
      <c r="B118" s="21">
        <v>6.445</v>
      </c>
      <c r="C118" s="20" t="s">
        <v>173</v>
      </c>
      <c r="D118" s="20"/>
    </row>
    <row r="119" ht="12.75" customHeight="1">
      <c r="A119" s="20" t="s">
        <v>15</v>
      </c>
      <c r="B119" s="21">
        <v>6.37</v>
      </c>
      <c r="C119" s="20" t="s">
        <v>174</v>
      </c>
      <c r="D119" s="20"/>
    </row>
    <row r="120" ht="12.75" customHeight="1">
      <c r="A120" s="20" t="s">
        <v>15</v>
      </c>
      <c r="B120" s="21">
        <v>6.392</v>
      </c>
      <c r="C120" s="20" t="s">
        <v>175</v>
      </c>
      <c r="D120" s="20"/>
    </row>
    <row r="121" ht="12.75" customHeight="1">
      <c r="A121" s="20" t="s">
        <v>15</v>
      </c>
      <c r="B121" s="21">
        <v>6.403</v>
      </c>
      <c r="C121" s="20" t="s">
        <v>176</v>
      </c>
      <c r="D121" s="20"/>
    </row>
    <row r="122" ht="12.75" customHeight="1">
      <c r="A122" s="20" t="s">
        <v>15</v>
      </c>
      <c r="B122" s="21">
        <v>6.413</v>
      </c>
      <c r="C122" s="20" t="s">
        <v>177</v>
      </c>
      <c r="D122" s="20"/>
    </row>
    <row r="123" ht="12.75" customHeight="1">
      <c r="A123" s="20" t="s">
        <v>15</v>
      </c>
      <c r="B123" s="21">
        <v>6.403</v>
      </c>
      <c r="C123" s="20" t="s">
        <v>178</v>
      </c>
      <c r="D123" s="20"/>
    </row>
    <row r="124" ht="12.75" customHeight="1">
      <c r="A124" s="20" t="s">
        <v>15</v>
      </c>
      <c r="B124" s="21">
        <v>6.171</v>
      </c>
      <c r="C124" s="20" t="s">
        <v>179</v>
      </c>
      <c r="D124" s="20"/>
    </row>
    <row r="125" ht="12.75" customHeight="1">
      <c r="A125" s="20" t="s">
        <v>15</v>
      </c>
      <c r="B125" s="21">
        <v>6.231</v>
      </c>
      <c r="C125" s="20" t="s">
        <v>180</v>
      </c>
      <c r="D125" s="20"/>
    </row>
    <row r="126" ht="12.75" customHeight="1">
      <c r="A126" s="20" t="s">
        <v>15</v>
      </c>
      <c r="B126" s="21">
        <v>6.174</v>
      </c>
      <c r="C126" s="20" t="s">
        <v>181</v>
      </c>
      <c r="D126" s="20"/>
    </row>
    <row r="127" ht="12.75" customHeight="1">
      <c r="A127" s="20" t="s">
        <v>15</v>
      </c>
      <c r="B127" s="21">
        <v>6.196</v>
      </c>
      <c r="C127" s="20" t="s">
        <v>182</v>
      </c>
      <c r="D127" s="20"/>
    </row>
    <row r="128" ht="12.75" customHeight="1">
      <c r="A128" s="20" t="s">
        <v>15</v>
      </c>
      <c r="B128" s="21">
        <v>6.171</v>
      </c>
      <c r="C128" s="20" t="s">
        <v>183</v>
      </c>
      <c r="D128" s="20"/>
    </row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</sheetData>
  <dataValidations>
    <dataValidation type="custom" allowBlank="1" showDropDown="1" sqref="E5:F11">
      <formula1>AND(ISNUMBER(E5),(NOT(OR(NOT(ISERROR(DATEVALUE(E5))), AND(ISNUMBER(E5), LEFT(CELL("format", E5))="D")))))</formula1>
    </dataValidation>
  </dataValidations>
  <printOptions/>
  <pageMargins bottom="0.7875" footer="0.0" header="0.0" left="0.7875" right="0.7875" top="0.7875"/>
  <pageSetup paperSize="9" orientation="portrait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5.38"/>
    <col customWidth="1" min="3" max="3" width="26.0"/>
    <col customWidth="1" min="5" max="5" width="22.38"/>
    <col customWidth="1" min="6" max="6" width="16.88"/>
  </cols>
  <sheetData>
    <row r="1">
      <c r="A1" s="3"/>
      <c r="B1" s="3"/>
      <c r="C1" s="3"/>
      <c r="D1" s="3"/>
      <c r="E1" s="3"/>
    </row>
    <row r="2">
      <c r="A2" s="3"/>
      <c r="B2" s="3"/>
      <c r="C2" s="3"/>
      <c r="D2" s="3"/>
      <c r="E2" s="3"/>
      <c r="J2" s="3" t="s">
        <v>18</v>
      </c>
      <c r="K2" s="3">
        <v>900.0</v>
      </c>
    </row>
    <row r="3" ht="22.5" customHeight="1">
      <c r="A3" s="3"/>
      <c r="B3" s="3"/>
      <c r="C3" s="1" t="s">
        <v>0</v>
      </c>
      <c r="D3" s="1" t="s">
        <v>3</v>
      </c>
      <c r="E3" s="1" t="s">
        <v>1</v>
      </c>
      <c r="F3" s="13" t="s">
        <v>184</v>
      </c>
      <c r="G3" s="13" t="s">
        <v>185</v>
      </c>
      <c r="J3" s="3" t="s">
        <v>19</v>
      </c>
      <c r="K3" s="3">
        <v>0.09</v>
      </c>
    </row>
    <row r="4" ht="22.5" customHeight="1">
      <c r="A4" s="3"/>
      <c r="B4" s="3"/>
      <c r="C4" s="4" t="s">
        <v>14</v>
      </c>
      <c r="D4" s="4">
        <v>9.43</v>
      </c>
      <c r="E4" s="4" t="s">
        <v>186</v>
      </c>
      <c r="F4" s="4">
        <v>0.0</v>
      </c>
      <c r="G4" s="17">
        <f t="shared" ref="G4:G170" si="1">(K$2 * K$3 + F4) / (K$2 + F4) *100</f>
        <v>9</v>
      </c>
    </row>
    <row r="5" ht="22.5" customHeight="1">
      <c r="A5" s="3"/>
      <c r="B5" s="3"/>
      <c r="C5" s="4" t="s">
        <v>14</v>
      </c>
      <c r="D5" s="4">
        <v>9.55</v>
      </c>
      <c r="E5" s="4" t="s">
        <v>187</v>
      </c>
      <c r="F5" s="4">
        <v>0.0</v>
      </c>
      <c r="G5" s="17">
        <f t="shared" si="1"/>
        <v>9</v>
      </c>
    </row>
    <row r="6" ht="22.5" customHeight="1">
      <c r="A6" s="3"/>
      <c r="B6" s="3"/>
      <c r="C6" s="4" t="s">
        <v>14</v>
      </c>
      <c r="D6" s="4">
        <v>9.6</v>
      </c>
      <c r="E6" s="4" t="s">
        <v>188</v>
      </c>
      <c r="F6" s="4">
        <v>0.0</v>
      </c>
      <c r="G6" s="17">
        <f t="shared" si="1"/>
        <v>9</v>
      </c>
    </row>
    <row r="7" ht="22.5" customHeight="1">
      <c r="A7" s="3"/>
      <c r="B7" s="3"/>
      <c r="C7" s="4" t="s">
        <v>14</v>
      </c>
      <c r="D7" s="4">
        <v>9.66</v>
      </c>
      <c r="E7" s="4" t="s">
        <v>189</v>
      </c>
      <c r="F7" s="4">
        <v>0.0</v>
      </c>
      <c r="G7" s="17">
        <f t="shared" si="1"/>
        <v>9</v>
      </c>
    </row>
    <row r="8" ht="22.5" customHeight="1">
      <c r="A8" s="3"/>
      <c r="B8" s="3"/>
      <c r="C8" s="4" t="s">
        <v>14</v>
      </c>
      <c r="D8" s="4">
        <v>9.72</v>
      </c>
      <c r="E8" s="4" t="s">
        <v>190</v>
      </c>
      <c r="F8" s="4">
        <v>0.0</v>
      </c>
      <c r="G8" s="17">
        <f t="shared" si="1"/>
        <v>9</v>
      </c>
    </row>
    <row r="9" ht="22.5" customHeight="1">
      <c r="A9" s="3"/>
      <c r="B9" s="3"/>
      <c r="C9" s="4" t="s">
        <v>14</v>
      </c>
      <c r="D9" s="4">
        <v>9.76</v>
      </c>
      <c r="E9" s="4" t="s">
        <v>191</v>
      </c>
      <c r="F9" s="4">
        <v>0.0</v>
      </c>
      <c r="G9" s="17">
        <f t="shared" si="1"/>
        <v>9</v>
      </c>
    </row>
    <row r="10" ht="22.5" customHeight="1">
      <c r="A10" s="3"/>
      <c r="B10" s="3"/>
      <c r="C10" s="4" t="s">
        <v>14</v>
      </c>
      <c r="D10" s="4">
        <v>9.82</v>
      </c>
      <c r="E10" s="4" t="s">
        <v>192</v>
      </c>
      <c r="F10" s="4">
        <v>0.0</v>
      </c>
      <c r="G10" s="17">
        <f t="shared" si="1"/>
        <v>9</v>
      </c>
    </row>
    <row r="11" ht="22.5" customHeight="1">
      <c r="A11" s="3"/>
      <c r="B11" s="3"/>
      <c r="C11" s="4" t="s">
        <v>14</v>
      </c>
      <c r="D11" s="4">
        <v>9.92</v>
      </c>
      <c r="E11" s="4" t="s">
        <v>193</v>
      </c>
      <c r="F11" s="4">
        <v>0.0</v>
      </c>
      <c r="G11" s="17">
        <f t="shared" si="1"/>
        <v>9</v>
      </c>
    </row>
    <row r="12" ht="22.5" customHeight="1">
      <c r="A12" s="3"/>
      <c r="B12" s="3"/>
      <c r="C12" s="4" t="s">
        <v>14</v>
      </c>
      <c r="D12" s="4">
        <v>9.97</v>
      </c>
      <c r="E12" s="4" t="s">
        <v>194</v>
      </c>
      <c r="F12" s="4">
        <v>0.0</v>
      </c>
      <c r="G12" s="17">
        <f t="shared" si="1"/>
        <v>9</v>
      </c>
    </row>
    <row r="13" ht="22.5" customHeight="1">
      <c r="A13" s="3"/>
      <c r="B13" s="3"/>
      <c r="C13" s="4" t="s">
        <v>14</v>
      </c>
      <c r="D13" s="4">
        <v>9.6</v>
      </c>
      <c r="E13" s="4" t="s">
        <v>195</v>
      </c>
      <c r="F13" s="4">
        <v>0.0</v>
      </c>
      <c r="G13" s="17">
        <f t="shared" si="1"/>
        <v>9</v>
      </c>
    </row>
    <row r="14" ht="22.5" customHeight="1">
      <c r="A14" s="3"/>
      <c r="B14" s="3"/>
      <c r="C14" s="4" t="s">
        <v>14</v>
      </c>
      <c r="D14" s="4">
        <v>9.76</v>
      </c>
      <c r="E14" s="4" t="s">
        <v>196</v>
      </c>
      <c r="F14" s="4">
        <v>0.0</v>
      </c>
      <c r="G14" s="17">
        <f t="shared" si="1"/>
        <v>9</v>
      </c>
    </row>
    <row r="15" ht="22.5" customHeight="1">
      <c r="A15" s="3"/>
      <c r="B15" s="3"/>
      <c r="C15" s="4" t="s">
        <v>14</v>
      </c>
      <c r="D15" s="4">
        <v>9.72</v>
      </c>
      <c r="E15" s="4" t="s">
        <v>197</v>
      </c>
      <c r="F15" s="4">
        <v>0.0</v>
      </c>
      <c r="G15" s="17">
        <f t="shared" si="1"/>
        <v>9</v>
      </c>
    </row>
    <row r="16" ht="22.5" customHeight="1">
      <c r="A16" s="3"/>
      <c r="B16" s="3"/>
      <c r="C16" s="4" t="s">
        <v>14</v>
      </c>
      <c r="D16" s="4">
        <v>9.92</v>
      </c>
      <c r="E16" s="4" t="s">
        <v>198</v>
      </c>
      <c r="F16" s="4">
        <v>0.0</v>
      </c>
      <c r="G16" s="17">
        <f t="shared" si="1"/>
        <v>9</v>
      </c>
    </row>
    <row r="17" ht="22.5" customHeight="1">
      <c r="A17" s="3"/>
      <c r="B17" s="3"/>
      <c r="C17" s="4" t="s">
        <v>14</v>
      </c>
      <c r="D17" s="4">
        <v>9.97</v>
      </c>
      <c r="E17" s="4" t="s">
        <v>199</v>
      </c>
      <c r="F17" s="4">
        <v>0.0</v>
      </c>
      <c r="G17" s="17">
        <f t="shared" si="1"/>
        <v>9</v>
      </c>
    </row>
    <row r="18" ht="22.5" customHeight="1">
      <c r="A18" s="3"/>
      <c r="B18" s="3"/>
      <c r="C18" s="4" t="s">
        <v>14</v>
      </c>
      <c r="D18" s="4">
        <v>9.82</v>
      </c>
      <c r="E18" s="4" t="s">
        <v>200</v>
      </c>
      <c r="F18" s="4">
        <v>0.0</v>
      </c>
      <c r="G18" s="17">
        <f t="shared" si="1"/>
        <v>9</v>
      </c>
    </row>
    <row r="19" ht="22.5" customHeight="1">
      <c r="A19" s="3"/>
      <c r="B19" s="3"/>
      <c r="C19" s="4" t="s">
        <v>14</v>
      </c>
      <c r="D19" s="4">
        <v>9.76</v>
      </c>
      <c r="E19" s="4" t="s">
        <v>201</v>
      </c>
      <c r="F19" s="4">
        <v>0.0</v>
      </c>
      <c r="G19" s="17">
        <f t="shared" si="1"/>
        <v>9</v>
      </c>
    </row>
    <row r="20" ht="22.5" customHeight="1">
      <c r="A20" s="3"/>
      <c r="B20" s="3"/>
      <c r="C20" s="4" t="s">
        <v>14</v>
      </c>
      <c r="D20" s="4">
        <v>10.09</v>
      </c>
      <c r="E20" s="4" t="s">
        <v>202</v>
      </c>
      <c r="F20" s="4">
        <v>11.0</v>
      </c>
      <c r="G20" s="17">
        <f t="shared" si="1"/>
        <v>10.09879254</v>
      </c>
    </row>
    <row r="21" ht="22.5" customHeight="1">
      <c r="A21" s="3"/>
      <c r="B21" s="3"/>
      <c r="C21" s="4" t="s">
        <v>14</v>
      </c>
      <c r="D21" s="4">
        <v>9.97</v>
      </c>
      <c r="E21" s="4" t="s">
        <v>203</v>
      </c>
      <c r="F21" s="4">
        <v>11.0</v>
      </c>
      <c r="G21" s="17">
        <f t="shared" si="1"/>
        <v>10.09879254</v>
      </c>
    </row>
    <row r="22" ht="22.5" customHeight="1">
      <c r="A22" s="3"/>
      <c r="B22" s="3"/>
      <c r="C22" s="4" t="s">
        <v>14</v>
      </c>
      <c r="D22" s="4">
        <v>10.26</v>
      </c>
      <c r="E22" s="4" t="s">
        <v>204</v>
      </c>
      <c r="F22" s="4">
        <v>11.0</v>
      </c>
      <c r="G22" s="17">
        <f t="shared" si="1"/>
        <v>10.09879254</v>
      </c>
    </row>
    <row r="23" ht="22.5" customHeight="1">
      <c r="A23" s="3"/>
      <c r="B23" s="3"/>
      <c r="C23" s="4" t="s">
        <v>14</v>
      </c>
      <c r="D23" s="4">
        <v>9.97</v>
      </c>
      <c r="E23" s="4" t="s">
        <v>205</v>
      </c>
      <c r="F23" s="4">
        <v>11.0</v>
      </c>
      <c r="G23" s="17">
        <f t="shared" si="1"/>
        <v>10.09879254</v>
      </c>
    </row>
    <row r="24" ht="22.5" customHeight="1">
      <c r="A24" s="3"/>
      <c r="B24" s="3"/>
      <c r="C24" s="4" t="s">
        <v>14</v>
      </c>
      <c r="D24" s="4">
        <v>10.13</v>
      </c>
      <c r="E24" s="4" t="s">
        <v>206</v>
      </c>
      <c r="F24" s="4">
        <v>11.0</v>
      </c>
      <c r="G24" s="17">
        <f t="shared" si="1"/>
        <v>10.09879254</v>
      </c>
    </row>
    <row r="25" ht="22.5" customHeight="1">
      <c r="A25" s="3"/>
      <c r="B25" s="3"/>
      <c r="C25" s="4" t="s">
        <v>14</v>
      </c>
      <c r="D25" s="4">
        <v>10.09</v>
      </c>
      <c r="E25" s="4" t="s">
        <v>207</v>
      </c>
      <c r="F25" s="4">
        <v>11.0</v>
      </c>
      <c r="G25" s="17">
        <f t="shared" si="1"/>
        <v>10.09879254</v>
      </c>
    </row>
    <row r="26" ht="22.5" customHeight="1">
      <c r="A26" s="3"/>
      <c r="B26" s="3"/>
      <c r="C26" s="4" t="s">
        <v>14</v>
      </c>
      <c r="D26" s="4">
        <v>10.26</v>
      </c>
      <c r="E26" s="4" t="s">
        <v>208</v>
      </c>
      <c r="F26" s="4">
        <v>11.0</v>
      </c>
      <c r="G26" s="17">
        <f t="shared" si="1"/>
        <v>10.09879254</v>
      </c>
    </row>
    <row r="27" ht="22.5" customHeight="1">
      <c r="A27" s="3"/>
      <c r="B27" s="3"/>
      <c r="C27" s="4" t="s">
        <v>14</v>
      </c>
      <c r="D27" s="4">
        <v>10.13</v>
      </c>
      <c r="E27" s="4" t="s">
        <v>209</v>
      </c>
      <c r="F27" s="4">
        <v>11.0</v>
      </c>
      <c r="G27" s="17">
        <f t="shared" si="1"/>
        <v>10.09879254</v>
      </c>
    </row>
    <row r="28" ht="22.5" customHeight="1">
      <c r="A28" s="3"/>
      <c r="B28" s="3"/>
      <c r="C28" s="4" t="s">
        <v>14</v>
      </c>
      <c r="D28" s="4">
        <v>9.97</v>
      </c>
      <c r="E28" s="4" t="s">
        <v>210</v>
      </c>
      <c r="F28" s="4">
        <v>11.0</v>
      </c>
      <c r="G28" s="17">
        <f t="shared" si="1"/>
        <v>10.09879254</v>
      </c>
    </row>
    <row r="29" ht="22.5" customHeight="1">
      <c r="A29" s="3"/>
      <c r="B29" s="3"/>
      <c r="C29" s="4" t="s">
        <v>14</v>
      </c>
      <c r="D29" s="4">
        <v>10.26</v>
      </c>
      <c r="E29" s="4" t="s">
        <v>211</v>
      </c>
      <c r="F29" s="4">
        <v>11.0</v>
      </c>
      <c r="G29" s="17">
        <f t="shared" si="1"/>
        <v>10.09879254</v>
      </c>
    </row>
    <row r="30" ht="22.5" customHeight="1">
      <c r="A30" s="3"/>
      <c r="B30" s="3"/>
      <c r="C30" s="4" t="s">
        <v>14</v>
      </c>
      <c r="D30" s="4">
        <v>10.3</v>
      </c>
      <c r="E30" s="4" t="s">
        <v>212</v>
      </c>
      <c r="F30" s="4">
        <v>11.0</v>
      </c>
      <c r="G30" s="17">
        <f t="shared" si="1"/>
        <v>10.09879254</v>
      </c>
    </row>
    <row r="31" ht="22.5" customHeight="1">
      <c r="A31" s="3"/>
      <c r="B31" s="3"/>
      <c r="C31" s="4" t="s">
        <v>14</v>
      </c>
      <c r="D31" s="4">
        <v>10.13</v>
      </c>
      <c r="E31" s="4" t="s">
        <v>213</v>
      </c>
      <c r="F31" s="4">
        <v>11.0</v>
      </c>
      <c r="G31" s="17">
        <f t="shared" si="1"/>
        <v>10.09879254</v>
      </c>
    </row>
    <row r="32" ht="22.5" customHeight="1">
      <c r="A32" s="3"/>
      <c r="B32" s="3"/>
      <c r="C32" s="4" t="s">
        <v>14</v>
      </c>
      <c r="D32" s="4">
        <v>10.26</v>
      </c>
      <c r="E32" s="4" t="s">
        <v>214</v>
      </c>
      <c r="F32" s="4">
        <v>22.0</v>
      </c>
      <c r="G32" s="17">
        <f t="shared" si="1"/>
        <v>11.17136659</v>
      </c>
    </row>
    <row r="33" ht="22.5" customHeight="1">
      <c r="A33" s="3"/>
      <c r="B33" s="3"/>
      <c r="C33" s="4" t="s">
        <v>14</v>
      </c>
      <c r="D33" s="4">
        <v>10.46</v>
      </c>
      <c r="E33" s="4" t="s">
        <v>215</v>
      </c>
      <c r="F33" s="4">
        <v>22.0</v>
      </c>
      <c r="G33" s="17">
        <f t="shared" si="1"/>
        <v>11.17136659</v>
      </c>
    </row>
    <row r="34" ht="22.5" customHeight="1">
      <c r="A34" s="3"/>
      <c r="B34" s="3"/>
      <c r="C34" s="4" t="s">
        <v>14</v>
      </c>
      <c r="D34" s="4">
        <v>10.37</v>
      </c>
      <c r="E34" s="4" t="s">
        <v>216</v>
      </c>
      <c r="F34" s="4">
        <v>22.0</v>
      </c>
      <c r="G34" s="17">
        <f t="shared" si="1"/>
        <v>11.17136659</v>
      </c>
    </row>
    <row r="35" ht="22.5" customHeight="1">
      <c r="A35" s="3"/>
      <c r="B35" s="3"/>
      <c r="C35" s="4" t="s">
        <v>14</v>
      </c>
      <c r="D35" s="4">
        <v>10.54</v>
      </c>
      <c r="E35" s="4" t="s">
        <v>217</v>
      </c>
      <c r="F35" s="4">
        <v>22.0</v>
      </c>
      <c r="G35" s="17">
        <f t="shared" si="1"/>
        <v>11.17136659</v>
      </c>
    </row>
    <row r="36" ht="22.5" customHeight="1">
      <c r="A36" s="3"/>
      <c r="B36" s="3"/>
      <c r="C36" s="4" t="s">
        <v>14</v>
      </c>
      <c r="D36" s="4">
        <v>10.46</v>
      </c>
      <c r="E36" s="4" t="s">
        <v>218</v>
      </c>
      <c r="F36" s="4">
        <v>22.0</v>
      </c>
      <c r="G36" s="17">
        <f t="shared" si="1"/>
        <v>11.17136659</v>
      </c>
    </row>
    <row r="37" ht="22.5" customHeight="1">
      <c r="A37" s="3"/>
      <c r="B37" s="3"/>
      <c r="C37" s="4" t="s">
        <v>14</v>
      </c>
      <c r="D37" s="4">
        <v>10.26</v>
      </c>
      <c r="E37" s="4" t="s">
        <v>219</v>
      </c>
      <c r="F37" s="4">
        <v>22.0</v>
      </c>
      <c r="G37" s="17">
        <f t="shared" si="1"/>
        <v>11.17136659</v>
      </c>
    </row>
    <row r="38" ht="22.5" customHeight="1">
      <c r="A38" s="3"/>
      <c r="B38" s="3"/>
      <c r="C38" s="4" t="s">
        <v>14</v>
      </c>
      <c r="D38" s="4">
        <v>10.3</v>
      </c>
      <c r="E38" s="4" t="s">
        <v>220</v>
      </c>
      <c r="F38" s="4">
        <v>22.0</v>
      </c>
      <c r="G38" s="17">
        <f t="shared" si="1"/>
        <v>11.17136659</v>
      </c>
    </row>
    <row r="39" ht="22.5" customHeight="1">
      <c r="A39" s="3"/>
      <c r="B39" s="3"/>
      <c r="C39" s="4" t="s">
        <v>14</v>
      </c>
      <c r="D39" s="4">
        <v>10.37</v>
      </c>
      <c r="E39" s="4" t="s">
        <v>221</v>
      </c>
      <c r="F39" s="4">
        <v>22.0</v>
      </c>
      <c r="G39" s="17">
        <f t="shared" si="1"/>
        <v>11.17136659</v>
      </c>
    </row>
    <row r="40" ht="22.5" customHeight="1">
      <c r="A40" s="3"/>
      <c r="B40" s="3"/>
      <c r="C40" s="4" t="s">
        <v>14</v>
      </c>
      <c r="D40" s="4">
        <v>10.63</v>
      </c>
      <c r="E40" s="4" t="s">
        <v>222</v>
      </c>
      <c r="F40" s="4">
        <v>22.0</v>
      </c>
      <c r="G40" s="17">
        <f t="shared" si="1"/>
        <v>11.17136659</v>
      </c>
    </row>
    <row r="41" ht="22.5" customHeight="1">
      <c r="A41" s="3"/>
      <c r="B41" s="3"/>
      <c r="C41" s="4" t="s">
        <v>14</v>
      </c>
      <c r="D41" s="4">
        <v>10.54</v>
      </c>
      <c r="E41" s="4" t="s">
        <v>223</v>
      </c>
      <c r="F41" s="4">
        <v>22.0</v>
      </c>
      <c r="G41" s="17">
        <f t="shared" si="1"/>
        <v>11.17136659</v>
      </c>
    </row>
    <row r="42" ht="22.5" customHeight="1">
      <c r="A42" s="3"/>
      <c r="B42" s="3"/>
      <c r="C42" s="4" t="s">
        <v>14</v>
      </c>
      <c r="D42" s="4">
        <v>10.46</v>
      </c>
      <c r="E42" s="4" t="s">
        <v>224</v>
      </c>
      <c r="F42" s="4">
        <v>22.0</v>
      </c>
      <c r="G42" s="17">
        <f t="shared" si="1"/>
        <v>11.17136659</v>
      </c>
    </row>
    <row r="43" ht="22.5" customHeight="1">
      <c r="A43" s="3"/>
      <c r="B43" s="3"/>
      <c r="C43" s="4" t="s">
        <v>14</v>
      </c>
      <c r="D43" s="4">
        <v>10.74</v>
      </c>
      <c r="E43" s="4" t="s">
        <v>225</v>
      </c>
      <c r="F43" s="4">
        <v>22.0</v>
      </c>
      <c r="G43" s="17">
        <f t="shared" si="1"/>
        <v>11.17136659</v>
      </c>
    </row>
    <row r="44" ht="22.5" customHeight="1">
      <c r="A44" s="3"/>
      <c r="B44" s="3"/>
      <c r="C44" s="4" t="s">
        <v>14</v>
      </c>
      <c r="D44" s="4">
        <v>10.79</v>
      </c>
      <c r="E44" s="4" t="s">
        <v>226</v>
      </c>
      <c r="F44" s="4">
        <v>22.0</v>
      </c>
      <c r="G44" s="17">
        <f t="shared" si="1"/>
        <v>11.17136659</v>
      </c>
    </row>
    <row r="45" ht="22.5" customHeight="1">
      <c r="A45" s="3"/>
      <c r="B45" s="3"/>
      <c r="C45" s="4" t="s">
        <v>14</v>
      </c>
      <c r="D45" s="4">
        <v>10.86</v>
      </c>
      <c r="E45" s="4" t="s">
        <v>227</v>
      </c>
      <c r="F45" s="4">
        <v>22.0</v>
      </c>
      <c r="G45" s="17">
        <f t="shared" si="1"/>
        <v>11.17136659</v>
      </c>
    </row>
    <row r="46" ht="22.5" customHeight="1">
      <c r="A46" s="3"/>
      <c r="B46" s="3"/>
      <c r="C46" s="4" t="s">
        <v>14</v>
      </c>
      <c r="D46" s="4">
        <v>10.54</v>
      </c>
      <c r="E46" s="4" t="s">
        <v>228</v>
      </c>
      <c r="F46" s="4">
        <v>22.0</v>
      </c>
      <c r="G46" s="17">
        <f t="shared" si="1"/>
        <v>11.17136659</v>
      </c>
    </row>
    <row r="47" ht="22.5" customHeight="1">
      <c r="A47" s="3"/>
      <c r="B47" s="3"/>
      <c r="C47" s="4" t="s">
        <v>14</v>
      </c>
      <c r="D47" s="4">
        <v>10.79</v>
      </c>
      <c r="E47" s="4" t="s">
        <v>229</v>
      </c>
      <c r="F47" s="4">
        <v>22.0</v>
      </c>
      <c r="G47" s="17">
        <f t="shared" si="1"/>
        <v>11.17136659</v>
      </c>
    </row>
    <row r="48" ht="22.5" customHeight="1">
      <c r="A48" s="3"/>
      <c r="B48" s="3"/>
      <c r="C48" s="4" t="s">
        <v>14</v>
      </c>
      <c r="D48" s="4">
        <v>10.86</v>
      </c>
      <c r="E48" s="4" t="s">
        <v>230</v>
      </c>
      <c r="F48" s="4">
        <v>22.0</v>
      </c>
      <c r="G48" s="17">
        <f t="shared" si="1"/>
        <v>11.17136659</v>
      </c>
    </row>
    <row r="49" ht="22.5" customHeight="1">
      <c r="A49" s="3"/>
      <c r="B49" s="3"/>
      <c r="C49" s="4" t="s">
        <v>14</v>
      </c>
      <c r="D49" s="4">
        <v>10.74</v>
      </c>
      <c r="E49" s="4" t="s">
        <v>231</v>
      </c>
      <c r="F49" s="4">
        <v>22.0</v>
      </c>
      <c r="G49" s="17">
        <f t="shared" si="1"/>
        <v>11.17136659</v>
      </c>
    </row>
    <row r="50" ht="22.5" customHeight="1">
      <c r="A50" s="3"/>
      <c r="B50" s="3"/>
      <c r="C50" s="4" t="s">
        <v>14</v>
      </c>
      <c r="D50" s="4">
        <v>10.58</v>
      </c>
      <c r="E50" s="4" t="s">
        <v>232</v>
      </c>
      <c r="F50" s="4">
        <v>22.0</v>
      </c>
      <c r="G50" s="17">
        <f t="shared" si="1"/>
        <v>11.17136659</v>
      </c>
    </row>
    <row r="51" ht="22.5" customHeight="1">
      <c r="A51" s="3"/>
      <c r="B51" s="3"/>
      <c r="C51" s="4" t="s">
        <v>14</v>
      </c>
      <c r="D51" s="4">
        <v>11.06</v>
      </c>
      <c r="E51" s="4" t="s">
        <v>233</v>
      </c>
      <c r="F51" s="4">
        <v>22.0</v>
      </c>
      <c r="G51" s="17">
        <f t="shared" si="1"/>
        <v>11.17136659</v>
      </c>
    </row>
    <row r="52" ht="22.5" customHeight="1">
      <c r="A52" s="3"/>
      <c r="B52" s="3"/>
      <c r="C52" s="4" t="s">
        <v>14</v>
      </c>
      <c r="D52" s="4">
        <v>11.11</v>
      </c>
      <c r="E52" s="4" t="s">
        <v>234</v>
      </c>
      <c r="F52" s="4">
        <v>32.0</v>
      </c>
      <c r="G52" s="17">
        <f t="shared" si="1"/>
        <v>12.12446352</v>
      </c>
    </row>
    <row r="53" ht="22.5" customHeight="1">
      <c r="A53" s="3"/>
      <c r="B53" s="3"/>
      <c r="C53" s="4" t="s">
        <v>14</v>
      </c>
      <c r="D53" s="4">
        <v>11.38</v>
      </c>
      <c r="E53" s="4" t="s">
        <v>235</v>
      </c>
      <c r="F53" s="4">
        <v>32.0</v>
      </c>
      <c r="G53" s="17">
        <f t="shared" si="1"/>
        <v>12.12446352</v>
      </c>
    </row>
    <row r="54" ht="22.5" customHeight="1">
      <c r="A54" s="3"/>
      <c r="B54" s="3"/>
      <c r="C54" s="4" t="s">
        <v>14</v>
      </c>
      <c r="D54" s="4">
        <v>11.49</v>
      </c>
      <c r="E54" s="4" t="s">
        <v>236</v>
      </c>
      <c r="F54" s="4">
        <v>32.0</v>
      </c>
      <c r="G54" s="17">
        <f t="shared" si="1"/>
        <v>12.12446352</v>
      </c>
    </row>
    <row r="55" ht="22.5" customHeight="1">
      <c r="A55" s="3"/>
      <c r="B55" s="3"/>
      <c r="C55" s="4" t="s">
        <v>14</v>
      </c>
      <c r="D55" s="4">
        <v>11.58</v>
      </c>
      <c r="E55" s="4" t="s">
        <v>237</v>
      </c>
      <c r="F55" s="4">
        <v>32.0</v>
      </c>
      <c r="G55" s="17">
        <f t="shared" si="1"/>
        <v>12.12446352</v>
      </c>
    </row>
    <row r="56" ht="22.5" customHeight="1">
      <c r="A56" s="3"/>
      <c r="B56" s="3"/>
      <c r="C56" s="4" t="s">
        <v>14</v>
      </c>
      <c r="D56" s="4">
        <v>11.65</v>
      </c>
      <c r="E56" s="4" t="s">
        <v>238</v>
      </c>
      <c r="F56" s="4">
        <v>32.0</v>
      </c>
      <c r="G56" s="17">
        <f t="shared" si="1"/>
        <v>12.12446352</v>
      </c>
    </row>
    <row r="57" ht="22.5" customHeight="1">
      <c r="A57" s="3"/>
      <c r="B57" s="3"/>
      <c r="C57" s="4" t="s">
        <v>14</v>
      </c>
      <c r="D57" s="4">
        <v>11.69</v>
      </c>
      <c r="E57" s="4" t="s">
        <v>239</v>
      </c>
      <c r="F57" s="4">
        <v>32.0</v>
      </c>
      <c r="G57" s="17">
        <f t="shared" si="1"/>
        <v>12.12446352</v>
      </c>
    </row>
    <row r="58" ht="22.5" customHeight="1">
      <c r="A58" s="3"/>
      <c r="B58" s="3"/>
      <c r="C58" s="4" t="s">
        <v>14</v>
      </c>
      <c r="D58" s="4">
        <v>11.74</v>
      </c>
      <c r="E58" s="4" t="s">
        <v>240</v>
      </c>
      <c r="F58" s="4">
        <v>32.0</v>
      </c>
      <c r="G58" s="17">
        <f t="shared" si="1"/>
        <v>12.12446352</v>
      </c>
    </row>
    <row r="59" ht="22.5" customHeight="1">
      <c r="A59" s="3"/>
      <c r="B59" s="3"/>
      <c r="C59" s="4" t="s">
        <v>14</v>
      </c>
      <c r="D59" s="4">
        <v>11.81</v>
      </c>
      <c r="E59" s="4" t="s">
        <v>241</v>
      </c>
      <c r="F59" s="4">
        <v>32.0</v>
      </c>
      <c r="G59" s="17">
        <f t="shared" si="1"/>
        <v>12.12446352</v>
      </c>
    </row>
    <row r="60" ht="22.5" customHeight="1">
      <c r="A60" s="3"/>
      <c r="B60" s="3"/>
      <c r="C60" s="4" t="s">
        <v>14</v>
      </c>
      <c r="D60" s="4">
        <v>11.9</v>
      </c>
      <c r="E60" s="4" t="s">
        <v>242</v>
      </c>
      <c r="F60" s="4">
        <v>32.0</v>
      </c>
      <c r="G60" s="17">
        <f t="shared" si="1"/>
        <v>12.12446352</v>
      </c>
    </row>
    <row r="61" ht="22.5" customHeight="1">
      <c r="A61" s="3"/>
      <c r="B61" s="3"/>
      <c r="C61" s="4" t="s">
        <v>14</v>
      </c>
      <c r="D61" s="4">
        <v>11.96</v>
      </c>
      <c r="E61" s="4" t="s">
        <v>243</v>
      </c>
      <c r="F61" s="4">
        <v>32.0</v>
      </c>
      <c r="G61" s="17">
        <f t="shared" si="1"/>
        <v>12.12446352</v>
      </c>
    </row>
    <row r="62" ht="22.5" customHeight="1">
      <c r="A62" s="3"/>
      <c r="B62" s="3"/>
      <c r="C62" s="4" t="s">
        <v>14</v>
      </c>
      <c r="D62" s="4">
        <v>12.05</v>
      </c>
      <c r="E62" s="4" t="s">
        <v>244</v>
      </c>
      <c r="F62" s="4">
        <v>32.0</v>
      </c>
      <c r="G62" s="17">
        <f t="shared" si="1"/>
        <v>12.12446352</v>
      </c>
    </row>
    <row r="63" ht="22.5" customHeight="1">
      <c r="A63" s="3"/>
      <c r="B63" s="3"/>
      <c r="C63" s="4" t="s">
        <v>14</v>
      </c>
      <c r="D63" s="4">
        <v>12.12</v>
      </c>
      <c r="E63" s="4" t="s">
        <v>245</v>
      </c>
      <c r="F63" s="4">
        <v>32.0</v>
      </c>
      <c r="G63" s="17">
        <f t="shared" si="1"/>
        <v>12.12446352</v>
      </c>
    </row>
    <row r="64" ht="22.5" customHeight="1">
      <c r="A64" s="3"/>
      <c r="B64" s="3"/>
      <c r="C64" s="4" t="s">
        <v>14</v>
      </c>
      <c r="D64" s="4">
        <v>12.17</v>
      </c>
      <c r="E64" s="4" t="s">
        <v>246</v>
      </c>
      <c r="F64" s="4">
        <v>32.0</v>
      </c>
      <c r="G64" s="17">
        <f t="shared" si="1"/>
        <v>12.12446352</v>
      </c>
    </row>
    <row r="65" ht="22.5" customHeight="1">
      <c r="A65" s="3"/>
      <c r="B65" s="3"/>
      <c r="C65" s="4" t="s">
        <v>14</v>
      </c>
      <c r="D65" s="4">
        <v>12.21</v>
      </c>
      <c r="E65" s="4" t="s">
        <v>247</v>
      </c>
      <c r="F65" s="4">
        <v>32.0</v>
      </c>
      <c r="G65" s="17">
        <f t="shared" si="1"/>
        <v>12.12446352</v>
      </c>
    </row>
    <row r="66" ht="22.5" customHeight="1">
      <c r="A66" s="3"/>
      <c r="B66" s="3"/>
      <c r="C66" s="4" t="s">
        <v>14</v>
      </c>
      <c r="D66" s="4">
        <v>12.17</v>
      </c>
      <c r="E66" s="4" t="s">
        <v>248</v>
      </c>
      <c r="F66" s="4">
        <v>32.0</v>
      </c>
      <c r="G66" s="17">
        <f t="shared" si="1"/>
        <v>12.12446352</v>
      </c>
    </row>
    <row r="67" ht="22.5" customHeight="1">
      <c r="A67" s="3"/>
      <c r="B67" s="3"/>
      <c r="C67" s="4" t="s">
        <v>14</v>
      </c>
      <c r="D67" s="4">
        <v>12.21</v>
      </c>
      <c r="E67" s="4" t="s">
        <v>249</v>
      </c>
      <c r="F67" s="4">
        <v>32.0</v>
      </c>
      <c r="G67" s="17">
        <f t="shared" si="1"/>
        <v>12.12446352</v>
      </c>
    </row>
    <row r="68" ht="22.5" customHeight="1">
      <c r="A68" s="3"/>
      <c r="B68" s="3"/>
      <c r="C68" s="4" t="s">
        <v>14</v>
      </c>
      <c r="D68" s="4">
        <v>12.28</v>
      </c>
      <c r="E68" s="4" t="s">
        <v>250</v>
      </c>
      <c r="F68" s="4">
        <v>32.0</v>
      </c>
      <c r="G68" s="17">
        <f t="shared" si="1"/>
        <v>12.12446352</v>
      </c>
    </row>
    <row r="69" ht="22.5" customHeight="1">
      <c r="A69" s="3"/>
      <c r="B69" s="3"/>
      <c r="C69" s="4" t="s">
        <v>14</v>
      </c>
      <c r="D69" s="4">
        <v>12.21</v>
      </c>
      <c r="E69" s="4" t="s">
        <v>251</v>
      </c>
      <c r="F69" s="4">
        <v>32.0</v>
      </c>
      <c r="G69" s="17">
        <f t="shared" si="1"/>
        <v>12.12446352</v>
      </c>
    </row>
    <row r="70" ht="22.5" customHeight="1">
      <c r="A70" s="3"/>
      <c r="B70" s="3"/>
      <c r="C70" s="4" t="s">
        <v>14</v>
      </c>
      <c r="D70" s="4">
        <v>12.37</v>
      </c>
      <c r="E70" s="4" t="s">
        <v>252</v>
      </c>
      <c r="F70" s="4">
        <v>42.0</v>
      </c>
      <c r="G70" s="17">
        <f t="shared" si="1"/>
        <v>13.05732484</v>
      </c>
    </row>
    <row r="71" ht="22.5" customHeight="1">
      <c r="A71" s="3"/>
      <c r="B71" s="3"/>
      <c r="C71" s="4" t="s">
        <v>14</v>
      </c>
      <c r="D71" s="4">
        <v>12.48</v>
      </c>
      <c r="E71" s="4" t="s">
        <v>253</v>
      </c>
      <c r="F71" s="4">
        <v>42.0</v>
      </c>
      <c r="G71" s="17">
        <f t="shared" si="1"/>
        <v>13.05732484</v>
      </c>
    </row>
    <row r="72" ht="22.5" customHeight="1">
      <c r="A72" s="3"/>
      <c r="B72" s="3"/>
      <c r="C72" s="4" t="s">
        <v>14</v>
      </c>
      <c r="D72" s="4">
        <v>12.59</v>
      </c>
      <c r="E72" s="4" t="s">
        <v>254</v>
      </c>
      <c r="F72" s="4">
        <v>42.0</v>
      </c>
      <c r="G72" s="17">
        <f t="shared" si="1"/>
        <v>13.05732484</v>
      </c>
    </row>
    <row r="73" ht="22.5" customHeight="1">
      <c r="A73" s="3"/>
      <c r="B73" s="3"/>
      <c r="C73" s="4" t="s">
        <v>14</v>
      </c>
      <c r="D73" s="4">
        <v>12.63</v>
      </c>
      <c r="E73" s="4" t="s">
        <v>255</v>
      </c>
      <c r="F73" s="4">
        <v>42.0</v>
      </c>
      <c r="G73" s="17">
        <f t="shared" si="1"/>
        <v>13.05732484</v>
      </c>
    </row>
    <row r="74" ht="22.5" customHeight="1">
      <c r="A74" s="3"/>
      <c r="B74" s="3"/>
      <c r="C74" s="4" t="s">
        <v>14</v>
      </c>
      <c r="D74" s="4">
        <v>12.74</v>
      </c>
      <c r="E74" s="4" t="s">
        <v>256</v>
      </c>
      <c r="F74" s="4">
        <v>42.0</v>
      </c>
      <c r="G74" s="17">
        <f t="shared" si="1"/>
        <v>13.05732484</v>
      </c>
    </row>
    <row r="75" ht="22.5" customHeight="1">
      <c r="A75" s="3"/>
      <c r="B75" s="3"/>
      <c r="C75" s="4" t="s">
        <v>14</v>
      </c>
      <c r="D75" s="4">
        <v>12.79</v>
      </c>
      <c r="E75" s="4" t="s">
        <v>257</v>
      </c>
      <c r="F75" s="4">
        <v>42.0</v>
      </c>
      <c r="G75" s="17">
        <f t="shared" si="1"/>
        <v>13.05732484</v>
      </c>
    </row>
    <row r="76" ht="22.5" customHeight="1">
      <c r="A76" s="3"/>
      <c r="B76" s="3"/>
      <c r="C76" s="4" t="s">
        <v>14</v>
      </c>
      <c r="D76" s="4">
        <v>13.0</v>
      </c>
      <c r="E76" s="4" t="s">
        <v>258</v>
      </c>
      <c r="F76" s="4">
        <v>42.0</v>
      </c>
      <c r="G76" s="17">
        <f t="shared" si="1"/>
        <v>13.05732484</v>
      </c>
    </row>
    <row r="77" ht="22.5" customHeight="1">
      <c r="A77" s="3"/>
      <c r="B77" s="3"/>
      <c r="C77" s="4" t="s">
        <v>14</v>
      </c>
      <c r="D77" s="4">
        <v>13.04</v>
      </c>
      <c r="E77" s="4" t="s">
        <v>259</v>
      </c>
      <c r="F77" s="4">
        <v>42.0</v>
      </c>
      <c r="G77" s="17">
        <f t="shared" si="1"/>
        <v>13.05732484</v>
      </c>
    </row>
    <row r="78" ht="22.5" customHeight="1">
      <c r="A78" s="3"/>
      <c r="B78" s="3"/>
      <c r="C78" s="4" t="s">
        <v>14</v>
      </c>
      <c r="D78" s="4">
        <v>13.16</v>
      </c>
      <c r="E78" s="4" t="s">
        <v>260</v>
      </c>
      <c r="F78" s="4">
        <v>42.0</v>
      </c>
      <c r="G78" s="17">
        <f t="shared" si="1"/>
        <v>13.05732484</v>
      </c>
    </row>
    <row r="79" ht="22.5" customHeight="1">
      <c r="A79" s="3"/>
      <c r="B79" s="3"/>
      <c r="C79" s="4" t="s">
        <v>14</v>
      </c>
      <c r="D79" s="4">
        <v>13.2</v>
      </c>
      <c r="E79" s="4" t="s">
        <v>261</v>
      </c>
      <c r="F79" s="4">
        <v>42.0</v>
      </c>
      <c r="G79" s="17">
        <f t="shared" si="1"/>
        <v>13.05732484</v>
      </c>
    </row>
    <row r="80" ht="22.5" customHeight="1">
      <c r="A80" s="3"/>
      <c r="B80" s="3"/>
      <c r="C80" s="4" t="s">
        <v>14</v>
      </c>
      <c r="D80" s="4">
        <v>13.16</v>
      </c>
      <c r="E80" s="4" t="s">
        <v>262</v>
      </c>
      <c r="F80" s="4">
        <v>42.0</v>
      </c>
      <c r="G80" s="17">
        <f t="shared" si="1"/>
        <v>13.05732484</v>
      </c>
    </row>
    <row r="81" ht="22.5" customHeight="1">
      <c r="A81" s="3"/>
      <c r="B81" s="3"/>
      <c r="C81" s="4" t="s">
        <v>14</v>
      </c>
      <c r="D81" s="4">
        <v>13.31</v>
      </c>
      <c r="E81" s="4" t="s">
        <v>263</v>
      </c>
      <c r="F81" s="4">
        <v>42.0</v>
      </c>
      <c r="G81" s="17">
        <f t="shared" si="1"/>
        <v>13.05732484</v>
      </c>
    </row>
    <row r="82" ht="22.5" customHeight="1">
      <c r="A82" s="3"/>
      <c r="B82" s="3"/>
      <c r="C82" s="4" t="s">
        <v>14</v>
      </c>
      <c r="D82" s="4">
        <v>13.46</v>
      </c>
      <c r="E82" s="4" t="s">
        <v>264</v>
      </c>
      <c r="F82" s="4">
        <v>42.0</v>
      </c>
      <c r="G82" s="17">
        <f t="shared" si="1"/>
        <v>13.05732484</v>
      </c>
    </row>
    <row r="83" ht="22.5" customHeight="1">
      <c r="A83" s="3"/>
      <c r="B83" s="3"/>
      <c r="C83" s="4" t="s">
        <v>14</v>
      </c>
      <c r="D83" s="4">
        <v>13.5</v>
      </c>
      <c r="E83" s="4" t="s">
        <v>265</v>
      </c>
      <c r="F83" s="4">
        <v>42.0</v>
      </c>
      <c r="G83" s="17">
        <f t="shared" si="1"/>
        <v>13.05732484</v>
      </c>
    </row>
    <row r="84" ht="22.5" customHeight="1">
      <c r="A84" s="3"/>
      <c r="B84" s="3"/>
      <c r="C84" s="4" t="s">
        <v>14</v>
      </c>
      <c r="D84" s="4">
        <v>13.57</v>
      </c>
      <c r="E84" s="4" t="s">
        <v>266</v>
      </c>
      <c r="F84" s="4">
        <v>42.0</v>
      </c>
      <c r="G84" s="17">
        <f t="shared" si="1"/>
        <v>13.05732484</v>
      </c>
    </row>
    <row r="85" ht="22.5" customHeight="1">
      <c r="A85" s="3"/>
      <c r="B85" s="3"/>
      <c r="C85" s="4" t="s">
        <v>14</v>
      </c>
      <c r="D85" s="4">
        <v>13.62</v>
      </c>
      <c r="E85" s="4" t="s">
        <v>267</v>
      </c>
      <c r="F85" s="4">
        <v>42.0</v>
      </c>
      <c r="G85" s="17">
        <f t="shared" si="1"/>
        <v>13.05732484</v>
      </c>
    </row>
    <row r="86" ht="22.5" customHeight="1">
      <c r="A86" s="3"/>
      <c r="B86" s="3"/>
      <c r="C86" s="4" t="s">
        <v>14</v>
      </c>
      <c r="D86" s="4">
        <v>13.66</v>
      </c>
      <c r="E86" s="4" t="s">
        <v>268</v>
      </c>
      <c r="F86" s="4">
        <v>42.0</v>
      </c>
      <c r="G86" s="17">
        <f t="shared" si="1"/>
        <v>13.05732484</v>
      </c>
    </row>
    <row r="87" ht="22.5" customHeight="1">
      <c r="A87" s="3"/>
      <c r="B87" s="3"/>
      <c r="C87" s="4" t="s">
        <v>14</v>
      </c>
      <c r="D87" s="4">
        <v>13.73</v>
      </c>
      <c r="E87" s="4" t="s">
        <v>269</v>
      </c>
      <c r="F87" s="4">
        <v>42.0</v>
      </c>
      <c r="G87" s="17">
        <f t="shared" si="1"/>
        <v>13.05732484</v>
      </c>
    </row>
    <row r="88" ht="22.5" customHeight="1">
      <c r="A88" s="3"/>
      <c r="B88" s="3"/>
      <c r="C88" s="4" t="s">
        <v>14</v>
      </c>
      <c r="D88" s="4">
        <v>13.77</v>
      </c>
      <c r="E88" s="4" t="s">
        <v>270</v>
      </c>
      <c r="F88" s="4">
        <v>42.0</v>
      </c>
      <c r="G88" s="17">
        <f t="shared" si="1"/>
        <v>13.05732484</v>
      </c>
    </row>
    <row r="89" ht="22.5" customHeight="1">
      <c r="A89" s="3"/>
      <c r="B89" s="3"/>
      <c r="C89" s="4" t="s">
        <v>14</v>
      </c>
      <c r="D89" s="4">
        <v>13.66</v>
      </c>
      <c r="E89" s="4" t="s">
        <v>271</v>
      </c>
      <c r="F89" s="4">
        <v>42.0</v>
      </c>
      <c r="G89" s="17">
        <f t="shared" si="1"/>
        <v>13.05732484</v>
      </c>
    </row>
    <row r="90" ht="22.5" customHeight="1">
      <c r="A90" s="3"/>
      <c r="B90" s="3"/>
      <c r="C90" s="4" t="s">
        <v>14</v>
      </c>
      <c r="D90" s="4">
        <v>13.77</v>
      </c>
      <c r="E90" s="4" t="s">
        <v>272</v>
      </c>
      <c r="F90" s="4">
        <v>42.0</v>
      </c>
      <c r="G90" s="17">
        <f t="shared" si="1"/>
        <v>13.05732484</v>
      </c>
    </row>
    <row r="91" ht="22.5" customHeight="1">
      <c r="A91" s="3"/>
      <c r="B91" s="3"/>
      <c r="C91" s="4" t="s">
        <v>14</v>
      </c>
      <c r="D91" s="4">
        <v>13.83</v>
      </c>
      <c r="E91" s="4" t="s">
        <v>273</v>
      </c>
      <c r="F91" s="4">
        <v>42.0</v>
      </c>
      <c r="G91" s="17">
        <f t="shared" si="1"/>
        <v>13.05732484</v>
      </c>
    </row>
    <row r="92" ht="22.5" customHeight="1">
      <c r="A92" s="3"/>
      <c r="B92" s="3"/>
      <c r="C92" s="4" t="s">
        <v>14</v>
      </c>
      <c r="D92" s="4">
        <v>13.88</v>
      </c>
      <c r="E92" s="4" t="s">
        <v>274</v>
      </c>
      <c r="F92" s="4">
        <v>42.0</v>
      </c>
      <c r="G92" s="17">
        <f t="shared" si="1"/>
        <v>13.05732484</v>
      </c>
    </row>
    <row r="93" ht="22.5" customHeight="1">
      <c r="A93" s="3"/>
      <c r="B93" s="3"/>
      <c r="C93" s="4" t="s">
        <v>14</v>
      </c>
      <c r="D93" s="4">
        <v>13.92</v>
      </c>
      <c r="E93" s="4" t="s">
        <v>275</v>
      </c>
      <c r="F93" s="4">
        <v>42.0</v>
      </c>
      <c r="G93" s="17">
        <f t="shared" si="1"/>
        <v>13.05732484</v>
      </c>
    </row>
    <row r="94" ht="22.5" customHeight="1">
      <c r="A94" s="3"/>
      <c r="B94" s="3"/>
      <c r="C94" s="4" t="s">
        <v>14</v>
      </c>
      <c r="D94" s="4">
        <v>13.99</v>
      </c>
      <c r="E94" s="4" t="s">
        <v>276</v>
      </c>
      <c r="F94" s="4">
        <v>42.0</v>
      </c>
      <c r="G94" s="17">
        <f t="shared" si="1"/>
        <v>13.05732484</v>
      </c>
    </row>
    <row r="95" ht="22.5" customHeight="1">
      <c r="A95" s="3"/>
      <c r="B95" s="3"/>
      <c r="C95" s="4" t="s">
        <v>14</v>
      </c>
      <c r="D95" s="4">
        <v>13.92</v>
      </c>
      <c r="E95" s="4" t="s">
        <v>277</v>
      </c>
      <c r="F95" s="4">
        <v>42.0</v>
      </c>
      <c r="G95" s="17">
        <f t="shared" si="1"/>
        <v>13.05732484</v>
      </c>
    </row>
    <row r="96" ht="22.5" customHeight="1">
      <c r="A96" s="3"/>
      <c r="B96" s="3"/>
      <c r="C96" s="4" t="s">
        <v>14</v>
      </c>
      <c r="D96" s="4">
        <v>13.99</v>
      </c>
      <c r="E96" s="4" t="s">
        <v>278</v>
      </c>
      <c r="F96" s="4">
        <v>42.0</v>
      </c>
      <c r="G96" s="17">
        <f t="shared" si="1"/>
        <v>13.05732484</v>
      </c>
    </row>
    <row r="97" ht="22.5" customHeight="1">
      <c r="A97" s="3"/>
      <c r="B97" s="3"/>
      <c r="C97" s="4" t="s">
        <v>14</v>
      </c>
      <c r="D97" s="4">
        <v>14.03</v>
      </c>
      <c r="E97" s="4" t="s">
        <v>279</v>
      </c>
      <c r="F97" s="4">
        <v>42.0</v>
      </c>
      <c r="G97" s="17">
        <f t="shared" si="1"/>
        <v>13.05732484</v>
      </c>
    </row>
    <row r="98" ht="22.5" customHeight="1">
      <c r="A98" s="3"/>
      <c r="B98" s="3"/>
      <c r="C98" s="4" t="s">
        <v>14</v>
      </c>
      <c r="D98" s="4">
        <v>14.17</v>
      </c>
      <c r="E98" s="4" t="s">
        <v>280</v>
      </c>
      <c r="F98" s="4">
        <v>52.0</v>
      </c>
      <c r="G98" s="17">
        <f t="shared" si="1"/>
        <v>13.97058824</v>
      </c>
    </row>
    <row r="99" ht="22.5" customHeight="1">
      <c r="A99" s="3"/>
      <c r="B99" s="3"/>
      <c r="C99" s="4" t="s">
        <v>14</v>
      </c>
      <c r="D99" s="4">
        <v>14.39</v>
      </c>
      <c r="E99" s="4" t="s">
        <v>281</v>
      </c>
      <c r="F99" s="4">
        <v>52.0</v>
      </c>
      <c r="G99" s="17">
        <f t="shared" si="1"/>
        <v>13.97058824</v>
      </c>
    </row>
    <row r="100" ht="22.5" customHeight="1">
      <c r="A100" s="3"/>
      <c r="B100" s="3"/>
      <c r="C100" s="4" t="s">
        <v>14</v>
      </c>
      <c r="D100" s="4">
        <v>14.44</v>
      </c>
      <c r="E100" s="4" t="s">
        <v>282</v>
      </c>
      <c r="F100" s="4">
        <v>52.0</v>
      </c>
      <c r="G100" s="17">
        <f t="shared" si="1"/>
        <v>13.97058824</v>
      </c>
    </row>
    <row r="101" ht="22.5" customHeight="1">
      <c r="A101" s="3"/>
      <c r="B101" s="3"/>
      <c r="C101" s="4" t="s">
        <v>14</v>
      </c>
      <c r="D101" s="4">
        <v>14.54</v>
      </c>
      <c r="E101" s="4" t="s">
        <v>283</v>
      </c>
      <c r="F101" s="4">
        <v>52.0</v>
      </c>
      <c r="G101" s="17">
        <f t="shared" si="1"/>
        <v>13.97058824</v>
      </c>
    </row>
    <row r="102" ht="22.5" customHeight="1">
      <c r="A102" s="3"/>
      <c r="B102" s="3"/>
      <c r="C102" s="4" t="s">
        <v>14</v>
      </c>
      <c r="D102" s="4">
        <v>14.69</v>
      </c>
      <c r="E102" s="4" t="s">
        <v>284</v>
      </c>
      <c r="F102" s="4">
        <v>52.0</v>
      </c>
      <c r="G102" s="17">
        <f t="shared" si="1"/>
        <v>13.97058824</v>
      </c>
    </row>
    <row r="103" ht="22.5" customHeight="1">
      <c r="A103" s="3"/>
      <c r="B103" s="3"/>
      <c r="C103" s="4" t="s">
        <v>14</v>
      </c>
      <c r="D103" s="4">
        <v>14.35</v>
      </c>
      <c r="E103" s="4" t="s">
        <v>285</v>
      </c>
      <c r="F103" s="4">
        <v>52.0</v>
      </c>
      <c r="G103" s="17">
        <f t="shared" si="1"/>
        <v>13.97058824</v>
      </c>
    </row>
    <row r="104" ht="22.5" customHeight="1">
      <c r="A104" s="3"/>
      <c r="B104" s="3"/>
      <c r="C104" s="4" t="s">
        <v>14</v>
      </c>
      <c r="D104" s="4">
        <v>14.65</v>
      </c>
      <c r="E104" s="4" t="s">
        <v>286</v>
      </c>
      <c r="F104" s="4">
        <v>52.0</v>
      </c>
      <c r="G104" s="17">
        <f t="shared" si="1"/>
        <v>13.97058824</v>
      </c>
    </row>
    <row r="105" ht="22.5" customHeight="1">
      <c r="A105" s="3"/>
      <c r="B105" s="3"/>
      <c r="C105" s="4" t="s">
        <v>14</v>
      </c>
      <c r="D105" s="4">
        <v>14.54</v>
      </c>
      <c r="E105" s="4" t="s">
        <v>287</v>
      </c>
      <c r="F105" s="4">
        <v>52.0</v>
      </c>
      <c r="G105" s="17">
        <f t="shared" si="1"/>
        <v>13.97058824</v>
      </c>
    </row>
    <row r="106" ht="22.5" customHeight="1">
      <c r="A106" s="3"/>
      <c r="B106" s="3"/>
      <c r="C106" s="4" t="s">
        <v>14</v>
      </c>
      <c r="D106" s="4">
        <v>14.5</v>
      </c>
      <c r="E106" s="4" t="s">
        <v>288</v>
      </c>
      <c r="F106" s="4">
        <v>52.0</v>
      </c>
      <c r="G106" s="17">
        <f t="shared" si="1"/>
        <v>13.97058824</v>
      </c>
    </row>
    <row r="107" ht="22.5" customHeight="1">
      <c r="A107" s="3"/>
      <c r="B107" s="3"/>
      <c r="C107" s="4" t="s">
        <v>14</v>
      </c>
      <c r="D107" s="4">
        <v>14.65</v>
      </c>
      <c r="E107" s="4" t="s">
        <v>289</v>
      </c>
      <c r="F107" s="4">
        <v>52.0</v>
      </c>
      <c r="G107" s="17">
        <f t="shared" si="1"/>
        <v>13.97058824</v>
      </c>
    </row>
    <row r="108" ht="22.5" customHeight="1">
      <c r="A108" s="3"/>
      <c r="B108" s="3"/>
      <c r="C108" s="4" t="s">
        <v>14</v>
      </c>
      <c r="D108" s="4">
        <v>14.61</v>
      </c>
      <c r="E108" s="4" t="s">
        <v>290</v>
      </c>
      <c r="F108" s="4">
        <v>52.0</v>
      </c>
      <c r="G108" s="17">
        <f t="shared" si="1"/>
        <v>13.97058824</v>
      </c>
    </row>
    <row r="109" ht="22.5" customHeight="1">
      <c r="A109" s="3"/>
      <c r="B109" s="3"/>
      <c r="C109" s="4" t="s">
        <v>14</v>
      </c>
      <c r="D109" s="4">
        <v>14.75</v>
      </c>
      <c r="E109" s="4" t="s">
        <v>291</v>
      </c>
      <c r="F109" s="4">
        <v>52.0</v>
      </c>
      <c r="G109" s="17">
        <f t="shared" si="1"/>
        <v>13.97058824</v>
      </c>
    </row>
    <row r="110" ht="22.5" customHeight="1">
      <c r="A110" s="3"/>
      <c r="B110" s="3"/>
      <c r="C110" s="4" t="s">
        <v>14</v>
      </c>
      <c r="D110" s="4">
        <v>14.79</v>
      </c>
      <c r="E110" s="4" t="s">
        <v>292</v>
      </c>
      <c r="F110" s="4">
        <v>52.0</v>
      </c>
      <c r="G110" s="17">
        <f t="shared" si="1"/>
        <v>13.97058824</v>
      </c>
    </row>
    <row r="111" ht="22.5" customHeight="1">
      <c r="A111" s="3"/>
      <c r="B111" s="3"/>
      <c r="C111" s="4" t="s">
        <v>14</v>
      </c>
      <c r="D111" s="4">
        <v>14.75</v>
      </c>
      <c r="E111" s="4" t="s">
        <v>293</v>
      </c>
      <c r="F111" s="4">
        <v>52.0</v>
      </c>
      <c r="G111" s="17">
        <f t="shared" si="1"/>
        <v>13.97058824</v>
      </c>
    </row>
    <row r="112" ht="22.5" customHeight="1">
      <c r="A112" s="3"/>
      <c r="B112" s="3"/>
      <c r="C112" s="4" t="s">
        <v>14</v>
      </c>
      <c r="D112" s="4">
        <v>14.69</v>
      </c>
      <c r="E112" s="4" t="s">
        <v>294</v>
      </c>
      <c r="F112" s="4">
        <v>52.0</v>
      </c>
      <c r="G112" s="17">
        <f t="shared" si="1"/>
        <v>13.97058824</v>
      </c>
    </row>
    <row r="113" ht="22.5" customHeight="1">
      <c r="A113" s="3"/>
      <c r="B113" s="3"/>
      <c r="C113" s="4" t="s">
        <v>14</v>
      </c>
      <c r="D113" s="4">
        <v>14.65</v>
      </c>
      <c r="E113" s="4" t="s">
        <v>295</v>
      </c>
      <c r="F113" s="4">
        <v>52.0</v>
      </c>
      <c r="G113" s="17">
        <f t="shared" si="1"/>
        <v>13.97058824</v>
      </c>
    </row>
    <row r="114" ht="22.5" customHeight="1">
      <c r="A114" s="3"/>
      <c r="B114" s="3"/>
      <c r="C114" s="4" t="s">
        <v>14</v>
      </c>
      <c r="D114" s="4">
        <v>15.04</v>
      </c>
      <c r="E114" s="4" t="s">
        <v>296</v>
      </c>
      <c r="F114" s="4">
        <v>52.0</v>
      </c>
      <c r="G114" s="17">
        <f t="shared" si="1"/>
        <v>13.97058824</v>
      </c>
    </row>
    <row r="115" ht="22.5" customHeight="1">
      <c r="A115" s="3"/>
      <c r="B115" s="3"/>
      <c r="C115" s="4" t="s">
        <v>14</v>
      </c>
      <c r="D115" s="4">
        <v>14.69</v>
      </c>
      <c r="E115" s="4" t="s">
        <v>297</v>
      </c>
      <c r="F115" s="4">
        <v>52.0</v>
      </c>
      <c r="G115" s="17">
        <f t="shared" si="1"/>
        <v>13.97058824</v>
      </c>
    </row>
    <row r="116" ht="22.5" customHeight="1">
      <c r="A116" s="3"/>
      <c r="B116" s="3"/>
      <c r="C116" s="4" t="s">
        <v>14</v>
      </c>
      <c r="D116" s="4">
        <v>14.79</v>
      </c>
      <c r="E116" s="4" t="s">
        <v>298</v>
      </c>
      <c r="F116" s="4">
        <v>52.0</v>
      </c>
      <c r="G116" s="17">
        <f t="shared" si="1"/>
        <v>13.97058824</v>
      </c>
    </row>
    <row r="117" ht="22.5" customHeight="1">
      <c r="A117" s="3"/>
      <c r="B117" s="3"/>
      <c r="C117" s="4" t="s">
        <v>14</v>
      </c>
      <c r="D117" s="4">
        <v>14.95</v>
      </c>
      <c r="E117" s="4" t="s">
        <v>299</v>
      </c>
      <c r="F117" s="4">
        <v>52.0</v>
      </c>
      <c r="G117" s="17">
        <f t="shared" si="1"/>
        <v>13.97058824</v>
      </c>
    </row>
    <row r="118" ht="22.5" customHeight="1">
      <c r="A118" s="3"/>
      <c r="B118" s="3"/>
      <c r="C118" s="4" t="s">
        <v>14</v>
      </c>
      <c r="D118" s="4">
        <v>14.69</v>
      </c>
      <c r="E118" s="4" t="s">
        <v>300</v>
      </c>
      <c r="F118" s="4">
        <v>52.0</v>
      </c>
      <c r="G118" s="17">
        <f t="shared" si="1"/>
        <v>13.97058824</v>
      </c>
    </row>
    <row r="119" ht="22.5" customHeight="1">
      <c r="A119" s="3"/>
      <c r="B119" s="3"/>
      <c r="C119" s="4" t="s">
        <v>14</v>
      </c>
      <c r="D119" s="4">
        <v>14.95</v>
      </c>
      <c r="E119" s="4" t="s">
        <v>301</v>
      </c>
      <c r="F119" s="4">
        <v>52.0</v>
      </c>
      <c r="G119" s="17">
        <f t="shared" si="1"/>
        <v>13.97058824</v>
      </c>
    </row>
    <row r="120" ht="22.5" customHeight="1">
      <c r="A120" s="3"/>
      <c r="B120" s="3"/>
      <c r="C120" s="4" t="s">
        <v>14</v>
      </c>
      <c r="D120" s="4">
        <v>15.04</v>
      </c>
      <c r="E120" s="4" t="s">
        <v>302</v>
      </c>
      <c r="F120" s="4">
        <v>52.0</v>
      </c>
      <c r="G120" s="17">
        <f t="shared" si="1"/>
        <v>13.97058824</v>
      </c>
    </row>
    <row r="121" ht="22.5" customHeight="1">
      <c r="A121" s="3"/>
      <c r="B121" s="3"/>
      <c r="C121" s="4" t="s">
        <v>14</v>
      </c>
      <c r="D121" s="4">
        <v>15.21</v>
      </c>
      <c r="E121" s="4" t="s">
        <v>303</v>
      </c>
      <c r="F121" s="4">
        <v>52.0</v>
      </c>
      <c r="G121" s="17">
        <f t="shared" si="1"/>
        <v>13.97058824</v>
      </c>
    </row>
    <row r="122" ht="22.5" customHeight="1">
      <c r="A122" s="3"/>
      <c r="B122" s="3"/>
      <c r="C122" s="4" t="s">
        <v>14</v>
      </c>
      <c r="D122" s="4">
        <v>14.75</v>
      </c>
      <c r="E122" s="4" t="s">
        <v>304</v>
      </c>
      <c r="F122" s="4">
        <v>66.0</v>
      </c>
      <c r="G122" s="17">
        <f t="shared" si="1"/>
        <v>15.2173913</v>
      </c>
    </row>
    <row r="123" ht="22.5" customHeight="1">
      <c r="A123" s="3"/>
      <c r="B123" s="3"/>
      <c r="C123" s="4" t="s">
        <v>14</v>
      </c>
      <c r="D123" s="4">
        <v>15.25</v>
      </c>
      <c r="E123" s="4" t="s">
        <v>305</v>
      </c>
      <c r="F123" s="4">
        <v>66.0</v>
      </c>
      <c r="G123" s="17">
        <f t="shared" si="1"/>
        <v>15.2173913</v>
      </c>
    </row>
    <row r="124" ht="22.5" customHeight="1">
      <c r="A124" s="3"/>
      <c r="B124" s="3"/>
      <c r="C124" s="4" t="s">
        <v>14</v>
      </c>
      <c r="D124" s="4">
        <v>15.29</v>
      </c>
      <c r="E124" s="4" t="s">
        <v>306</v>
      </c>
      <c r="F124" s="4">
        <v>66.0</v>
      </c>
      <c r="G124" s="17">
        <f t="shared" si="1"/>
        <v>15.2173913</v>
      </c>
    </row>
    <row r="125" ht="22.5" customHeight="1">
      <c r="A125" s="3"/>
      <c r="B125" s="3"/>
      <c r="C125" s="4" t="s">
        <v>14</v>
      </c>
      <c r="D125" s="4">
        <v>15.71</v>
      </c>
      <c r="E125" s="4" t="s">
        <v>307</v>
      </c>
      <c r="F125" s="4">
        <v>66.0</v>
      </c>
      <c r="G125" s="17">
        <f t="shared" si="1"/>
        <v>15.2173913</v>
      </c>
    </row>
    <row r="126" ht="22.5" customHeight="1">
      <c r="A126" s="3"/>
      <c r="B126" s="3"/>
      <c r="C126" s="4" t="s">
        <v>14</v>
      </c>
      <c r="D126" s="4">
        <v>15.87</v>
      </c>
      <c r="E126" s="4" t="s">
        <v>308</v>
      </c>
      <c r="F126" s="4">
        <v>66.0</v>
      </c>
      <c r="G126" s="17">
        <f t="shared" si="1"/>
        <v>15.2173913</v>
      </c>
    </row>
    <row r="127" ht="22.5" customHeight="1">
      <c r="A127" s="3"/>
      <c r="B127" s="3"/>
      <c r="C127" s="4" t="s">
        <v>14</v>
      </c>
      <c r="D127" s="4">
        <v>16.24</v>
      </c>
      <c r="E127" s="4" t="s">
        <v>309</v>
      </c>
      <c r="F127" s="4">
        <v>66.0</v>
      </c>
      <c r="G127" s="17">
        <f t="shared" si="1"/>
        <v>15.2173913</v>
      </c>
    </row>
    <row r="128" ht="22.5" customHeight="1">
      <c r="A128" s="3"/>
      <c r="B128" s="3"/>
      <c r="C128" s="4" t="s">
        <v>14</v>
      </c>
      <c r="D128" s="4">
        <v>16.44</v>
      </c>
      <c r="E128" s="4" t="s">
        <v>310</v>
      </c>
      <c r="F128" s="4">
        <v>66.0</v>
      </c>
      <c r="G128" s="17">
        <f t="shared" si="1"/>
        <v>15.2173913</v>
      </c>
    </row>
    <row r="129" ht="22.5" customHeight="1">
      <c r="A129" s="3"/>
      <c r="B129" s="3"/>
      <c r="C129" s="4" t="s">
        <v>14</v>
      </c>
      <c r="D129" s="4">
        <v>16.49</v>
      </c>
      <c r="E129" s="4" t="s">
        <v>311</v>
      </c>
      <c r="F129" s="4">
        <v>66.0</v>
      </c>
      <c r="G129" s="17">
        <f t="shared" si="1"/>
        <v>15.2173913</v>
      </c>
    </row>
    <row r="130" ht="22.5" customHeight="1">
      <c r="A130" s="3"/>
      <c r="B130" s="3"/>
      <c r="C130" s="4" t="s">
        <v>14</v>
      </c>
      <c r="D130" s="4">
        <v>16.59</v>
      </c>
      <c r="E130" s="4" t="s">
        <v>312</v>
      </c>
      <c r="F130" s="4">
        <v>66.0</v>
      </c>
      <c r="G130" s="17">
        <f t="shared" si="1"/>
        <v>15.2173913</v>
      </c>
    </row>
    <row r="131" ht="22.5" customHeight="1">
      <c r="A131" s="3"/>
      <c r="B131" s="3"/>
      <c r="C131" s="4" t="s">
        <v>14</v>
      </c>
      <c r="D131" s="4">
        <v>16.69</v>
      </c>
      <c r="E131" s="4" t="s">
        <v>313</v>
      </c>
      <c r="F131" s="4">
        <v>66.0</v>
      </c>
      <c r="G131" s="17">
        <f t="shared" si="1"/>
        <v>15.2173913</v>
      </c>
    </row>
    <row r="132" ht="22.5" customHeight="1">
      <c r="A132" s="3"/>
      <c r="B132" s="3"/>
      <c r="C132" s="4" t="s">
        <v>14</v>
      </c>
      <c r="D132" s="4">
        <v>15.67</v>
      </c>
      <c r="E132" s="4" t="s">
        <v>314</v>
      </c>
      <c r="F132" s="4">
        <v>66.0</v>
      </c>
      <c r="G132" s="17">
        <f t="shared" si="1"/>
        <v>15.2173913</v>
      </c>
    </row>
    <row r="133" ht="22.5" customHeight="1">
      <c r="A133" s="3"/>
      <c r="B133" s="3"/>
      <c r="C133" s="4" t="s">
        <v>14</v>
      </c>
      <c r="D133" s="4">
        <v>15.71</v>
      </c>
      <c r="E133" s="4" t="s">
        <v>315</v>
      </c>
      <c r="F133" s="4">
        <v>66.0</v>
      </c>
      <c r="G133" s="17">
        <f t="shared" si="1"/>
        <v>15.2173913</v>
      </c>
    </row>
    <row r="134" ht="22.5" customHeight="1">
      <c r="A134" s="3"/>
      <c r="B134" s="3"/>
      <c r="C134" s="4" t="s">
        <v>14</v>
      </c>
      <c r="D134" s="4">
        <v>15.92</v>
      </c>
      <c r="E134" s="4" t="s">
        <v>65</v>
      </c>
      <c r="F134" s="4">
        <v>66.0</v>
      </c>
      <c r="G134" s="17">
        <f t="shared" si="1"/>
        <v>15.2173913</v>
      </c>
    </row>
    <row r="135" ht="22.5" customHeight="1">
      <c r="A135" s="3"/>
      <c r="B135" s="3"/>
      <c r="C135" s="4" t="s">
        <v>14</v>
      </c>
      <c r="D135" s="4">
        <v>15.58</v>
      </c>
      <c r="E135" s="4" t="s">
        <v>68</v>
      </c>
      <c r="F135" s="4">
        <v>66.0</v>
      </c>
      <c r="G135" s="17">
        <f t="shared" si="1"/>
        <v>15.2173913</v>
      </c>
    </row>
    <row r="136" ht="22.5" customHeight="1">
      <c r="A136" s="3"/>
      <c r="B136" s="3"/>
      <c r="C136" s="4" t="s">
        <v>14</v>
      </c>
      <c r="D136" s="4">
        <v>15.62</v>
      </c>
      <c r="E136" s="4" t="s">
        <v>70</v>
      </c>
      <c r="F136" s="4">
        <v>66.0</v>
      </c>
      <c r="G136" s="17">
        <f t="shared" si="1"/>
        <v>15.2173913</v>
      </c>
    </row>
    <row r="137" ht="22.5" customHeight="1">
      <c r="A137" s="3"/>
      <c r="B137" s="3"/>
      <c r="C137" s="4" t="s">
        <v>14</v>
      </c>
      <c r="D137" s="4">
        <v>15.67</v>
      </c>
      <c r="E137" s="4" t="s">
        <v>72</v>
      </c>
      <c r="F137" s="4">
        <v>66.0</v>
      </c>
      <c r="G137" s="17">
        <f t="shared" si="1"/>
        <v>15.2173913</v>
      </c>
    </row>
    <row r="138" ht="22.5" customHeight="1">
      <c r="A138" s="3"/>
      <c r="B138" s="3"/>
      <c r="C138" s="4" t="s">
        <v>14</v>
      </c>
      <c r="D138" s="4">
        <v>15.62</v>
      </c>
      <c r="E138" s="4" t="s">
        <v>73</v>
      </c>
      <c r="F138" s="4">
        <v>66.0</v>
      </c>
      <c r="G138" s="17">
        <f t="shared" si="1"/>
        <v>15.2173913</v>
      </c>
    </row>
    <row r="139" ht="22.5" customHeight="1">
      <c r="A139" s="3"/>
      <c r="B139" s="3"/>
      <c r="C139" s="4" t="s">
        <v>14</v>
      </c>
      <c r="D139" s="4">
        <v>15.67</v>
      </c>
      <c r="E139" s="4" t="s">
        <v>75</v>
      </c>
      <c r="F139" s="4">
        <v>66.0</v>
      </c>
      <c r="G139" s="17">
        <f t="shared" si="1"/>
        <v>15.2173913</v>
      </c>
    </row>
    <row r="140" ht="22.5" customHeight="1">
      <c r="A140" s="3"/>
      <c r="B140" s="3"/>
      <c r="C140" s="4" t="s">
        <v>14</v>
      </c>
      <c r="D140" s="4">
        <v>15.71</v>
      </c>
      <c r="E140" s="4" t="s">
        <v>76</v>
      </c>
      <c r="F140" s="4">
        <v>66.0</v>
      </c>
      <c r="G140" s="17">
        <f t="shared" si="1"/>
        <v>15.2173913</v>
      </c>
    </row>
    <row r="141" ht="22.5" customHeight="1">
      <c r="A141" s="3"/>
      <c r="B141" s="3"/>
      <c r="C141" s="4" t="s">
        <v>14</v>
      </c>
      <c r="D141" s="4">
        <v>15.67</v>
      </c>
      <c r="E141" s="4" t="s">
        <v>77</v>
      </c>
      <c r="F141" s="4">
        <v>66.0</v>
      </c>
      <c r="G141" s="17">
        <f t="shared" si="1"/>
        <v>15.2173913</v>
      </c>
    </row>
    <row r="142" ht="22.5" customHeight="1">
      <c r="A142" s="3"/>
      <c r="B142" s="3"/>
      <c r="C142" s="4" t="s">
        <v>14</v>
      </c>
      <c r="D142" s="4">
        <v>15.71</v>
      </c>
      <c r="E142" s="4" t="s">
        <v>78</v>
      </c>
      <c r="F142" s="4">
        <v>66.0</v>
      </c>
      <c r="G142" s="17">
        <f t="shared" si="1"/>
        <v>15.2173913</v>
      </c>
    </row>
    <row r="143" ht="22.5" customHeight="1">
      <c r="A143" s="3"/>
      <c r="B143" s="3"/>
      <c r="C143" s="4" t="s">
        <v>14</v>
      </c>
      <c r="D143" s="4">
        <v>15.67</v>
      </c>
      <c r="E143" s="4" t="s">
        <v>82</v>
      </c>
      <c r="F143" s="4">
        <v>66.0</v>
      </c>
      <c r="G143" s="17">
        <f t="shared" si="1"/>
        <v>15.2173913</v>
      </c>
    </row>
    <row r="144" ht="22.5" customHeight="1">
      <c r="A144" s="3"/>
      <c r="B144" s="3"/>
      <c r="C144" s="4" t="s">
        <v>14</v>
      </c>
      <c r="D144" s="4">
        <v>15.71</v>
      </c>
      <c r="E144" s="4" t="s">
        <v>83</v>
      </c>
      <c r="F144" s="4">
        <v>66.0</v>
      </c>
      <c r="G144" s="17">
        <f t="shared" si="1"/>
        <v>15.2173913</v>
      </c>
    </row>
    <row r="145" ht="22.5" customHeight="1">
      <c r="A145" s="3"/>
      <c r="B145" s="3"/>
      <c r="C145" s="4" t="s">
        <v>14</v>
      </c>
      <c r="D145" s="4">
        <v>15.46</v>
      </c>
      <c r="E145" s="4" t="s">
        <v>84</v>
      </c>
      <c r="F145" s="4">
        <v>66.0</v>
      </c>
      <c r="G145" s="17">
        <f t="shared" si="1"/>
        <v>15.2173913</v>
      </c>
    </row>
    <row r="146" ht="22.5" customHeight="1">
      <c r="A146" s="3"/>
      <c r="B146" s="3"/>
      <c r="C146" s="4" t="s">
        <v>14</v>
      </c>
      <c r="D146" s="4">
        <v>15.58</v>
      </c>
      <c r="E146" s="4" t="s">
        <v>85</v>
      </c>
      <c r="F146" s="4">
        <v>66.0</v>
      </c>
      <c r="G146" s="17">
        <f t="shared" si="1"/>
        <v>15.2173913</v>
      </c>
    </row>
    <row r="147" ht="22.5" customHeight="1">
      <c r="A147" s="3"/>
      <c r="B147" s="3"/>
      <c r="C147" s="4" t="s">
        <v>14</v>
      </c>
      <c r="D147" s="4">
        <v>15.62</v>
      </c>
      <c r="E147" s="4" t="s">
        <v>87</v>
      </c>
      <c r="F147" s="4">
        <v>66.0</v>
      </c>
      <c r="G147" s="17">
        <f t="shared" si="1"/>
        <v>15.2173913</v>
      </c>
    </row>
    <row r="148" ht="22.5" customHeight="1">
      <c r="A148" s="3"/>
      <c r="B148" s="3"/>
      <c r="C148" s="4" t="s">
        <v>14</v>
      </c>
      <c r="D148" s="4">
        <v>15.67</v>
      </c>
      <c r="E148" s="4" t="s">
        <v>91</v>
      </c>
      <c r="F148" s="4">
        <v>66.0</v>
      </c>
      <c r="G148" s="17">
        <f t="shared" si="1"/>
        <v>15.2173913</v>
      </c>
    </row>
    <row r="149" ht="22.5" customHeight="1">
      <c r="A149" s="3"/>
      <c r="B149" s="3"/>
      <c r="C149" s="4" t="s">
        <v>14</v>
      </c>
      <c r="D149" s="4">
        <v>15.62</v>
      </c>
      <c r="E149" s="4" t="s">
        <v>92</v>
      </c>
      <c r="F149" s="4">
        <v>66.0</v>
      </c>
      <c r="G149" s="17">
        <f t="shared" si="1"/>
        <v>15.2173913</v>
      </c>
    </row>
    <row r="150" ht="22.5" customHeight="1">
      <c r="A150" s="3"/>
      <c r="B150" s="3"/>
      <c r="C150" s="4" t="s">
        <v>14</v>
      </c>
      <c r="D150" s="4">
        <v>15.67</v>
      </c>
      <c r="E150" s="4" t="s">
        <v>93</v>
      </c>
      <c r="F150" s="4">
        <v>66.0</v>
      </c>
      <c r="G150" s="17">
        <f t="shared" si="1"/>
        <v>15.2173913</v>
      </c>
    </row>
    <row r="151" ht="22.5" customHeight="1">
      <c r="A151" s="3"/>
      <c r="B151" s="3"/>
      <c r="C151" s="4" t="s">
        <v>14</v>
      </c>
      <c r="D151" s="4">
        <v>15.71</v>
      </c>
      <c r="E151" s="4" t="s">
        <v>99</v>
      </c>
      <c r="F151" s="4">
        <v>66.0</v>
      </c>
      <c r="G151" s="17">
        <f t="shared" si="1"/>
        <v>15.2173913</v>
      </c>
    </row>
    <row r="152" ht="22.5" customHeight="1">
      <c r="A152" s="3"/>
      <c r="B152" s="3"/>
      <c r="C152" s="4" t="s">
        <v>14</v>
      </c>
      <c r="D152" s="4">
        <v>15.67</v>
      </c>
      <c r="E152" s="4" t="s">
        <v>101</v>
      </c>
      <c r="F152" s="4">
        <v>66.0</v>
      </c>
      <c r="G152" s="17">
        <f t="shared" si="1"/>
        <v>15.2173913</v>
      </c>
    </row>
    <row r="153" ht="22.5" customHeight="1">
      <c r="A153" s="3"/>
      <c r="B153" s="3"/>
      <c r="C153" s="4" t="s">
        <v>14</v>
      </c>
      <c r="D153" s="4">
        <v>15.71</v>
      </c>
      <c r="E153" s="4" t="s">
        <v>102</v>
      </c>
      <c r="F153" s="4">
        <v>66.0</v>
      </c>
      <c r="G153" s="17">
        <f t="shared" si="1"/>
        <v>15.2173913</v>
      </c>
    </row>
    <row r="154" ht="22.5" customHeight="1">
      <c r="A154" s="3"/>
      <c r="B154" s="3"/>
      <c r="C154" s="4" t="s">
        <v>14</v>
      </c>
      <c r="D154" s="4">
        <v>15.75</v>
      </c>
      <c r="E154" s="4" t="s">
        <v>316</v>
      </c>
      <c r="F154" s="4">
        <v>66.0</v>
      </c>
      <c r="G154" s="17">
        <f t="shared" si="1"/>
        <v>15.2173913</v>
      </c>
    </row>
    <row r="155" ht="22.5" customHeight="1">
      <c r="A155" s="3"/>
      <c r="B155" s="3"/>
      <c r="C155" s="4" t="s">
        <v>14</v>
      </c>
      <c r="D155" s="4">
        <v>15.71</v>
      </c>
      <c r="E155" s="4" t="s">
        <v>150</v>
      </c>
      <c r="F155" s="4">
        <v>66.0</v>
      </c>
      <c r="G155" s="17">
        <f t="shared" si="1"/>
        <v>15.2173913</v>
      </c>
    </row>
    <row r="156" ht="22.5" customHeight="1">
      <c r="A156" s="3"/>
      <c r="B156" s="3"/>
      <c r="C156" s="4" t="s">
        <v>14</v>
      </c>
      <c r="D156" s="4">
        <v>15.75</v>
      </c>
      <c r="E156" s="4" t="s">
        <v>152</v>
      </c>
      <c r="F156" s="4">
        <v>66.0</v>
      </c>
      <c r="G156" s="17">
        <f t="shared" si="1"/>
        <v>15.2173913</v>
      </c>
    </row>
    <row r="157" ht="22.5" customHeight="1">
      <c r="A157" s="3"/>
      <c r="B157" s="3"/>
      <c r="C157" s="4" t="s">
        <v>14</v>
      </c>
      <c r="D157" s="4">
        <v>15.92</v>
      </c>
      <c r="E157" s="4" t="s">
        <v>155</v>
      </c>
      <c r="F157" s="4">
        <v>66.0</v>
      </c>
      <c r="G157" s="17">
        <f t="shared" si="1"/>
        <v>15.2173913</v>
      </c>
    </row>
    <row r="158" ht="22.5" customHeight="1">
      <c r="A158" s="3"/>
      <c r="B158" s="3"/>
      <c r="C158" s="4" t="s">
        <v>14</v>
      </c>
      <c r="D158" s="4">
        <v>15.75</v>
      </c>
      <c r="E158" s="4" t="s">
        <v>156</v>
      </c>
      <c r="F158" s="4">
        <v>66.0</v>
      </c>
      <c r="G158" s="17">
        <f t="shared" si="1"/>
        <v>15.2173913</v>
      </c>
    </row>
    <row r="159" ht="22.5" customHeight="1">
      <c r="A159" s="3"/>
      <c r="B159" s="3"/>
      <c r="C159" s="4" t="s">
        <v>14</v>
      </c>
      <c r="D159" s="4">
        <v>15.83</v>
      </c>
      <c r="E159" s="4" t="s">
        <v>317</v>
      </c>
      <c r="F159" s="4">
        <v>66.0</v>
      </c>
      <c r="G159" s="17">
        <f t="shared" si="1"/>
        <v>15.2173913</v>
      </c>
    </row>
    <row r="160" ht="22.5" customHeight="1">
      <c r="A160" s="3"/>
      <c r="B160" s="3"/>
      <c r="C160" s="4" t="s">
        <v>14</v>
      </c>
      <c r="D160" s="4">
        <v>15.75</v>
      </c>
      <c r="E160" s="4" t="s">
        <v>318</v>
      </c>
      <c r="F160" s="4">
        <v>66.0</v>
      </c>
      <c r="G160" s="17">
        <f t="shared" si="1"/>
        <v>15.2173913</v>
      </c>
    </row>
    <row r="161" ht="22.5" customHeight="1">
      <c r="A161" s="3"/>
      <c r="B161" s="3"/>
      <c r="C161" s="4" t="s">
        <v>14</v>
      </c>
      <c r="D161" s="4">
        <v>15.71</v>
      </c>
      <c r="E161" s="4" t="s">
        <v>161</v>
      </c>
      <c r="F161" s="4">
        <v>66.0</v>
      </c>
      <c r="G161" s="17">
        <f t="shared" si="1"/>
        <v>15.2173913</v>
      </c>
    </row>
    <row r="162" ht="22.5" customHeight="1">
      <c r="A162" s="3"/>
      <c r="B162" s="3"/>
      <c r="C162" s="4" t="s">
        <v>14</v>
      </c>
      <c r="D162" s="4">
        <v>15.83</v>
      </c>
      <c r="E162" s="4" t="s">
        <v>162</v>
      </c>
      <c r="F162" s="4">
        <v>66.0</v>
      </c>
      <c r="G162" s="17">
        <f t="shared" si="1"/>
        <v>15.2173913</v>
      </c>
    </row>
    <row r="163" ht="22.5" customHeight="1">
      <c r="A163" s="3"/>
      <c r="B163" s="3"/>
      <c r="C163" s="4" t="s">
        <v>14</v>
      </c>
      <c r="D163" s="4">
        <v>15.75</v>
      </c>
      <c r="E163" s="4" t="s">
        <v>165</v>
      </c>
      <c r="F163" s="4">
        <v>66.0</v>
      </c>
      <c r="G163" s="17">
        <f t="shared" si="1"/>
        <v>15.2173913</v>
      </c>
    </row>
    <row r="164" ht="22.5" customHeight="1">
      <c r="A164" s="3"/>
      <c r="B164" s="3"/>
      <c r="C164" s="4" t="s">
        <v>14</v>
      </c>
      <c r="D164" s="4">
        <v>15.83</v>
      </c>
      <c r="E164" s="4" t="s">
        <v>166</v>
      </c>
      <c r="F164" s="4">
        <v>66.0</v>
      </c>
      <c r="G164" s="17">
        <f t="shared" si="1"/>
        <v>15.2173913</v>
      </c>
    </row>
    <row r="165" ht="22.5" customHeight="1">
      <c r="A165" s="3"/>
      <c r="B165" s="3"/>
      <c r="C165" s="4" t="s">
        <v>14</v>
      </c>
      <c r="D165" s="4">
        <v>15.87</v>
      </c>
      <c r="E165" s="4" t="s">
        <v>172</v>
      </c>
      <c r="F165" s="4">
        <v>66.0</v>
      </c>
      <c r="G165" s="17">
        <f t="shared" si="1"/>
        <v>15.2173913</v>
      </c>
    </row>
    <row r="166" ht="22.5" customHeight="1">
      <c r="A166" s="3"/>
      <c r="B166" s="3"/>
      <c r="C166" s="4" t="s">
        <v>14</v>
      </c>
      <c r="D166" s="4">
        <v>15.83</v>
      </c>
      <c r="E166" s="4" t="s">
        <v>319</v>
      </c>
      <c r="F166" s="4">
        <v>66.0</v>
      </c>
      <c r="G166" s="17">
        <f t="shared" si="1"/>
        <v>15.2173913</v>
      </c>
    </row>
    <row r="167" ht="22.5" customHeight="1">
      <c r="A167" s="3"/>
      <c r="B167" s="3"/>
      <c r="C167" s="4" t="s">
        <v>14</v>
      </c>
      <c r="D167" s="4">
        <v>15.87</v>
      </c>
      <c r="E167" s="4" t="s">
        <v>174</v>
      </c>
      <c r="F167" s="4">
        <v>66.0</v>
      </c>
      <c r="G167" s="17">
        <f t="shared" si="1"/>
        <v>15.2173913</v>
      </c>
    </row>
    <row r="168" ht="22.5" customHeight="1">
      <c r="A168" s="3"/>
      <c r="B168" s="3"/>
      <c r="C168" s="4" t="s">
        <v>14</v>
      </c>
      <c r="D168" s="4">
        <v>15.83</v>
      </c>
      <c r="E168" s="4" t="s">
        <v>320</v>
      </c>
      <c r="F168" s="4">
        <v>66.0</v>
      </c>
      <c r="G168" s="17">
        <f t="shared" si="1"/>
        <v>15.2173913</v>
      </c>
    </row>
    <row r="169" ht="22.5" customHeight="1">
      <c r="A169" s="3"/>
      <c r="B169" s="3"/>
      <c r="C169" s="4" t="s">
        <v>14</v>
      </c>
      <c r="D169" s="4">
        <v>15.87</v>
      </c>
      <c r="E169" s="4" t="s">
        <v>178</v>
      </c>
      <c r="F169" s="4">
        <v>66.0</v>
      </c>
      <c r="G169" s="17">
        <f t="shared" si="1"/>
        <v>15.2173913</v>
      </c>
    </row>
    <row r="170" ht="22.5" customHeight="1">
      <c r="A170" s="3"/>
      <c r="B170" s="3"/>
      <c r="C170" s="4" t="s">
        <v>14</v>
      </c>
      <c r="D170" s="4">
        <v>15.92</v>
      </c>
      <c r="E170" s="4" t="s">
        <v>321</v>
      </c>
      <c r="F170" s="4">
        <v>66.0</v>
      </c>
      <c r="G170" s="17">
        <f t="shared" si="1"/>
        <v>15.2173913</v>
      </c>
    </row>
    <row r="171">
      <c r="A171" s="3"/>
      <c r="B171" s="3"/>
    </row>
    <row r="172">
      <c r="A172" s="3"/>
      <c r="B172" s="3"/>
    </row>
    <row r="173">
      <c r="A173" s="3"/>
      <c r="B173" s="3"/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">
      <c r="B2" s="7" t="s">
        <v>184</v>
      </c>
      <c r="C2" s="7" t="s">
        <v>322</v>
      </c>
      <c r="D2" s="7" t="s">
        <v>323</v>
      </c>
      <c r="E2" s="7" t="s">
        <v>324</v>
      </c>
    </row>
    <row r="3">
      <c r="B3" s="7">
        <v>0.0</v>
      </c>
      <c r="C3" s="7">
        <v>9.74875</v>
      </c>
      <c r="D3" s="7">
        <v>9.97</v>
      </c>
      <c r="E3" s="7">
        <v>9.76</v>
      </c>
    </row>
    <row r="4">
      <c r="B4" s="7">
        <v>11.0</v>
      </c>
      <c r="C4" s="7">
        <v>10.13</v>
      </c>
      <c r="D4" s="7">
        <v>10.3</v>
      </c>
      <c r="E4" s="7">
        <v>10.13</v>
      </c>
    </row>
    <row r="5">
      <c r="B5" s="7">
        <v>22.0</v>
      </c>
      <c r="C5" s="7">
        <v>10.580500000000002</v>
      </c>
      <c r="D5" s="7">
        <v>11.06</v>
      </c>
      <c r="E5" s="7">
        <v>10.54</v>
      </c>
    </row>
    <row r="6">
      <c r="B6" s="7">
        <v>32.0</v>
      </c>
      <c r="C6" s="7">
        <v>11.87388888888889</v>
      </c>
      <c r="D6" s="7">
        <v>12.28</v>
      </c>
      <c r="E6" s="7">
        <v>11.93</v>
      </c>
    </row>
    <row r="7">
      <c r="B7" s="7">
        <v>42.0</v>
      </c>
      <c r="C7" s="7">
        <v>13.384642857142856</v>
      </c>
      <c r="D7" s="7">
        <v>14.03</v>
      </c>
      <c r="E7" s="7">
        <v>13.535</v>
      </c>
    </row>
    <row r="8">
      <c r="B8" s="7">
        <v>52.0</v>
      </c>
      <c r="C8" s="7">
        <v>14.688333333333334</v>
      </c>
      <c r="D8" s="7">
        <v>15.21</v>
      </c>
      <c r="E8" s="7">
        <v>14.69</v>
      </c>
    </row>
    <row r="9">
      <c r="B9" s="7">
        <v>66.0</v>
      </c>
      <c r="C9" s="7">
        <v>15.770000000000003</v>
      </c>
      <c r="D9" s="7">
        <v>16.69</v>
      </c>
      <c r="E9" s="7">
        <v>15.71</v>
      </c>
    </row>
    <row r="10">
      <c r="B10" s="7" t="s">
        <v>325</v>
      </c>
      <c r="C10" s="7">
        <v>13.191017964071857</v>
      </c>
      <c r="D10" s="7">
        <v>16.69</v>
      </c>
      <c r="E10" s="7">
        <v>13.66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">
      <c r="B2" s="7" t="s">
        <v>185</v>
      </c>
      <c r="C2" s="7" t="s">
        <v>322</v>
      </c>
      <c r="D2" s="7" t="s">
        <v>323</v>
      </c>
      <c r="E2" s="7" t="s">
        <v>324</v>
      </c>
    </row>
    <row r="3">
      <c r="B3" s="7">
        <v>9.0</v>
      </c>
      <c r="C3" s="7">
        <v>9.74875</v>
      </c>
      <c r="D3" s="7">
        <v>9.97</v>
      </c>
      <c r="E3" s="7">
        <v>9.76</v>
      </c>
    </row>
    <row r="4">
      <c r="B4" s="7">
        <v>10.098792535675083</v>
      </c>
      <c r="C4" s="7">
        <v>10.13</v>
      </c>
      <c r="D4" s="7">
        <v>10.3</v>
      </c>
      <c r="E4" s="7">
        <v>10.13</v>
      </c>
    </row>
    <row r="5">
      <c r="B5" s="7">
        <v>11.171366594360087</v>
      </c>
      <c r="C5" s="7">
        <v>10.580500000000002</v>
      </c>
      <c r="D5" s="7">
        <v>11.06</v>
      </c>
      <c r="E5" s="7">
        <v>10.54</v>
      </c>
    </row>
    <row r="6">
      <c r="B6" s="7">
        <v>12.124463519313304</v>
      </c>
      <c r="C6" s="7">
        <v>11.87388888888889</v>
      </c>
      <c r="D6" s="7">
        <v>12.28</v>
      </c>
      <c r="E6" s="7">
        <v>11.93</v>
      </c>
    </row>
    <row r="7">
      <c r="B7" s="7">
        <v>13.05732484076433</v>
      </c>
      <c r="C7" s="7">
        <v>13.384642857142856</v>
      </c>
      <c r="D7" s="7">
        <v>14.03</v>
      </c>
      <c r="E7" s="7">
        <v>13.535</v>
      </c>
    </row>
    <row r="8">
      <c r="B8" s="7">
        <v>13.970588235294118</v>
      </c>
      <c r="C8" s="7">
        <v>14.688333333333334</v>
      </c>
      <c r="D8" s="7">
        <v>15.21</v>
      </c>
      <c r="E8" s="7">
        <v>14.69</v>
      </c>
    </row>
    <row r="9">
      <c r="B9" s="7">
        <v>15.217391304347828</v>
      </c>
      <c r="C9" s="7">
        <v>15.770000000000003</v>
      </c>
      <c r="D9" s="7">
        <v>16.69</v>
      </c>
      <c r="E9" s="7">
        <v>15.71</v>
      </c>
    </row>
    <row r="10">
      <c r="B10" s="7" t="s">
        <v>325</v>
      </c>
      <c r="C10" s="7">
        <v>13.191017964071857</v>
      </c>
      <c r="D10" s="7">
        <v>16.69</v>
      </c>
      <c r="E10" s="7">
        <v>13.66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3" max="3" width="14.13"/>
    <col customWidth="1" min="4" max="4" width="18.75"/>
    <col customWidth="1" min="5" max="5" width="15.25"/>
    <col customWidth="1" min="6" max="6" width="17.88"/>
  </cols>
  <sheetData>
    <row r="3" ht="22.5" customHeight="1">
      <c r="B3" s="13" t="s">
        <v>184</v>
      </c>
      <c r="C3" s="13" t="s">
        <v>185</v>
      </c>
      <c r="D3" s="13" t="s">
        <v>322</v>
      </c>
      <c r="E3" s="13" t="s">
        <v>323</v>
      </c>
      <c r="F3" s="13" t="s">
        <v>324</v>
      </c>
      <c r="G3" s="13" t="s">
        <v>326</v>
      </c>
    </row>
    <row r="4" ht="22.5" customHeight="1">
      <c r="B4" s="17">
        <v>0.0</v>
      </c>
      <c r="C4" s="17">
        <v>9.0</v>
      </c>
      <c r="D4" s="17">
        <v>9.74875</v>
      </c>
      <c r="E4" s="17">
        <v>9.97</v>
      </c>
      <c r="F4" s="17">
        <v>9.76</v>
      </c>
      <c r="G4" s="4">
        <v>9.8</v>
      </c>
    </row>
    <row r="5" ht="22.5" customHeight="1">
      <c r="B5" s="17">
        <v>11.0</v>
      </c>
      <c r="C5" s="17">
        <v>10.098792535675083</v>
      </c>
      <c r="D5" s="17">
        <v>10.13</v>
      </c>
      <c r="E5" s="17">
        <v>10.3</v>
      </c>
      <c r="F5" s="17">
        <v>10.13</v>
      </c>
      <c r="G5" s="4">
        <v>10.1</v>
      </c>
    </row>
    <row r="6" ht="22.5" customHeight="1">
      <c r="B6" s="17">
        <v>22.0</v>
      </c>
      <c r="C6" s="17">
        <v>11.171366594360087</v>
      </c>
      <c r="D6" s="17">
        <v>10.580500000000002</v>
      </c>
      <c r="E6" s="17">
        <v>11.06</v>
      </c>
      <c r="F6" s="17">
        <v>10.54</v>
      </c>
      <c r="G6" s="4">
        <v>10.6</v>
      </c>
    </row>
    <row r="7" ht="22.5" customHeight="1">
      <c r="B7" s="17">
        <v>32.0</v>
      </c>
      <c r="C7" s="17">
        <v>12.124463519313304</v>
      </c>
      <c r="D7" s="17">
        <v>11.87388888888889</v>
      </c>
      <c r="E7" s="17">
        <v>12.28</v>
      </c>
      <c r="F7" s="17">
        <v>11.93</v>
      </c>
      <c r="G7" s="4">
        <v>12.3</v>
      </c>
    </row>
    <row r="8" ht="22.5" customHeight="1">
      <c r="B8" s="17">
        <v>42.0</v>
      </c>
      <c r="C8" s="17">
        <v>13.05732484076433</v>
      </c>
      <c r="D8" s="17">
        <v>13.384642857142856</v>
      </c>
      <c r="E8" s="17">
        <v>14.03</v>
      </c>
      <c r="F8" s="17">
        <v>13.535</v>
      </c>
      <c r="G8" s="4">
        <v>14.0</v>
      </c>
    </row>
    <row r="9" ht="22.5" customHeight="1">
      <c r="B9" s="17">
        <v>52.0</v>
      </c>
      <c r="C9" s="17">
        <v>13.970588235294118</v>
      </c>
      <c r="D9" s="17">
        <v>14.688333333333334</v>
      </c>
      <c r="E9" s="17">
        <v>15.21</v>
      </c>
      <c r="F9" s="17">
        <v>14.69</v>
      </c>
      <c r="G9" s="4">
        <v>15.2</v>
      </c>
    </row>
    <row r="10" ht="22.5" customHeight="1">
      <c r="B10" s="17">
        <v>66.0</v>
      </c>
      <c r="C10" s="17">
        <v>15.217391304347828</v>
      </c>
      <c r="D10" s="17">
        <v>15.770000000000003</v>
      </c>
      <c r="E10" s="17">
        <v>16.69</v>
      </c>
      <c r="F10" s="17">
        <v>15.71</v>
      </c>
      <c r="G10" s="4">
        <v>15.9</v>
      </c>
    </row>
  </sheetData>
  <drawing r:id="rId1"/>
  <tableParts count="1">
    <tablePart r:id="rId3"/>
  </tableParts>
</worksheet>
</file>